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ms-excel.documenttasks+xml" PartName="/xl/documenttasks/documenttask1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" sheetId="1" r:id="rId5"/>
    <sheet state="visible" name="Gestionale_" sheetId="2" r:id="rId6"/>
    <sheet state="visible" name="export asta" sheetId="3" r:id="rId7"/>
    <sheet state="visible" name="BCK_Gestionale" sheetId="4" r:id="rId8"/>
    <sheet state="visible" name="Riepilogo ingaggi E budget" sheetId="5" r:id="rId9"/>
    <sheet state="hidden" name="Claude Cache" sheetId="6" r:id="rId10"/>
    <sheet state="visible" name="situazione contratti estate 24" sheetId="7" r:id="rId11"/>
    <sheet state="visible" name="FVM_Asta2526" sheetId="8" r:id="rId12"/>
    <sheet state="visible" name="FVM_Asta2425" sheetId="9" r:id="rId13"/>
    <sheet state="visible" name="FVM_Asta2324" sheetId="10" r:id="rId14"/>
    <sheet state="visible" name="elenchi" sheetId="11" r:id="rId15"/>
    <sheet state="visible" name="FVM_astainv" sheetId="12" r:id="rId16"/>
    <sheet state="visible" name="FVM_update" sheetId="13" r:id="rId17"/>
    <sheet state="visible" name="Asteriscati_estate25-26" sheetId="14" r:id="rId18"/>
    <sheet state="visible" name="Asteriscati25" sheetId="15" r:id="rId19"/>
    <sheet state="visible" name="FVM_1luglio-31luglio25" sheetId="16" r:id="rId20"/>
    <sheet state="visible" name="FVM_29072025" sheetId="17" r:id="rId21"/>
  </sheets>
  <definedNames>
    <definedName hidden="1" localSheetId="2" name="_xlnm._FilterDatabase">'export asta'!$A$1:$J$301</definedName>
    <definedName hidden="1" localSheetId="3" name="_xlnm._FilterDatabase">BCK_Gestionale!$A$1:$U$446</definedName>
  </definedNames>
  <calcPr/>
  <pivotCaches>
    <pivotCache cacheId="0" r:id="rId22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tc={79c7fca4-4aec-4010-a7b6-27107865d68e}</author>
  </authors>
  <commentList>
    <comment authorId="0" xr:uid="{79c7fca4-4aec-4010-a7b6-27107865d68e}" ref="K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corrisponde alla finestra di scambio
</t>
      </text>
    </comment>
  </commentList>
</comments>
</file>

<file path=xl/sharedStrings.xml><?xml version="1.0" encoding="utf-8"?>
<sst xmlns="http://schemas.openxmlformats.org/spreadsheetml/2006/main" count="22364" uniqueCount="2145">
  <si>
    <t>Ultimo Aggiornamento</t>
  </si>
  <si>
    <t>La colonna F è importante e colorata di azzurro perchè ha le formule per andare a prendere i risultati dalle annate precedenti, dopo averli calcolati è stato fatto copia e incolla valori, per non avere forumule inutili</t>
  </si>
  <si>
    <t>Colonna 1</t>
  </si>
  <si>
    <t>Giocatore</t>
  </si>
  <si>
    <t>Squadra Fantacalcio</t>
  </si>
  <si>
    <t>Squadra Serie A</t>
  </si>
  <si>
    <t>Ruolo</t>
  </si>
  <si>
    <t>Tipo contratto</t>
  </si>
  <si>
    <t>Data acquisto</t>
  </si>
  <si>
    <t>Scadenza ipotizzata</t>
  </si>
  <si>
    <t>Tipo Acquisto</t>
  </si>
  <si>
    <t>(*) Val Asteriscato</t>
  </si>
  <si>
    <t>SCAMBIO % ingaggio pagato</t>
  </si>
  <si>
    <t>Valore Acquisto (da leghe)</t>
  </si>
  <si>
    <t>FVM 25/26 o precedenti</t>
  </si>
  <si>
    <t>Ultimo FVM</t>
  </si>
  <si>
    <t>Valore 1 luglio</t>
  </si>
  <si>
    <t>Valore x Mercato 25/26</t>
  </si>
  <si>
    <t>Ingaggio 36 giornate</t>
  </si>
  <si>
    <t>Ingaggio reale</t>
  </si>
  <si>
    <t>Crediti ricevuti da acquisto/scambio</t>
  </si>
  <si>
    <t>Squadra Proprietaria Originale</t>
  </si>
  <si>
    <t>NOTE</t>
  </si>
  <si>
    <t>Colonna 22</t>
  </si>
  <si>
    <t>Colonna 23</t>
  </si>
  <si>
    <t>Colonna 24</t>
  </si>
  <si>
    <t>Colonna 25</t>
  </si>
  <si>
    <t>Colonna 26</t>
  </si>
  <si>
    <t>Colonna 27</t>
  </si>
  <si>
    <t>Colonna 28</t>
  </si>
  <si>
    <t>Colonna 29</t>
  </si>
  <si>
    <t>Colonna 30</t>
  </si>
  <si>
    <t>Colonna 31</t>
  </si>
  <si>
    <t>Colonna 32</t>
  </si>
  <si>
    <t>Colonna 33</t>
  </si>
  <si>
    <t>Colonna 34</t>
  </si>
  <si>
    <t>Colonna 35</t>
  </si>
  <si>
    <t>Colonna 36</t>
  </si>
  <si>
    <t>Colonna 37</t>
  </si>
  <si>
    <t>Colonna 38</t>
  </si>
  <si>
    <t>Colonna 39</t>
  </si>
  <si>
    <t>Akinsanmiro</t>
  </si>
  <si>
    <t>AS Intomatici</t>
  </si>
  <si>
    <t>Vivaio</t>
  </si>
  <si>
    <t>ANGELINO</t>
  </si>
  <si>
    <t>Standard</t>
  </si>
  <si>
    <t>Svincolo pausa invernale</t>
  </si>
  <si>
    <t>AUDERO</t>
  </si>
  <si>
    <t>Asta</t>
  </si>
  <si>
    <t>BERNARDESCHI</t>
  </si>
  <si>
    <t>Comuzzo</t>
  </si>
  <si>
    <t>Promosso da vivaio</t>
  </si>
  <si>
    <t>Corazza</t>
  </si>
  <si>
    <t>CRISTANTE</t>
  </si>
  <si>
    <t>DAVID</t>
  </si>
  <si>
    <t>Diritto 1+1</t>
  </si>
  <si>
    <t>DE KETELAERE</t>
  </si>
  <si>
    <t>DE ROON</t>
  </si>
  <si>
    <t>DI LORENZO</t>
  </si>
  <si>
    <t>Obbligo 1+2</t>
  </si>
  <si>
    <t>DOIG</t>
  </si>
  <si>
    <t>EHIZIBUE</t>
  </si>
  <si>
    <t>ESPOSITO SE.</t>
  </si>
  <si>
    <t>HIEN</t>
  </si>
  <si>
    <t>Lovric</t>
  </si>
  <si>
    <t>Svincolato riconferma anno corrente</t>
  </si>
  <si>
    <t>Lucca</t>
  </si>
  <si>
    <t>Obbligo 1+1</t>
  </si>
  <si>
    <t>Svincolato obbligo anno precedente</t>
  </si>
  <si>
    <t>LUCUMì</t>
  </si>
  <si>
    <t>Mancini</t>
  </si>
  <si>
    <t>Ceduto in prestito</t>
  </si>
  <si>
    <t>Miranda J.</t>
  </si>
  <si>
    <t>Odgaard</t>
  </si>
  <si>
    <t>Inverno Obbligo 2,5</t>
  </si>
  <si>
    <t>PASALIC</t>
  </si>
  <si>
    <t>PONGRACIC</t>
  </si>
  <si>
    <t>RANIERI L.</t>
  </si>
  <si>
    <t>RAVAGLIA F.</t>
  </si>
  <si>
    <t>Ricci S.</t>
  </si>
  <si>
    <t>SAELEMAEKERS</t>
  </si>
  <si>
    <t>Samooja</t>
  </si>
  <si>
    <t>SKORUPSKI</t>
  </si>
  <si>
    <t>THORSTVEDT</t>
  </si>
  <si>
    <t>VLAHOVIC</t>
  </si>
  <si>
    <t>ZALEWSKI</t>
  </si>
  <si>
    <t>ZAPPA</t>
  </si>
  <si>
    <t>ZERBIN</t>
  </si>
  <si>
    <t>PERRONE</t>
  </si>
  <si>
    <t>Acquisito in prestito</t>
  </si>
  <si>
    <t>Werder</t>
  </si>
  <si>
    <t>Bertola</t>
  </si>
  <si>
    <t>Standard inverno</t>
  </si>
  <si>
    <t>Asta riparazione</t>
  </si>
  <si>
    <t>Britschgi</t>
  </si>
  <si>
    <t>Caqueret</t>
  </si>
  <si>
    <t>Fullkrug</t>
  </si>
  <si>
    <t>Inverno Diritto 0,5 + 1</t>
  </si>
  <si>
    <t>AKANJI</t>
  </si>
  <si>
    <t>Bimbe di Tonali</t>
  </si>
  <si>
    <t>ANGORI</t>
  </si>
  <si>
    <t>BARBIERI</t>
  </si>
  <si>
    <t>BERNABè</t>
  </si>
  <si>
    <t>CANESTRELLI</t>
  </si>
  <si>
    <t>DODò</t>
  </si>
  <si>
    <t>Douvikas</t>
  </si>
  <si>
    <t>GABBIA</t>
  </si>
  <si>
    <t>GIOVANE</t>
  </si>
  <si>
    <t>Kean</t>
  </si>
  <si>
    <t>KEMPF</t>
  </si>
  <si>
    <t>Kilicsoy</t>
  </si>
  <si>
    <t>KONè M.</t>
  </si>
  <si>
    <t>LAURIENTè</t>
  </si>
  <si>
    <t>LOBOTKA</t>
  </si>
  <si>
    <t>MANDRAGORA</t>
  </si>
  <si>
    <t>MARì</t>
  </si>
  <si>
    <t>MINA</t>
  </si>
  <si>
    <t>NDIAYE</t>
  </si>
  <si>
    <t>NICOLUSSI CAVIGLIA</t>
  </si>
  <si>
    <t>ODOGU</t>
  </si>
  <si>
    <t>ORISTANIO</t>
  </si>
  <si>
    <t>ORSOLINI</t>
  </si>
  <si>
    <t>Ceduto tit definitivo</t>
  </si>
  <si>
    <t>PEZZELLA GIU.</t>
  </si>
  <si>
    <t>PINAMONTI</t>
  </si>
  <si>
    <t>Pulisic</t>
  </si>
  <si>
    <t>Acquistato tit definitivo</t>
  </si>
  <si>
    <t>Woods</t>
  </si>
  <si>
    <t>RABIOT</t>
  </si>
  <si>
    <t>SAMARDZIC</t>
  </si>
  <si>
    <t>SUZUKI</t>
  </si>
  <si>
    <t>SVILAR</t>
  </si>
  <si>
    <t>VASQUEZ D.</t>
  </si>
  <si>
    <t>WESLEY</t>
  </si>
  <si>
    <t>Zelezny</t>
  </si>
  <si>
    <t>Gollini</t>
  </si>
  <si>
    <t>Mlacic</t>
  </si>
  <si>
    <t>Diego Carlos</t>
  </si>
  <si>
    <t>Zappacosta</t>
  </si>
  <si>
    <t>Brescianini</t>
  </si>
  <si>
    <t>Vergara</t>
  </si>
  <si>
    <t>Inverno Obbligo 1,5</t>
  </si>
  <si>
    <t>Zaragoza</t>
  </si>
  <si>
    <t>Solomon</t>
  </si>
  <si>
    <t>Lorran</t>
  </si>
  <si>
    <t>Martinez L.</t>
  </si>
  <si>
    <t>SPINAZZOLA</t>
  </si>
  <si>
    <t>ALBIOL</t>
  </si>
  <si>
    <t>Ceretolo</t>
  </si>
  <si>
    <t>CAMBIAGHI</t>
  </si>
  <si>
    <t>Casadei</t>
  </si>
  <si>
    <t>Chukwueze</t>
  </si>
  <si>
    <t>Coco</t>
  </si>
  <si>
    <t>COULIBALY W.</t>
  </si>
  <si>
    <t>Cremaschi</t>
  </si>
  <si>
    <t>DA CUNHA</t>
  </si>
  <si>
    <t>Diao</t>
  </si>
  <si>
    <t>DJIMSITI</t>
  </si>
  <si>
    <t>DJURIC</t>
  </si>
  <si>
    <t>GALLO</t>
  </si>
  <si>
    <t>Gineitis</t>
  </si>
  <si>
    <t>ISRAEL</t>
  </si>
  <si>
    <t>Jasim</t>
  </si>
  <si>
    <t>KUHN</t>
  </si>
  <si>
    <t>LUCCA</t>
  </si>
  <si>
    <t>LUKAKU</t>
  </si>
  <si>
    <t>MODRIC</t>
  </si>
  <si>
    <t>MUHAREMOVIC</t>
  </si>
  <si>
    <t>NORTON-CUFFY</t>
  </si>
  <si>
    <t>PELLEGRINO M.</t>
  </si>
  <si>
    <t>PRATI</t>
  </si>
  <si>
    <t>RAMON</t>
  </si>
  <si>
    <t>Nirvana</t>
  </si>
  <si>
    <t>RODRIGUEZ JE.</t>
  </si>
  <si>
    <t>Rouhi</t>
  </si>
  <si>
    <t>SAVA</t>
  </si>
  <si>
    <t>SEMPER</t>
  </si>
  <si>
    <t>Tavares N.</t>
  </si>
  <si>
    <t>VALENTI</t>
  </si>
  <si>
    <t>VANDEPUTTE</t>
  </si>
  <si>
    <t>VARDY</t>
  </si>
  <si>
    <t>VOJVODA</t>
  </si>
  <si>
    <t>ZAMBO ANGUISSA</t>
  </si>
  <si>
    <t>Caprile</t>
  </si>
  <si>
    <t>Idrissi R.</t>
  </si>
  <si>
    <t>Basic</t>
  </si>
  <si>
    <t>Diouf</t>
  </si>
  <si>
    <t>Santos A.</t>
  </si>
  <si>
    <t>Giovane</t>
  </si>
  <si>
    <t>Pisilli</t>
  </si>
  <si>
    <t>TOURè I.</t>
  </si>
  <si>
    <t>Paleari</t>
  </si>
  <si>
    <t>Bastoni</t>
  </si>
  <si>
    <t>Darmian</t>
  </si>
  <si>
    <t>Bisseck</t>
  </si>
  <si>
    <t>BOLOCA</t>
  </si>
  <si>
    <t>BONAZZOLI</t>
  </si>
  <si>
    <t>BONDO</t>
  </si>
  <si>
    <t>CALHANOGLU</t>
  </si>
  <si>
    <t>CARBONI V.</t>
  </si>
  <si>
    <t>DARMIAN</t>
  </si>
  <si>
    <t>DE GEA</t>
  </si>
  <si>
    <t>Ederson D.s.</t>
  </si>
  <si>
    <t>ESPOSITO F.P.</t>
  </si>
  <si>
    <t>Falcone</t>
  </si>
  <si>
    <t>FRENDRUP</t>
  </si>
  <si>
    <t>ISMAJLI</t>
  </si>
  <si>
    <t>JASHARI</t>
  </si>
  <si>
    <t>Joao Costa*</t>
  </si>
  <si>
    <t>LANG</t>
  </si>
  <si>
    <t>LEALI</t>
  </si>
  <si>
    <t>MORATA</t>
  </si>
  <si>
    <t>OLIVERA</t>
  </si>
  <si>
    <t>OPENDA</t>
  </si>
  <si>
    <t>ORBAN G.</t>
  </si>
  <si>
    <t>PALESTRA</t>
  </si>
  <si>
    <t>PICCOLI</t>
  </si>
  <si>
    <t>PIEROTTI</t>
  </si>
  <si>
    <t>SIEBERT</t>
  </si>
  <si>
    <t>SOLET</t>
  </si>
  <si>
    <t>TIAGO GABRIEL</t>
  </si>
  <si>
    <t>TSIMIKAS</t>
  </si>
  <si>
    <t>VALERI</t>
  </si>
  <si>
    <t>VLASIC</t>
  </si>
  <si>
    <t>ZANOLI</t>
  </si>
  <si>
    <t>Zielinski</t>
  </si>
  <si>
    <t>Ziolkowski</t>
  </si>
  <si>
    <t>Muric</t>
  </si>
  <si>
    <t>Kabasele</t>
  </si>
  <si>
    <t>Bernasconi</t>
  </si>
  <si>
    <t>Bernede</t>
  </si>
  <si>
    <t>Baturina</t>
  </si>
  <si>
    <t>Vitinha O.</t>
  </si>
  <si>
    <t>Pedro</t>
  </si>
  <si>
    <t>Liteta</t>
  </si>
  <si>
    <t>Iperzola</t>
  </si>
  <si>
    <t>Torriani</t>
  </si>
  <si>
    <t>+20</t>
  </si>
  <si>
    <t>ACERBI</t>
  </si>
  <si>
    <t>ADOPO</t>
  </si>
  <si>
    <t>BARELLA</t>
  </si>
  <si>
    <t>Bartesaghi</t>
  </si>
  <si>
    <t>BASCHIROTTO</t>
  </si>
  <si>
    <t>BELOTTI</t>
  </si>
  <si>
    <t>BERARDI</t>
  </si>
  <si>
    <t>Molino</t>
  </si>
  <si>
    <t>Bremer</t>
  </si>
  <si>
    <t>Conceicao</t>
  </si>
  <si>
    <t>DE VRIJ</t>
  </si>
  <si>
    <t>DENOON</t>
  </si>
  <si>
    <t>DUMFRIES</t>
  </si>
  <si>
    <t>Ekhator</t>
  </si>
  <si>
    <t>EL AYNAOUI</t>
  </si>
  <si>
    <t>Elmas</t>
  </si>
  <si>
    <t>ESTUPINAN</t>
  </si>
  <si>
    <t>FOFANA Y.</t>
  </si>
  <si>
    <t>Frattesi</t>
  </si>
  <si>
    <t>IMMOBILE</t>
  </si>
  <si>
    <t>KELLY L.</t>
  </si>
  <si>
    <t>Konè I.</t>
  </si>
  <si>
    <t>KOSSOUNOU</t>
  </si>
  <si>
    <t>Maignan</t>
  </si>
  <si>
    <t>MARTIN</t>
  </si>
  <si>
    <t>MASINA</t>
  </si>
  <si>
    <t>N'DICKA</t>
  </si>
  <si>
    <t>N'DRI</t>
  </si>
  <si>
    <t>OBERT</t>
  </si>
  <si>
    <t>PAZ N.</t>
  </si>
  <si>
    <t>SANABRIA</t>
  </si>
  <si>
    <t>Scalvini</t>
  </si>
  <si>
    <t>SOHM</t>
  </si>
  <si>
    <t>STANCIU</t>
  </si>
  <si>
    <t>TERRACCIANO</t>
  </si>
  <si>
    <t>Thuram</t>
  </si>
  <si>
    <t>ZACCAGNI</t>
  </si>
  <si>
    <t>ZANIOLO</t>
  </si>
  <si>
    <t>Smolcic I.</t>
  </si>
  <si>
    <t>Walukiewicz</t>
  </si>
  <si>
    <t>Iling Junior</t>
  </si>
  <si>
    <t>Luis Henrique</t>
  </si>
  <si>
    <t>Mazzitelli</t>
  </si>
  <si>
    <t>Pellegrini Lo.</t>
  </si>
  <si>
    <t>Vlahovic</t>
  </si>
  <si>
    <t>Malen</t>
  </si>
  <si>
    <t>Dimarco</t>
  </si>
  <si>
    <t>Fazzini</t>
  </si>
  <si>
    <t>SIMEONE</t>
  </si>
  <si>
    <t>ATTA</t>
  </si>
  <si>
    <t>Belahyane</t>
  </si>
  <si>
    <t>Bravo</t>
  </si>
  <si>
    <t>CABAL</t>
  </si>
  <si>
    <t>Castro S.</t>
  </si>
  <si>
    <t>Cham</t>
  </si>
  <si>
    <t>DE WINTER</t>
  </si>
  <si>
    <t>DELE-BASHIRU</t>
  </si>
  <si>
    <t>Di Gregorio</t>
  </si>
  <si>
    <t>DIA</t>
  </si>
  <si>
    <t>Dybala</t>
  </si>
  <si>
    <t>FAGIOLI</t>
  </si>
  <si>
    <t>GAETANO</t>
  </si>
  <si>
    <t>GASPAR K.</t>
  </si>
  <si>
    <t>GILA</t>
  </si>
  <si>
    <t>GUTIERREZ</t>
  </si>
  <si>
    <t>HOLM</t>
  </si>
  <si>
    <t>KALULU</t>
  </si>
  <si>
    <t>Koopmeiners</t>
  </si>
  <si>
    <t>Leao</t>
  </si>
  <si>
    <t>LOCATELLI</t>
  </si>
  <si>
    <t>NGONGE</t>
  </si>
  <si>
    <t>NUNZIANTE</t>
  </si>
  <si>
    <t>ONDREJKA</t>
  </si>
  <si>
    <t>PERIN</t>
  </si>
  <si>
    <t>POBEGA</t>
  </si>
  <si>
    <t>ROVELLA</t>
  </si>
  <si>
    <t>SOULè</t>
  </si>
  <si>
    <t>STENGS</t>
  </si>
  <si>
    <t>TERRACCIANO F.</t>
  </si>
  <si>
    <t>Thuram K.</t>
  </si>
  <si>
    <t>TOMORI</t>
  </si>
  <si>
    <t>VASQUEZ</t>
  </si>
  <si>
    <t>VAZQUEZ</t>
  </si>
  <si>
    <t>Angelino</t>
  </si>
  <si>
    <t>Taylor K.</t>
  </si>
  <si>
    <t>Gandelman</t>
  </si>
  <si>
    <t>Baldanzi</t>
  </si>
  <si>
    <t>Gimenez</t>
  </si>
  <si>
    <t>AHANOR</t>
  </si>
  <si>
    <t>ASLLANI</t>
  </si>
  <si>
    <t>BEUKEMA</t>
  </si>
  <si>
    <t>BUTEZ</t>
  </si>
  <si>
    <t>Carlos Augusto</t>
  </si>
  <si>
    <t>CIRCATI</t>
  </si>
  <si>
    <t>DOMINGUEZ B.</t>
  </si>
  <si>
    <t>Dovbyk</t>
  </si>
  <si>
    <t>EKKELENKAMP</t>
  </si>
  <si>
    <t>FABBIAN</t>
  </si>
  <si>
    <t>FERGUSON</t>
  </si>
  <si>
    <t>FLORIANI MUSSOLINI</t>
  </si>
  <si>
    <t>HEGGEM</t>
  </si>
  <si>
    <t>HOJLUND</t>
  </si>
  <si>
    <t>Ilkhan</t>
  </si>
  <si>
    <t>Krstovic</t>
  </si>
  <si>
    <t>Lipani</t>
  </si>
  <si>
    <t>MANDAS</t>
  </si>
  <si>
    <t>MORO N.</t>
  </si>
  <si>
    <t>ORDONEZ C.</t>
  </si>
  <si>
    <t>Posch</t>
  </si>
  <si>
    <t>Provedel</t>
  </si>
  <si>
    <t>ROWE</t>
  </si>
  <si>
    <t>RRAHMANI</t>
  </si>
  <si>
    <t>STULIC</t>
  </si>
  <si>
    <t>SULEMANA I.</t>
  </si>
  <si>
    <t>TRAMONI M.</t>
  </si>
  <si>
    <t>VITIK</t>
  </si>
  <si>
    <t>ZORTEA</t>
  </si>
  <si>
    <t>Furlanetto</t>
  </si>
  <si>
    <t>FREULER</t>
  </si>
  <si>
    <t>Seven</t>
  </si>
  <si>
    <t>Biraghi</t>
  </si>
  <si>
    <t>BONNY</t>
  </si>
  <si>
    <t>Buffon L.</t>
  </si>
  <si>
    <t>Castellanos</t>
  </si>
  <si>
    <t>CELIK</t>
  </si>
  <si>
    <t>COLLOCOLO</t>
  </si>
  <si>
    <t>EL SHAARAWY</t>
  </si>
  <si>
    <t>ELLERTSSON</t>
  </si>
  <si>
    <t>Folorunsho</t>
  </si>
  <si>
    <t>GATTI</t>
  </si>
  <si>
    <t>Ghilardi</t>
  </si>
  <si>
    <t>HELGASON</t>
  </si>
  <si>
    <t>ISAKSEN</t>
  </si>
  <si>
    <t>KRISTENSEN T.</t>
  </si>
  <si>
    <t>LUPERTO</t>
  </si>
  <si>
    <t>Marianucci</t>
  </si>
  <si>
    <t>Martinez Jo.</t>
  </si>
  <si>
    <t>MKHITARYAN</t>
  </si>
  <si>
    <t>NDOUR</t>
  </si>
  <si>
    <t>njie</t>
  </si>
  <si>
    <t>Oyono</t>
  </si>
  <si>
    <t>POLITANO</t>
  </si>
  <si>
    <t>ROMAGNOLI</t>
  </si>
  <si>
    <t>SARR A.</t>
  </si>
  <si>
    <t>Sommer</t>
  </si>
  <si>
    <t>SUCIC P.</t>
  </si>
  <si>
    <t>Venturino</t>
  </si>
  <si>
    <t>ZAPATA D.</t>
  </si>
  <si>
    <t>Kolasinac</t>
  </si>
  <si>
    <t>Samardzic</t>
  </si>
  <si>
    <t>Nzola</t>
  </si>
  <si>
    <t>ABOUKHLAL</t>
  </si>
  <si>
    <t>Bagnolini</t>
  </si>
  <si>
    <t>BELLANOVA</t>
  </si>
  <si>
    <t>Camarda</t>
  </si>
  <si>
    <t>Carnesecchi</t>
  </si>
  <si>
    <t>CUTRONE</t>
  </si>
  <si>
    <t>DAVIS K.</t>
  </si>
  <si>
    <t>DE BRUYNE</t>
  </si>
  <si>
    <t>FERGUSON E.</t>
  </si>
  <si>
    <t>GRONBAEK</t>
  </si>
  <si>
    <t>Gueye</t>
  </si>
  <si>
    <t>LOOKMAN</t>
  </si>
  <si>
    <t>MARIPAN</t>
  </si>
  <si>
    <t>MARUSIC</t>
  </si>
  <si>
    <t>MASINI</t>
  </si>
  <si>
    <t>MATEUS LUSUARDI</t>
  </si>
  <si>
    <t>McTominay</t>
  </si>
  <si>
    <t>MILLER L.</t>
  </si>
  <si>
    <t>Montipò</t>
  </si>
  <si>
    <t>+10 crediti in favore di werde</t>
  </si>
  <si>
    <t>Bimbe</t>
  </si>
  <si>
    <t>Pavlovic</t>
  </si>
  <si>
    <t>Sangarè B.</t>
  </si>
  <si>
    <t>SPORTIELLO</t>
  </si>
  <si>
    <t>SULEMANA K.</t>
  </si>
  <si>
    <t xml:space="preserve">+ 50% su futura rivendita </t>
  </si>
  <si>
    <t>VALENTINI N.</t>
  </si>
  <si>
    <t>VALLE</t>
  </si>
  <si>
    <t>VAN DER BREMPT</t>
  </si>
  <si>
    <t>Rossi F.</t>
  </si>
  <si>
    <t>Helland</t>
  </si>
  <si>
    <t>Fortini</t>
  </si>
  <si>
    <t>Volpato</t>
  </si>
  <si>
    <t>Boga</t>
  </si>
  <si>
    <t>Raspadori</t>
  </si>
  <si>
    <t>Vaz</t>
  </si>
  <si>
    <t>Openda</t>
  </si>
  <si>
    <t>Addai</t>
  </si>
  <si>
    <t>Adzic</t>
  </si>
  <si>
    <t>BAILEY</t>
  </si>
  <si>
    <t>Buongiorno</t>
  </si>
  <si>
    <t>Byar</t>
  </si>
  <si>
    <t>Cambiaso</t>
  </si>
  <si>
    <t>COLOMBO</t>
  </si>
  <si>
    <t>DELPRATO</t>
  </si>
  <si>
    <t>DZEKO</t>
  </si>
  <si>
    <t>Goglichidze</t>
  </si>
  <si>
    <t>GOSENS</t>
  </si>
  <si>
    <t>GUDMUNDSSON A.</t>
  </si>
  <si>
    <t>Guendouzi</t>
  </si>
  <si>
    <t>HERMOSO</t>
  </si>
  <si>
    <t>IDZES</t>
  </si>
  <si>
    <t>JUAN JESUS</t>
  </si>
  <si>
    <t>KAMARA H.</t>
  </si>
  <si>
    <t>KOSTIC</t>
  </si>
  <si>
    <t>Loftus-Cheek</t>
  </si>
  <si>
    <t>MALDINI</t>
  </si>
  <si>
    <t>MCKENNIE</t>
  </si>
  <si>
    <t>MERET</t>
  </si>
  <si>
    <t>MILINKOVIC-SAVIC V.</t>
  </si>
  <si>
    <t>Neres</t>
  </si>
  <si>
    <t>NKUNKU</t>
  </si>
  <si>
    <t>Palma</t>
  </si>
  <si>
    <t>Scamacca</t>
  </si>
  <si>
    <t>Yildiz</t>
  </si>
  <si>
    <t>ZEMURA</t>
  </si>
  <si>
    <t>ZHEGROVA</t>
  </si>
  <si>
    <t>Contini</t>
  </si>
  <si>
    <t>Ostigard</t>
  </si>
  <si>
    <t>Provstgaard</t>
  </si>
  <si>
    <t>Zatterstrom</t>
  </si>
  <si>
    <t>Zerbin</t>
  </si>
  <si>
    <t>Matic</t>
  </si>
  <si>
    <t>Malinovskyi</t>
  </si>
  <si>
    <t>Bakola</t>
  </si>
  <si>
    <t>Ratkov</t>
  </si>
  <si>
    <t>Fantacalcio_Id</t>
  </si>
  <si>
    <t>Nome</t>
  </si>
  <si>
    <t>Squadra</t>
  </si>
  <si>
    <t>Squadra_Appartenenza</t>
  </si>
  <si>
    <t>Ruoli_Mantra</t>
  </si>
  <si>
    <t>Prezzo</t>
  </si>
  <si>
    <t>Quotazione</t>
  </si>
  <si>
    <t>Quotazione_Mantra</t>
  </si>
  <si>
    <t>cerca v</t>
  </si>
  <si>
    <t>MAIGNAN</t>
  </si>
  <si>
    <t>S.S. Iperzola</t>
  </si>
  <si>
    <t>MIL</t>
  </si>
  <si>
    <t>P</t>
  </si>
  <si>
    <t>Por</t>
  </si>
  <si>
    <t>INT</t>
  </si>
  <si>
    <t>D</t>
  </si>
  <si>
    <t>Dc</t>
  </si>
  <si>
    <t>BREMER</t>
  </si>
  <si>
    <t>JUV</t>
  </si>
  <si>
    <t>ROM</t>
  </si>
  <si>
    <t>CRE</t>
  </si>
  <si>
    <t>PIS</t>
  </si>
  <si>
    <t>Dc,Ds</t>
  </si>
  <si>
    <t>TOR</t>
  </si>
  <si>
    <t>B,Ds,E</t>
  </si>
  <si>
    <t>Ds,E</t>
  </si>
  <si>
    <t>GEN</t>
  </si>
  <si>
    <t>C</t>
  </si>
  <si>
    <t>M,C</t>
  </si>
  <si>
    <t>KONÃˆ I.</t>
  </si>
  <si>
    <t>SAS</t>
  </si>
  <si>
    <t>CAG</t>
  </si>
  <si>
    <t>FRATTESI</t>
  </si>
  <si>
    <t>C,T</t>
  </si>
  <si>
    <t>null</t>
  </si>
  <si>
    <t>ELMAS</t>
  </si>
  <si>
    <t>NAP</t>
  </si>
  <si>
    <t>W,T</t>
  </si>
  <si>
    <t>CONCEICAO</t>
  </si>
  <si>
    <t>W,A</t>
  </si>
  <si>
    <t>LAZ</t>
  </si>
  <si>
    <t>LEC</t>
  </si>
  <si>
    <t>A</t>
  </si>
  <si>
    <t>COM</t>
  </si>
  <si>
    <t>T,A</t>
  </si>
  <si>
    <t>UDI</t>
  </si>
  <si>
    <t>BOL</t>
  </si>
  <si>
    <t>Pc</t>
  </si>
  <si>
    <t>THURAM</t>
  </si>
  <si>
    <t>42Do Ceretolo Fc</t>
  </si>
  <si>
    <t>ATA</t>
  </si>
  <si>
    <t>PAR</t>
  </si>
  <si>
    <t>COCO</t>
  </si>
  <si>
    <t>Ds,Dd,E</t>
  </si>
  <si>
    <t>TAVARES N.</t>
  </si>
  <si>
    <t>Dd,E</t>
  </si>
  <si>
    <t>E</t>
  </si>
  <si>
    <t>GINEITIS</t>
  </si>
  <si>
    <t>C,W,T</t>
  </si>
  <si>
    <t>CASADEI</t>
  </si>
  <si>
    <t>DIAO</t>
  </si>
  <si>
    <t>PROVEDEL</t>
  </si>
  <si>
    <t>Nirvana FC</t>
  </si>
  <si>
    <t>CARLOS AUGUSTO</t>
  </si>
  <si>
    <t>POSCH</t>
  </si>
  <si>
    <t>Dd,Dc</t>
  </si>
  <si>
    <t>TOURÃˆ I.</t>
  </si>
  <si>
    <t>E,M</t>
  </si>
  <si>
    <t>PISILLI</t>
  </si>
  <si>
    <t>FIO</t>
  </si>
  <si>
    <t>DOVBYK</t>
  </si>
  <si>
    <t>KRSTOVIC</t>
  </si>
  <si>
    <t>MARTINEZ L.</t>
  </si>
  <si>
    <t>MatteoDarmianCalzoni FC</t>
  </si>
  <si>
    <t>FALCONE</t>
  </si>
  <si>
    <t>BISSECK</t>
  </si>
  <si>
    <t>BASTONI</t>
  </si>
  <si>
    <t>B,Dd,E</t>
  </si>
  <si>
    <t>T</t>
  </si>
  <si>
    <t>VER</t>
  </si>
  <si>
    <t>Le bimbe di Tonali</t>
  </si>
  <si>
    <t>DODÃ’</t>
  </si>
  <si>
    <t>KONÃˆ M.</t>
  </si>
  <si>
    <t>W,T,A</t>
  </si>
  <si>
    <t>PULISIC</t>
  </si>
  <si>
    <t>DOUVIKAS</t>
  </si>
  <si>
    <t>KEAN</t>
  </si>
  <si>
    <t>LAURIENTÃˆ</t>
  </si>
  <si>
    <t>Woods FC</t>
  </si>
  <si>
    <t>BUONGIORNO</t>
  </si>
  <si>
    <t>GOGLICHIDZE</t>
  </si>
  <si>
    <t>Dc,Dd</t>
  </si>
  <si>
    <t>CAMBIASO</t>
  </si>
  <si>
    <t>E,W</t>
  </si>
  <si>
    <t>EDERSON D.S.</t>
  </si>
  <si>
    <t>GUENDOUZI</t>
  </si>
  <si>
    <t>LOFTUS-CHEEK</t>
  </si>
  <si>
    <t>ADZIC</t>
  </si>
  <si>
    <t>W</t>
  </si>
  <si>
    <t>NERES</t>
  </si>
  <si>
    <t>SCAMACCA</t>
  </si>
  <si>
    <t>YILDIZ</t>
  </si>
  <si>
    <t>Werder Bryan</t>
  </si>
  <si>
    <t>CARNESECCHI</t>
  </si>
  <si>
    <t>MONTIPÃ’</t>
  </si>
  <si>
    <t>PAVLOVIC</t>
  </si>
  <si>
    <t>BERNABÃˆ</t>
  </si>
  <si>
    <t>MCTOMINAY</t>
  </si>
  <si>
    <t>CAMARDA</t>
  </si>
  <si>
    <t>FC Molino 1980</t>
  </si>
  <si>
    <t>DI GREGORIO</t>
  </si>
  <si>
    <t>THURAM K.</t>
  </si>
  <si>
    <t>KOOPMEINERS</t>
  </si>
  <si>
    <t>CASTRO S.</t>
  </si>
  <si>
    <t>BRAVO</t>
  </si>
  <si>
    <t>SOULÃˆ</t>
  </si>
  <si>
    <t>LEAO</t>
  </si>
  <si>
    <t>DYBALA</t>
  </si>
  <si>
    <t>MANCINI</t>
  </si>
  <si>
    <t>LUCUMÃŒ</t>
  </si>
  <si>
    <t>COMUZZO</t>
  </si>
  <si>
    <t>MIRANDA J.</t>
  </si>
  <si>
    <t>RICCI S.</t>
  </si>
  <si>
    <t>LOVRIC</t>
  </si>
  <si>
    <t>ODGAARD</t>
  </si>
  <si>
    <t>SOMMER</t>
  </si>
  <si>
    <t>Se7eN Fc</t>
  </si>
  <si>
    <t>MARTINEZ JO.</t>
  </si>
  <si>
    <t>SCALVINI</t>
  </si>
  <si>
    <t>GHILARDI</t>
  </si>
  <si>
    <t>MARIANUCCI</t>
  </si>
  <si>
    <t>BIRAGHI</t>
  </si>
  <si>
    <t>DIMARCO</t>
  </si>
  <si>
    <t>C,W</t>
  </si>
  <si>
    <t>FOLORUNSHO</t>
  </si>
  <si>
    <t>FAZZINI</t>
  </si>
  <si>
    <t>CASTELLANOS</t>
  </si>
  <si>
    <t>GIMENEZ</t>
  </si>
  <si>
    <t>FVM 24/25 o precedenti</t>
  </si>
  <si>
    <t>Skorupski</t>
  </si>
  <si>
    <t>Svincolo fine anno</t>
  </si>
  <si>
    <t>Bellanova</t>
  </si>
  <si>
    <t>Danilo</t>
  </si>
  <si>
    <t>da avere 13 crediti da Bimbe</t>
  </si>
  <si>
    <t>Lobotka</t>
  </si>
  <si>
    <t>Barella</t>
  </si>
  <si>
    <t>Gudmundsson A.</t>
  </si>
  <si>
    <t>Delprato</t>
  </si>
  <si>
    <t>Augello</t>
  </si>
  <si>
    <t>Ndoye</t>
  </si>
  <si>
    <t>Ismajli</t>
  </si>
  <si>
    <t>Suslov</t>
  </si>
  <si>
    <t>Da Cunha</t>
  </si>
  <si>
    <t>De Winter</t>
  </si>
  <si>
    <t>Djuric</t>
  </si>
  <si>
    <t>Gila</t>
  </si>
  <si>
    <t>Gilmour</t>
  </si>
  <si>
    <t>Joronen</t>
  </si>
  <si>
    <t>Masina</t>
  </si>
  <si>
    <t>Mbangula</t>
  </si>
  <si>
    <t>Mota</t>
  </si>
  <si>
    <t>Noslin</t>
  </si>
  <si>
    <t>Pohjanpalo</t>
  </si>
  <si>
    <t>Ravaglia F.</t>
  </si>
  <si>
    <t>Strefezza</t>
  </si>
  <si>
    <t>Zampano</t>
  </si>
  <si>
    <t>Zortea</t>
  </si>
  <si>
    <t>Baschirotto</t>
  </si>
  <si>
    <t>Hernandez T.</t>
  </si>
  <si>
    <t>Meret</t>
  </si>
  <si>
    <t>Parisi</t>
  </si>
  <si>
    <t>Reijnders</t>
  </si>
  <si>
    <t>Rovella</t>
  </si>
  <si>
    <t>Martinez Quarta</t>
  </si>
  <si>
    <t>Asteriscato</t>
  </si>
  <si>
    <t>Kayode</t>
  </si>
  <si>
    <t>Holm</t>
  </si>
  <si>
    <t>dare 13 crediti ad AS Intomatici per prestito non completato</t>
  </si>
  <si>
    <t>Prati</t>
  </si>
  <si>
    <t>Le Fee</t>
  </si>
  <si>
    <t>Maldini</t>
  </si>
  <si>
    <t>Tengstedt</t>
  </si>
  <si>
    <t>Liberali</t>
  </si>
  <si>
    <t>Zeroli</t>
  </si>
  <si>
    <t>Terracciano F.</t>
  </si>
  <si>
    <t>svincolato da vivaio</t>
  </si>
  <si>
    <t>Scuffet</t>
  </si>
  <si>
    <t>Viti</t>
  </si>
  <si>
    <t>Valenti</t>
  </si>
  <si>
    <t>Rensch</t>
  </si>
  <si>
    <t>Jimenez A.</t>
  </si>
  <si>
    <t>Zalewski</t>
  </si>
  <si>
    <t>Sarr A.</t>
  </si>
  <si>
    <t>Duda</t>
  </si>
  <si>
    <t>El Azzouzi</t>
  </si>
  <si>
    <t>Giannetti L.</t>
  </si>
  <si>
    <t>Gigot</t>
  </si>
  <si>
    <t>Gosens</t>
  </si>
  <si>
    <t>Isaksen</t>
  </si>
  <si>
    <t>Jean</t>
  </si>
  <si>
    <t>Sost_Asteriscato</t>
  </si>
  <si>
    <t>preso al posto di martinez quarta</t>
  </si>
  <si>
    <t>Kalulu</t>
  </si>
  <si>
    <t>Luperto</t>
  </si>
  <si>
    <t>Mosquera</t>
  </si>
  <si>
    <t>Orsolini</t>
  </si>
  <si>
    <t>Paz N.</t>
  </si>
  <si>
    <t>Pierret</t>
  </si>
  <si>
    <t>Ramadani</t>
  </si>
  <si>
    <t>preso al posto di le fee</t>
  </si>
  <si>
    <t>Sohm</t>
  </si>
  <si>
    <t>Solet</t>
  </si>
  <si>
    <t>Preso al posto di Danilo</t>
  </si>
  <si>
    <t>Spinazzola</t>
  </si>
  <si>
    <t>Adli</t>
  </si>
  <si>
    <t>Belotti</t>
  </si>
  <si>
    <t>Preso al posto di Coulibaly</t>
  </si>
  <si>
    <t>Kamara H.</t>
  </si>
  <si>
    <t>Zemura</t>
  </si>
  <si>
    <t>Luvumbo</t>
  </si>
  <si>
    <t>Lukaku</t>
  </si>
  <si>
    <t>Retegui</t>
  </si>
  <si>
    <t>De Gea</t>
  </si>
  <si>
    <t>Emerson Royal</t>
  </si>
  <si>
    <t>Godfrey</t>
  </si>
  <si>
    <t>Coulibaly W.</t>
  </si>
  <si>
    <t>Frendrup</t>
  </si>
  <si>
    <t>Estevez</t>
  </si>
  <si>
    <t>Djimsiti</t>
  </si>
  <si>
    <t>Dominguez B.</t>
  </si>
  <si>
    <t>Adams C.</t>
  </si>
  <si>
    <t>Savona</t>
  </si>
  <si>
    <t>Maripan</t>
  </si>
  <si>
    <t>Alberto Costa</t>
  </si>
  <si>
    <t>Hernani</t>
  </si>
  <si>
    <t>Joao Felix</t>
  </si>
  <si>
    <t>Gaspar K.</t>
  </si>
  <si>
    <t>Messias</t>
  </si>
  <si>
    <t>Mkhitaryan</t>
  </si>
  <si>
    <t>Morata</t>
  </si>
  <si>
    <t>Oristanio</t>
  </si>
  <si>
    <t>Pongracic</t>
  </si>
  <si>
    <t>Sergi Roberto</t>
  </si>
  <si>
    <t>Suzuki</t>
  </si>
  <si>
    <t>Terracciano</t>
  </si>
  <si>
    <t>Yeboah J.</t>
  </si>
  <si>
    <t>Abdulhamid</t>
  </si>
  <si>
    <t>Aebischer</t>
  </si>
  <si>
    <t>Asllani</t>
  </si>
  <si>
    <t>Castrovilli</t>
  </si>
  <si>
    <t>Circati</t>
  </si>
  <si>
    <t>Cutrone</t>
  </si>
  <si>
    <t>Di Lorenzo</t>
  </si>
  <si>
    <t>Pavard</t>
  </si>
  <si>
    <t>Calhanoglu</t>
  </si>
  <si>
    <t>Gonzalez N.</t>
  </si>
  <si>
    <t>Kvaratskhelia</t>
  </si>
  <si>
    <t>Dodo'</t>
  </si>
  <si>
    <t>Butez</t>
  </si>
  <si>
    <t>Pereira P.</t>
  </si>
  <si>
    <t>Veiga R.</t>
  </si>
  <si>
    <t>Helgason</t>
  </si>
  <si>
    <t>Anjorin</t>
  </si>
  <si>
    <t>Mihaila</t>
  </si>
  <si>
    <t>Harroui</t>
  </si>
  <si>
    <t>Ilic</t>
  </si>
  <si>
    <t>Kyriakopoulos</t>
  </si>
  <si>
    <t>McKennie</t>
  </si>
  <si>
    <t>preso al posto di Kvara asteriscato</t>
  </si>
  <si>
    <t>Milinkovic-Savic V.</t>
  </si>
  <si>
    <t>Montipo'</t>
  </si>
  <si>
    <t>Moreno Alb.</t>
  </si>
  <si>
    <t>Moreno M.</t>
  </si>
  <si>
    <t>Okafor</t>
  </si>
  <si>
    <t>Paredes</t>
  </si>
  <si>
    <t>Pinamonti</t>
  </si>
  <si>
    <t>Tchaouna</t>
  </si>
  <si>
    <t>Valeri</t>
  </si>
  <si>
    <t>Zapata D.</t>
  </si>
  <si>
    <t>Acerbi</t>
  </si>
  <si>
    <t>Beltran L.</t>
  </si>
  <si>
    <t>Cabal</t>
  </si>
  <si>
    <t>Cristante</t>
  </si>
  <si>
    <t>De Roon</t>
  </si>
  <si>
    <t>Ekkelenkamp</t>
  </si>
  <si>
    <t>Fofana Y.</t>
  </si>
  <si>
    <t>Dumfries</t>
  </si>
  <si>
    <t>Zaccagni</t>
  </si>
  <si>
    <t>Lookman</t>
  </si>
  <si>
    <t>Douglas Luiz</t>
  </si>
  <si>
    <t>Hummels</t>
  </si>
  <si>
    <t>N'Dicka</t>
  </si>
  <si>
    <t>Ferguson</t>
  </si>
  <si>
    <t>Colombo</t>
  </si>
  <si>
    <t>Marin Re.</t>
  </si>
  <si>
    <t>Sportiello</t>
  </si>
  <si>
    <t>Gabbia</t>
  </si>
  <si>
    <t>Felici</t>
  </si>
  <si>
    <t>Adopo</t>
  </si>
  <si>
    <t>Pierotti</t>
  </si>
  <si>
    <t>Leali</t>
  </si>
  <si>
    <t>Marchwinski</t>
  </si>
  <si>
    <t>Piccoli</t>
  </si>
  <si>
    <t>Sosa B.</t>
  </si>
  <si>
    <t>Tomori</t>
  </si>
  <si>
    <t>Vasquez</t>
  </si>
  <si>
    <t>Vecino</t>
  </si>
  <si>
    <t>Baselli</t>
  </si>
  <si>
    <t>Bernabe'</t>
  </si>
  <si>
    <t>Braunoder</t>
  </si>
  <si>
    <t>Carboni A.</t>
  </si>
  <si>
    <t>De Vrij</t>
  </si>
  <si>
    <t>Dia</t>
  </si>
  <si>
    <t>El Shaarawy</t>
  </si>
  <si>
    <t>Fagioli</t>
  </si>
  <si>
    <t>Gatti</t>
  </si>
  <si>
    <t>Hien</t>
  </si>
  <si>
    <t>Idzes</t>
  </si>
  <si>
    <t>Kossounou</t>
  </si>
  <si>
    <t>Molino deve 13 crediti a Guio per prestito non tornato indietro</t>
  </si>
  <si>
    <t>De Ketelaere</t>
  </si>
  <si>
    <t>Fabbian</t>
  </si>
  <si>
    <t>Zaniolo</t>
  </si>
  <si>
    <t>Lazzari</t>
  </si>
  <si>
    <t>Locatelli</t>
  </si>
  <si>
    <t>Kone' M.</t>
  </si>
  <si>
    <t>Marin R.</t>
  </si>
  <si>
    <t>Karlsson</t>
  </si>
  <si>
    <t>Marusic</t>
  </si>
  <si>
    <t>Dellavalle</t>
  </si>
  <si>
    <t>Matturro</t>
  </si>
  <si>
    <t>Martinelli T.</t>
  </si>
  <si>
    <t>Rebic</t>
  </si>
  <si>
    <t>Palacios T.</t>
  </si>
  <si>
    <t>Kelly L.</t>
  </si>
  <si>
    <t>Walker</t>
  </si>
  <si>
    <t>Pezzella Giu.</t>
  </si>
  <si>
    <t>Olivera</t>
  </si>
  <si>
    <t>Pasalic</t>
  </si>
  <si>
    <t>Perin</t>
  </si>
  <si>
    <t>Pinsoglio</t>
  </si>
  <si>
    <t>Sabelli</t>
  </si>
  <si>
    <t>Beukema</t>
  </si>
  <si>
    <t>Bove</t>
  </si>
  <si>
    <t>Cragno</t>
  </si>
  <si>
    <t>Dallinga</t>
  </si>
  <si>
    <t>Erlic</t>
  </si>
  <si>
    <t>Frese</t>
  </si>
  <si>
    <t>Lucumi'</t>
  </si>
  <si>
    <t>Mandas</t>
  </si>
  <si>
    <t>Ruggeri</t>
  </si>
  <si>
    <t>Rrahmani</t>
  </si>
  <si>
    <t>Colpani</t>
  </si>
  <si>
    <t>Soule'</t>
  </si>
  <si>
    <t>Pessina</t>
  </si>
  <si>
    <t>Mina</t>
  </si>
  <si>
    <t>Freuler</t>
  </si>
  <si>
    <t>Ilic M.*</t>
  </si>
  <si>
    <t>Lucchesi*</t>
  </si>
  <si>
    <t>Juan Jesus</t>
  </si>
  <si>
    <t>Cuadrado</t>
  </si>
  <si>
    <t>Moro N.</t>
  </si>
  <si>
    <t>Urbanski</t>
  </si>
  <si>
    <t>Pizzignacco</t>
  </si>
  <si>
    <t>Pobega</t>
  </si>
  <si>
    <t>Turati</t>
  </si>
  <si>
    <t>Verdi</t>
  </si>
  <si>
    <t>Badelj</t>
  </si>
  <si>
    <t>Bijol</t>
  </si>
  <si>
    <t>Di Gennaro</t>
  </si>
  <si>
    <t>Esposito Se.</t>
  </si>
  <si>
    <t>Izzo</t>
  </si>
  <si>
    <t>Kouame'</t>
  </si>
  <si>
    <t>Lazaro</t>
  </si>
  <si>
    <t>Lazovic</t>
  </si>
  <si>
    <t>Marin</t>
  </si>
  <si>
    <t>Martin</t>
  </si>
  <si>
    <t>Nicolussi Caviglia</t>
  </si>
  <si>
    <t>Man</t>
  </si>
  <si>
    <t>Balogh</t>
  </si>
  <si>
    <t>Tchatchoua</t>
  </si>
  <si>
    <t>Weah</t>
  </si>
  <si>
    <t>Patric</t>
  </si>
  <si>
    <t>Burnete</t>
  </si>
  <si>
    <t>Guilbert</t>
  </si>
  <si>
    <t>Cataldi</t>
  </si>
  <si>
    <t>Serdar</t>
  </si>
  <si>
    <t>Masini</t>
  </si>
  <si>
    <t>Ranieri L.</t>
  </si>
  <si>
    <t>Richardson</t>
  </si>
  <si>
    <t>Rocha Livramento</t>
  </si>
  <si>
    <t>Taremi</t>
  </si>
  <si>
    <t>Thauvin</t>
  </si>
  <si>
    <t>Bani</t>
  </si>
  <si>
    <t>Brenner</t>
  </si>
  <si>
    <t>Calabria</t>
  </si>
  <si>
    <t>Casale</t>
  </si>
  <si>
    <t>Dele-Bashiru</t>
  </si>
  <si>
    <t>Gaetano</t>
  </si>
  <si>
    <t>Okoye</t>
  </si>
  <si>
    <t>Payero</t>
  </si>
  <si>
    <t>Zambo Anguissa</t>
  </si>
  <si>
    <t>Rui Patricio</t>
  </si>
  <si>
    <t>Romagnoli</t>
  </si>
  <si>
    <t>Saelemaekers</t>
  </si>
  <si>
    <t>Barba</t>
  </si>
  <si>
    <t>Sangare' B.</t>
  </si>
  <si>
    <t>Lykogiannis</t>
  </si>
  <si>
    <t>Cacace</t>
  </si>
  <si>
    <t>Karlstrom</t>
  </si>
  <si>
    <t>Vojvoda</t>
  </si>
  <si>
    <t>Zanoli</t>
  </si>
  <si>
    <t>Abraham</t>
  </si>
  <si>
    <t>Birindelli</t>
  </si>
  <si>
    <t>Bonny</t>
  </si>
  <si>
    <t>Coppola D.</t>
  </si>
  <si>
    <t>Dawidowicz</t>
  </si>
  <si>
    <t>Dossena</t>
  </si>
  <si>
    <t>Jovic</t>
  </si>
  <si>
    <t>Mandragora</t>
  </si>
  <si>
    <t>Mazzocchi</t>
  </si>
  <si>
    <t>Miretti</t>
  </si>
  <si>
    <t>Politano</t>
  </si>
  <si>
    <t>Reina</t>
  </si>
  <si>
    <t>Sanabria</t>
  </si>
  <si>
    <t>Svilar</t>
  </si>
  <si>
    <t>Tameze</t>
  </si>
  <si>
    <t>Gallo</t>
  </si>
  <si>
    <t>Dorgu</t>
  </si>
  <si>
    <t>Ryan</t>
  </si>
  <si>
    <t>Magnani</t>
  </si>
  <si>
    <t>Vogliacco</t>
  </si>
  <si>
    <t>Zappa</t>
  </si>
  <si>
    <t>De Sciglio</t>
  </si>
  <si>
    <t>Valle</t>
  </si>
  <si>
    <t>Makoumbou</t>
  </si>
  <si>
    <t>Ellertsson</t>
  </si>
  <si>
    <t>Henderson L.</t>
  </si>
  <si>
    <t>Cancellieri</t>
  </si>
  <si>
    <t>Fadera</t>
  </si>
  <si>
    <t>Vlasic</t>
  </si>
  <si>
    <t>Kolo Muani</t>
  </si>
  <si>
    <t>Ingaggi</t>
  </si>
  <si>
    <t>budget crediti</t>
  </si>
  <si>
    <t>Totale generale</t>
  </si>
  <si>
    <t>⚠️ SHEET RESERVED FOR =CLAUDE... FUNCTIONS. DO NOT EDIT! ⚠️</t>
  </si>
  <si>
    <t>Key</t>
  </si>
  <si>
    <t>Value</t>
  </si>
  <si>
    <t>Expiration</t>
  </si>
  <si>
    <t>Nome Rosa</t>
  </si>
  <si>
    <t>Formula FVM Iniziali</t>
  </si>
  <si>
    <t>FVM M Iniziale</t>
  </si>
  <si>
    <t>FVM M Aggiornato</t>
  </si>
  <si>
    <t>FVM agg errore</t>
  </si>
  <si>
    <t>delta</t>
  </si>
  <si>
    <t>Contratto all'acquisto iniziale</t>
  </si>
  <si>
    <t>Scadenza contratto originale</t>
  </si>
  <si>
    <t>Ingaggio iniziale</t>
  </si>
  <si>
    <t>Stato attuale rosa</t>
  </si>
  <si>
    <t>Provenienza</t>
  </si>
  <si>
    <t>Ingaggio - Condizione attuale</t>
  </si>
  <si>
    <t>Ingaggio</t>
  </si>
  <si>
    <t>IN</t>
  </si>
  <si>
    <t>2° yr diritto</t>
  </si>
  <si>
    <t>2° yr obbligo</t>
  </si>
  <si>
    <t>M;C</t>
  </si>
  <si>
    <t>Ds;E</t>
  </si>
  <si>
    <t>IN_xStorico</t>
  </si>
  <si>
    <t>Thiaw</t>
  </si>
  <si>
    <t>C;T</t>
  </si>
  <si>
    <t>W;A</t>
  </si>
  <si>
    <t>Almqvist</t>
  </si>
  <si>
    <t>Dd;Dc</t>
  </si>
  <si>
    <t>Dd;E</t>
  </si>
  <si>
    <t>Musso</t>
  </si>
  <si>
    <t>Milenkovic</t>
  </si>
  <si>
    <t>Ebosele</t>
  </si>
  <si>
    <t>Luis Alberto</t>
  </si>
  <si>
    <t>Bonaventura</t>
  </si>
  <si>
    <t>Dd;Ds;E</t>
  </si>
  <si>
    <t>Rabiot</t>
  </si>
  <si>
    <t>Barak</t>
  </si>
  <si>
    <t>T;A</t>
  </si>
  <si>
    <t>Chiesa</t>
  </si>
  <si>
    <t>Ngonge</t>
  </si>
  <si>
    <t>Osimhen</t>
  </si>
  <si>
    <t>Toure' E.</t>
  </si>
  <si>
    <t>Candreva</t>
  </si>
  <si>
    <t>Giroud</t>
  </si>
  <si>
    <t>Dd;Ds;Dc</t>
  </si>
  <si>
    <t>OUT</t>
  </si>
  <si>
    <t>Svincolo</t>
  </si>
  <si>
    <t>Obbligo - asta invernale</t>
  </si>
  <si>
    <t>Berardi</t>
  </si>
  <si>
    <t>Lauriente'</t>
  </si>
  <si>
    <t>Id</t>
  </si>
  <si>
    <t>R</t>
  </si>
  <si>
    <t>RM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</si>
  <si>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</si>
  <si>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</si>
  <si>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</si>
  <si>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</si>
  <si>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</si>
  <si>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</si>
  <si>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</si>
  <si>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</si>
  <si>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Aboukhlal</t>
  </si>
  <si>
    <t>Torino</t>
  </si>
  <si>
    <t>Inter</t>
  </si>
  <si>
    <t>Como</t>
  </si>
  <si>
    <t>Cagliari</t>
  </si>
  <si>
    <t>Juventus</t>
  </si>
  <si>
    <t>Pisa</t>
  </si>
  <si>
    <t>Ahanor</t>
  </si>
  <si>
    <t>B;Ds;E</t>
  </si>
  <si>
    <t>Atalanta</t>
  </si>
  <si>
    <t>Akanji</t>
  </si>
  <si>
    <t>Al-Musrati</t>
  </si>
  <si>
    <t>Verona</t>
  </si>
  <si>
    <t>Albiol</t>
  </si>
  <si>
    <t>Parma</t>
  </si>
  <si>
    <t>Ambrosino</t>
  </si>
  <si>
    <t>Napoli</t>
  </si>
  <si>
    <t>Roma</t>
  </si>
  <si>
    <t>Angori</t>
  </si>
  <si>
    <t>Athekame</t>
  </si>
  <si>
    <t>Milan</t>
  </si>
  <si>
    <t>Atta</t>
  </si>
  <si>
    <t>Udinese</t>
  </si>
  <si>
    <t>Audero</t>
  </si>
  <si>
    <t>Cremonese</t>
  </si>
  <si>
    <t>Bailey</t>
  </si>
  <si>
    <t>Banda</t>
  </si>
  <si>
    <t>Lecce</t>
  </si>
  <si>
    <t>Barbieri</t>
  </si>
  <si>
    <t>Lazio</t>
  </si>
  <si>
    <t>Bayo V.</t>
  </si>
  <si>
    <t>Belghali</t>
  </si>
  <si>
    <t>Bella-Kotchap</t>
  </si>
  <si>
    <t>Benedyczak</t>
  </si>
  <si>
    <t>Sassuolo</t>
  </si>
  <si>
    <t>Berisha M.</t>
  </si>
  <si>
    <t>Bernabè</t>
  </si>
  <si>
    <t>Bernardeschi</t>
  </si>
  <si>
    <t>Bologna</t>
  </si>
  <si>
    <t>Bianchetti</t>
  </si>
  <si>
    <t>Boloca</t>
  </si>
  <si>
    <t>Bonazzoli</t>
  </si>
  <si>
    <t>Bondo</t>
  </si>
  <si>
    <t>Bonfanti</t>
  </si>
  <si>
    <t>Borrelli</t>
  </si>
  <si>
    <t>Bradaric</t>
  </si>
  <si>
    <t>Buksa</t>
  </si>
  <si>
    <t>Calabresi</t>
  </si>
  <si>
    <t>B;Dd;E</t>
  </si>
  <si>
    <t>Cambiaghi</t>
  </si>
  <si>
    <t>Candè</t>
  </si>
  <si>
    <t>Ds;Dc</t>
  </si>
  <si>
    <t>Canestrelli</t>
  </si>
  <si>
    <t>Caracciolo A.</t>
  </si>
  <si>
    <t>Carboni V.</t>
  </si>
  <si>
    <t>Genoa</t>
  </si>
  <si>
    <t>Cavlina</t>
  </si>
  <si>
    <t>Ceccherini</t>
  </si>
  <si>
    <t>Celik</t>
  </si>
  <si>
    <t>Cheddira</t>
  </si>
  <si>
    <t>Ciocci</t>
  </si>
  <si>
    <t>Collocolo</t>
  </si>
  <si>
    <t>Fiorentina</t>
  </si>
  <si>
    <t>Coppola F.</t>
  </si>
  <si>
    <t>Cornet</t>
  </si>
  <si>
    <t>Corvi</t>
  </si>
  <si>
    <t>Coulibaly L.</t>
  </si>
  <si>
    <t>C;W;T</t>
  </si>
  <si>
    <t>David</t>
  </si>
  <si>
    <t>Davis K.</t>
  </si>
  <si>
    <t>De Bruyne</t>
  </si>
  <si>
    <t>De Luca</t>
  </si>
  <si>
    <t>De Silvestri</t>
  </si>
  <si>
    <t>Deiola</t>
  </si>
  <si>
    <t>Dembelè A.</t>
  </si>
  <si>
    <t>Denoon</t>
  </si>
  <si>
    <t>Di Pardo</t>
  </si>
  <si>
    <t>Dodò</t>
  </si>
  <si>
    <t>Doig</t>
  </si>
  <si>
    <t>Dzeko</t>
  </si>
  <si>
    <t>Ebosse</t>
  </si>
  <si>
    <t>Ederson D.S.</t>
  </si>
  <si>
    <t>Ehizibue</t>
  </si>
  <si>
    <t>Ekuban</t>
  </si>
  <si>
    <t>El Aynaoui</t>
  </si>
  <si>
    <t>C;W</t>
  </si>
  <si>
    <t>W;T</t>
  </si>
  <si>
    <t>Esposito F.P.</t>
  </si>
  <si>
    <t>Esteves T.</t>
  </si>
  <si>
    <t>Estupinan</t>
  </si>
  <si>
    <t>Faye</t>
  </si>
  <si>
    <t>Ferguson E.</t>
  </si>
  <si>
    <t>Floriani Mussolini</t>
  </si>
  <si>
    <t>Folino</t>
  </si>
  <si>
    <t>Frigan</t>
  </si>
  <si>
    <t>Fruchtl</t>
  </si>
  <si>
    <t>Goldaniga</t>
  </si>
  <si>
    <t>Grassi</t>
  </si>
  <si>
    <t>Gronbaek</t>
  </si>
  <si>
    <t>Gutierrez</t>
  </si>
  <si>
    <t>Heggem</t>
  </si>
  <si>
    <t>Hermoso</t>
  </si>
  <si>
    <t>Hojholt</t>
  </si>
  <si>
    <t>Hojlund</t>
  </si>
  <si>
    <t>Hysaj</t>
  </si>
  <si>
    <t>Iannoni</t>
  </si>
  <si>
    <t>Ilic M.</t>
  </si>
  <si>
    <t>Immobile</t>
  </si>
  <si>
    <t>Israel</t>
  </si>
  <si>
    <t>Jashari</t>
  </si>
  <si>
    <t>Joao Mario</t>
  </si>
  <si>
    <t>Johnsen</t>
  </si>
  <si>
    <t>Kaba</t>
  </si>
  <si>
    <t>Kastanos</t>
  </si>
  <si>
    <t>Keita M.</t>
  </si>
  <si>
    <t>Kempf</t>
  </si>
  <si>
    <t>Konè M.</t>
  </si>
  <si>
    <t>Kostic</t>
  </si>
  <si>
    <t>E;W</t>
  </si>
  <si>
    <t>Kouadio</t>
  </si>
  <si>
    <t>Kouassi</t>
  </si>
  <si>
    <t>Kristensen T.</t>
  </si>
  <si>
    <t>Kuhn</t>
  </si>
  <si>
    <t>Lamptey</t>
  </si>
  <si>
    <t>Lang</t>
  </si>
  <si>
    <t>Laurientè</t>
  </si>
  <si>
    <t>Leris</t>
  </si>
  <si>
    <t>Lezzerini</t>
  </si>
  <si>
    <t>Lovik</t>
  </si>
  <si>
    <t>Lucumì</t>
  </si>
  <si>
    <t>Maleh</t>
  </si>
  <si>
    <t>Marcandalli</t>
  </si>
  <si>
    <t>Marì</t>
  </si>
  <si>
    <t>Marin M.</t>
  </si>
  <si>
    <t>Mateus Lusuardi</t>
  </si>
  <si>
    <t>Mbambi</t>
  </si>
  <si>
    <t>Meister</t>
  </si>
  <si>
    <t>Milik</t>
  </si>
  <si>
    <t>Miller L.</t>
  </si>
  <si>
    <t>Modric</t>
  </si>
  <si>
    <t>Moreo</t>
  </si>
  <si>
    <t>Moro L.</t>
  </si>
  <si>
    <t>Moumbagna</t>
  </si>
  <si>
    <t>Muharemovic</t>
  </si>
  <si>
    <t>Musah</t>
  </si>
  <si>
    <t>N'Dri</t>
  </si>
  <si>
    <t>Nava</t>
  </si>
  <si>
    <t>Ndaba</t>
  </si>
  <si>
    <t>Ndiaye</t>
  </si>
  <si>
    <t>Ndour</t>
  </si>
  <si>
    <t>Nelsson</t>
  </si>
  <si>
    <t>Niasse</t>
  </si>
  <si>
    <t>Nicolas</t>
  </si>
  <si>
    <t>Njie</t>
  </si>
  <si>
    <t>Nkounkou</t>
  </si>
  <si>
    <t>Nkunku</t>
  </si>
  <si>
    <t>Norton-Cuffy</t>
  </si>
  <si>
    <t>Nunziante</t>
  </si>
  <si>
    <t>Obert</t>
  </si>
  <si>
    <t>Odenthal</t>
  </si>
  <si>
    <t>Odogu</t>
  </si>
  <si>
    <t>Okereke</t>
  </si>
  <si>
    <t>Onana J.</t>
  </si>
  <si>
    <t>Ondrejka</t>
  </si>
  <si>
    <t>Orban G.</t>
  </si>
  <si>
    <t>Ordonez C.</t>
  </si>
  <si>
    <t>W;T;A</t>
  </si>
  <si>
    <t>Otoa</t>
  </si>
  <si>
    <t>Oyegoke</t>
  </si>
  <si>
    <t>Padelli</t>
  </si>
  <si>
    <t>Palestra</t>
  </si>
  <si>
    <t>Pavoletti</t>
  </si>
  <si>
    <t>Paz Y.</t>
  </si>
  <si>
    <t>Pedersen</t>
  </si>
  <si>
    <t>Pellegrini Lu.</t>
  </si>
  <si>
    <t>Pellegrino M.</t>
  </si>
  <si>
    <t>Perez M.</t>
  </si>
  <si>
    <t>Perilli</t>
  </si>
  <si>
    <t>Perrone</t>
  </si>
  <si>
    <t>Pessina Mas.</t>
  </si>
  <si>
    <t>Piccinini G.</t>
  </si>
  <si>
    <t>E;M</t>
  </si>
  <si>
    <t>Pieragnolo</t>
  </si>
  <si>
    <t>Pierini</t>
  </si>
  <si>
    <t>Piotrowski</t>
  </si>
  <si>
    <t>Popa</t>
  </si>
  <si>
    <t>Radunovic</t>
  </si>
  <si>
    <t>Rafia</t>
  </si>
  <si>
    <t>Ramon</t>
  </si>
  <si>
    <t>Rinaldi</t>
  </si>
  <si>
    <t>Rodriguez Je.</t>
  </si>
  <si>
    <t>Rodriguez Ju.</t>
  </si>
  <si>
    <t>Rog</t>
  </si>
  <si>
    <t>Romagna</t>
  </si>
  <si>
    <t>Rowe</t>
  </si>
  <si>
    <t>Rugani</t>
  </si>
  <si>
    <t>Rui Modesto</t>
  </si>
  <si>
    <t>Sabiri</t>
  </si>
  <si>
    <t>Sala A.</t>
  </si>
  <si>
    <t>Santiago</t>
  </si>
  <si>
    <t>Sarmiento J.</t>
  </si>
  <si>
    <t>Satalino</t>
  </si>
  <si>
    <t>Sava</t>
  </si>
  <si>
    <t>Schuurs</t>
  </si>
  <si>
    <t>Semper</t>
  </si>
  <si>
    <t>Sernicola</t>
  </si>
  <si>
    <t>Siebert</t>
  </si>
  <si>
    <t>Siegrist</t>
  </si>
  <si>
    <t>Silvestri</t>
  </si>
  <si>
    <t>Simeone</t>
  </si>
  <si>
    <t>Skjellerup</t>
  </si>
  <si>
    <t>Slotsager</t>
  </si>
  <si>
    <t>Sommariva</t>
  </si>
  <si>
    <t>Sorensen O.</t>
  </si>
  <si>
    <t>Sottil</t>
  </si>
  <si>
    <t>Soulè</t>
  </si>
  <si>
    <t>Stanciu</t>
  </si>
  <si>
    <t>Stengs</t>
  </si>
  <si>
    <t>Stulic</t>
  </si>
  <si>
    <t>Sucic P.</t>
  </si>
  <si>
    <t>Sulemana I.</t>
  </si>
  <si>
    <t>Sulemana K.</t>
  </si>
  <si>
    <t>Tete Morente</t>
  </si>
  <si>
    <t>Thorsby</t>
  </si>
  <si>
    <t>Thorstvedt</t>
  </si>
  <si>
    <t>Tiago Gabriel</t>
  </si>
  <si>
    <t>Toniolo</t>
  </si>
  <si>
    <t>Tourè I.</t>
  </si>
  <si>
    <t>Tramoni M.</t>
  </si>
  <si>
    <t>Troilo</t>
  </si>
  <si>
    <t>Tsimikas</t>
  </si>
  <si>
    <t>Unai Nunez</t>
  </si>
  <si>
    <t>Valentini N.</t>
  </si>
  <si>
    <t>Valoti</t>
  </si>
  <si>
    <t>Van Der Brempt</t>
  </si>
  <si>
    <t>Vandeputte</t>
  </si>
  <si>
    <t>Vardy</t>
  </si>
  <si>
    <t>Vasquez D.</t>
  </si>
  <si>
    <t>Vazquez</t>
  </si>
  <si>
    <t>Veiga D.</t>
  </si>
  <si>
    <t>Vigorito</t>
  </si>
  <si>
    <t>Vitik</t>
  </si>
  <si>
    <t>Vranckx</t>
  </si>
  <si>
    <t>Vural</t>
  </si>
  <si>
    <t>Wesley</t>
  </si>
  <si>
    <t>Zarraga</t>
  </si>
  <si>
    <t>Zè Pedro</t>
  </si>
  <si>
    <t>Zhegrova</t>
  </si>
  <si>
    <t>Ingaggio Ctr. Standard</t>
  </si>
  <si>
    <t>Ingaggio Ctr Obbligo</t>
  </si>
  <si>
    <t>Ingaggio Ctr Diritto</t>
  </si>
  <si>
    <t>Empoli</t>
  </si>
  <si>
    <t>Mario Rui</t>
  </si>
  <si>
    <t>Donnarumma An.</t>
  </si>
  <si>
    <t>Monza</t>
  </si>
  <si>
    <t>D'Ambrosio</t>
  </si>
  <si>
    <t>B;Dd;Ds</t>
  </si>
  <si>
    <t>Cerri</t>
  </si>
  <si>
    <t>Petagna</t>
  </si>
  <si>
    <t>Viola</t>
  </si>
  <si>
    <t>Correa</t>
  </si>
  <si>
    <t>Duncan</t>
  </si>
  <si>
    <t>Venezia</t>
  </si>
  <si>
    <t>Faraoni</t>
  </si>
  <si>
    <t>Perisan</t>
  </si>
  <si>
    <t>Toloi</t>
  </si>
  <si>
    <t>Gagliardini</t>
  </si>
  <si>
    <t>Lapadula</t>
  </si>
  <si>
    <t>Caprari</t>
  </si>
  <si>
    <t>Sensi</t>
  </si>
  <si>
    <t>Jankto</t>
  </si>
  <si>
    <t>E;C</t>
  </si>
  <si>
    <t>Linetty</t>
  </si>
  <si>
    <t>Plizzari</t>
  </si>
  <si>
    <t>Pellegri</t>
  </si>
  <si>
    <t>Haas</t>
  </si>
  <si>
    <t>Palomino</t>
  </si>
  <si>
    <t>Bonifazi</t>
  </si>
  <si>
    <t>Di Chiara</t>
  </si>
  <si>
    <t>Karamoh</t>
  </si>
  <si>
    <t>Cyprien</t>
  </si>
  <si>
    <t>Sanchez</t>
  </si>
  <si>
    <t>Varane</t>
  </si>
  <si>
    <t>Bennacer</t>
  </si>
  <si>
    <t>Smalling</t>
  </si>
  <si>
    <t>Arnautovic</t>
  </si>
  <si>
    <t>Brancolini</t>
  </si>
  <si>
    <t>Zurkowski</t>
  </si>
  <si>
    <t>Sala M.</t>
  </si>
  <si>
    <t>Candela</t>
  </si>
  <si>
    <t>Berardi A.</t>
  </si>
  <si>
    <t>Ikone'</t>
  </si>
  <si>
    <t>Mari'</t>
  </si>
  <si>
    <t>Caldirola</t>
  </si>
  <si>
    <t>Gyasi</t>
  </si>
  <si>
    <t>Akpa Akpro</t>
  </si>
  <si>
    <t>Shomurodov</t>
  </si>
  <si>
    <t>Osorio</t>
  </si>
  <si>
    <t>Camara D.</t>
  </si>
  <si>
    <t>Raimondo</t>
  </si>
  <si>
    <t>Altare</t>
  </si>
  <si>
    <t>Ebuehi</t>
  </si>
  <si>
    <t>Svoboda</t>
  </si>
  <si>
    <t>Bjarkason</t>
  </si>
  <si>
    <t>Crnigoj</t>
  </si>
  <si>
    <t>Busio</t>
  </si>
  <si>
    <t>Bianco</t>
  </si>
  <si>
    <t>Bertinato</t>
  </si>
  <si>
    <t>Djalo'</t>
  </si>
  <si>
    <t>Daniliuc</t>
  </si>
  <si>
    <t>Haps</t>
  </si>
  <si>
    <t>Kone B.</t>
  </si>
  <si>
    <t>Bohinen</t>
  </si>
  <si>
    <t>Sambia</t>
  </si>
  <si>
    <t>Vignato S.</t>
  </si>
  <si>
    <t>Ciurria</t>
  </si>
  <si>
    <t>Gytkjaer</t>
  </si>
  <si>
    <t>Toure' I.s.</t>
  </si>
  <si>
    <t>Alidou</t>
  </si>
  <si>
    <t>Oudin</t>
  </si>
  <si>
    <t>Solbakken</t>
  </si>
  <si>
    <t>Carboni F.</t>
  </si>
  <si>
    <t>Belardinelli</t>
  </si>
  <si>
    <t>Azzi</t>
  </si>
  <si>
    <t>Stankovic F.</t>
  </si>
  <si>
    <t>Okou</t>
  </si>
  <si>
    <t>Christensen O.</t>
  </si>
  <si>
    <t>Hatzidiakos</t>
  </si>
  <si>
    <t>Wieteska</t>
  </si>
  <si>
    <t>Sazonov</t>
  </si>
  <si>
    <t>Cruz</t>
  </si>
  <si>
    <t>Buchanan T.</t>
  </si>
  <si>
    <t>Dani Silva</t>
  </si>
  <si>
    <t>Ankeye</t>
  </si>
  <si>
    <t>Mitrovic S.</t>
  </si>
  <si>
    <t>Forson O.</t>
  </si>
  <si>
    <t>Mutandwa</t>
  </si>
  <si>
    <t>Joao Costa</t>
  </si>
  <si>
    <t>Pizarro</t>
  </si>
  <si>
    <t>Kovacik</t>
  </si>
  <si>
    <t>Dahl</t>
  </si>
  <si>
    <t>Sherri</t>
  </si>
  <si>
    <t>Iovine</t>
  </si>
  <si>
    <t>Gabrielloni</t>
  </si>
  <si>
    <t>Chichizola</t>
  </si>
  <si>
    <t>Charpentier</t>
  </si>
  <si>
    <t>Grandi</t>
  </si>
  <si>
    <t>Sverko</t>
  </si>
  <si>
    <t>Andersen M.k.</t>
  </si>
  <si>
    <t>Engelhardt</t>
  </si>
  <si>
    <t>Sagrado</t>
  </si>
  <si>
    <t>Doumbia I.</t>
  </si>
  <si>
    <t>Pelmard</t>
  </si>
  <si>
    <t>Dembele' A.</t>
  </si>
  <si>
    <t>Leoni</t>
  </si>
  <si>
    <t>Vos</t>
  </si>
  <si>
    <t>Schingtienne</t>
  </si>
  <si>
    <t>Hasa</t>
  </si>
  <si>
    <t>Abankwah</t>
  </si>
  <si>
    <t>Ake' M.</t>
  </si>
  <si>
    <t>Alcaraz</t>
  </si>
  <si>
    <t>Alex Sandro</t>
  </si>
  <si>
    <t>Alvarez A.</t>
  </si>
  <si>
    <t>Amatucci</t>
  </si>
  <si>
    <t>Amey</t>
  </si>
  <si>
    <t>Amione</t>
  </si>
  <si>
    <t>Aouar</t>
  </si>
  <si>
    <t>Aresti</t>
  </si>
  <si>
    <t>Arthur Melo</t>
  </si>
  <si>
    <t>Azmoun</t>
  </si>
  <si>
    <t>Baez</t>
  </si>
  <si>
    <t>Frosinone</t>
  </si>
  <si>
    <t>Bajrami</t>
  </si>
  <si>
    <t>Bakker</t>
  </si>
  <si>
    <t>Barrenechea</t>
  </si>
  <si>
    <t>Barrow</t>
  </si>
  <si>
    <t>Bastoni S.</t>
  </si>
  <si>
    <t>Bereszynski</t>
  </si>
  <si>
    <t>Berisha</t>
  </si>
  <si>
    <t>Bettella</t>
  </si>
  <si>
    <t>Bidaoui</t>
  </si>
  <si>
    <t>Biraschi</t>
  </si>
  <si>
    <t>Blin</t>
  </si>
  <si>
    <t>Boateng J.</t>
  </si>
  <si>
    <t>Salernitana</t>
  </si>
  <si>
    <t>Boer</t>
  </si>
  <si>
    <t>Borbei</t>
  </si>
  <si>
    <t>Botheim</t>
  </si>
  <si>
    <t>Bourabia</t>
  </si>
  <si>
    <t>Braaf</t>
  </si>
  <si>
    <t>Brekalo</t>
  </si>
  <si>
    <t>Bronn</t>
  </si>
  <si>
    <t>Buchanan</t>
  </si>
  <si>
    <t>Cajuste</t>
  </si>
  <si>
    <t>Calafiori</t>
  </si>
  <si>
    <t>Camara E.</t>
  </si>
  <si>
    <t>Capradossi</t>
  </si>
  <si>
    <t>Caputo</t>
  </si>
  <si>
    <t>Caso</t>
  </si>
  <si>
    <t>Castillejo</t>
  </si>
  <si>
    <t>Ceide</t>
  </si>
  <si>
    <t>Centonze</t>
  </si>
  <si>
    <t>Cerofolini</t>
  </si>
  <si>
    <t>Cittadini</t>
  </si>
  <si>
    <t>Consigli</t>
  </si>
  <si>
    <t>Corfitzen</t>
  </si>
  <si>
    <t>Costil</t>
  </si>
  <si>
    <t>Cuni</t>
  </si>
  <si>
    <t>D'ambrosio</t>
  </si>
  <si>
    <t>Defrel</t>
  </si>
  <si>
    <t>Demme</t>
  </si>
  <si>
    <t>M</t>
  </si>
  <si>
    <t>Dendoncker</t>
  </si>
  <si>
    <t>Dermaku</t>
  </si>
  <si>
    <t>Destro</t>
  </si>
  <si>
    <t>Deulofeu</t>
  </si>
  <si>
    <t>Djidji</t>
  </si>
  <si>
    <t>Donati</t>
  </si>
  <si>
    <t>Dragusin</t>
  </si>
  <si>
    <t>Ekong</t>
  </si>
  <si>
    <t>Faticanti</t>
  </si>
  <si>
    <t>Fazio</t>
  </si>
  <si>
    <t>Felipe Anderson</t>
  </si>
  <si>
    <t>Ferrari G.</t>
  </si>
  <si>
    <t>Ferreira J.</t>
  </si>
  <si>
    <t>Fiorillo</t>
  </si>
  <si>
    <t>Florenzi</t>
  </si>
  <si>
    <t>Frattali</t>
  </si>
  <si>
    <t>Garritano</t>
  </si>
  <si>
    <t>Gasperini T.</t>
  </si>
  <si>
    <t>Gelli</t>
  </si>
  <si>
    <t>Gemello</t>
  </si>
  <si>
    <t>Gendrey</t>
  </si>
  <si>
    <t>Ghedjemis</t>
  </si>
  <si>
    <t>Gomez</t>
  </si>
  <si>
    <t>Gomis I.</t>
  </si>
  <si>
    <t>Gonzalez J.</t>
  </si>
  <si>
    <t>Gori</t>
  </si>
  <si>
    <t>Guarino</t>
  </si>
  <si>
    <t>Guessand A.</t>
  </si>
  <si>
    <t>Gunter</t>
  </si>
  <si>
    <t>Gyomber</t>
  </si>
  <si>
    <t>Hateboer</t>
  </si>
  <si>
    <t>Hefti</t>
  </si>
  <si>
    <t>Henry</t>
  </si>
  <si>
    <t>Hongla</t>
  </si>
  <si>
    <t>Hrustic</t>
  </si>
  <si>
    <t>Huijsen</t>
  </si>
  <si>
    <t>Ibrahimovic A.</t>
  </si>
  <si>
    <t>Ikwuemesi</t>
  </si>
  <si>
    <t>Infantino</t>
  </si>
  <si>
    <t>Jagiello</t>
  </si>
  <si>
    <t>Joselito</t>
  </si>
  <si>
    <t>Jovane</t>
  </si>
  <si>
    <t>Kabic</t>
  </si>
  <si>
    <t>Kaio Jorge</t>
  </si>
  <si>
    <t>Kalaj</t>
  </si>
  <si>
    <t>Kallon</t>
  </si>
  <si>
    <t>Kamada</t>
  </si>
  <si>
    <t>Karsdorp</t>
  </si>
  <si>
    <t>Kjaer</t>
  </si>
  <si>
    <t>Klaassen</t>
  </si>
  <si>
    <t>Kokorin</t>
  </si>
  <si>
    <t>Kovalenko</t>
  </si>
  <si>
    <t>Kristensen</t>
  </si>
  <si>
    <t>Kristiansen</t>
  </si>
  <si>
    <t>Krunic</t>
  </si>
  <si>
    <t>Kumbulla</t>
  </si>
  <si>
    <t>Kutlu</t>
  </si>
  <si>
    <t>Kvernadze</t>
  </si>
  <si>
    <t>Lamanna</t>
  </si>
  <si>
    <t>Legowski</t>
  </si>
  <si>
    <t>Lindstrom</t>
  </si>
  <si>
    <t>Lirola</t>
  </si>
  <si>
    <t>Llorente D.</t>
  </si>
  <si>
    <t>Lopez M.</t>
  </si>
  <si>
    <t>Lovato</t>
  </si>
  <si>
    <t>Lulic K.</t>
  </si>
  <si>
    <t>Machin</t>
  </si>
  <si>
    <t>Maggiore</t>
  </si>
  <si>
    <t>Mancosu</t>
  </si>
  <si>
    <t>Manolas</t>
  </si>
  <si>
    <t>Marchizza</t>
  </si>
  <si>
    <t>Maric</t>
  </si>
  <si>
    <t>Martegani</t>
  </si>
  <si>
    <t>Matheus Henrique</t>
  </si>
  <si>
    <t>Mboula</t>
  </si>
  <si>
    <t>Mckennie</t>
  </si>
  <si>
    <t>Miranchuk</t>
  </si>
  <si>
    <t>Mirante</t>
  </si>
  <si>
    <t>Missori</t>
  </si>
  <si>
    <t>Monterisi</t>
  </si>
  <si>
    <t>Mulattieri</t>
  </si>
  <si>
    <t>Muriel</t>
  </si>
  <si>
    <t>Nandez</t>
  </si>
  <si>
    <t>Natan</t>
  </si>
  <si>
    <t>N'dicka</t>
  </si>
  <si>
    <t>N'guessan</t>
  </si>
  <si>
    <t>Niang</t>
  </si>
  <si>
    <t>Nonge</t>
  </si>
  <si>
    <t>Obiang</t>
  </si>
  <si>
    <t>Ochoa</t>
  </si>
  <si>
    <t>Okoli</t>
  </si>
  <si>
    <t>Pafundi</t>
  </si>
  <si>
    <t>Pagano</t>
  </si>
  <si>
    <t>Pasalidis</t>
  </si>
  <si>
    <t>Pegolo</t>
  </si>
  <si>
    <t>Pellegrino</t>
  </si>
  <si>
    <t>Pereyra</t>
  </si>
  <si>
    <t>Perez N.</t>
  </si>
  <si>
    <t>Pierozzi</t>
  </si>
  <si>
    <t>Pirola</t>
  </si>
  <si>
    <t>Pogba</t>
  </si>
  <si>
    <t>Popovic</t>
  </si>
  <si>
    <t>Puscas</t>
  </si>
  <si>
    <t>Quina</t>
  </si>
  <si>
    <t>Racic</t>
  </si>
  <si>
    <t>Radonjic</t>
  </si>
  <si>
    <t>Ranocchia F.</t>
  </si>
  <si>
    <t>Reinier</t>
  </si>
  <si>
    <t>Renato Sanches</t>
  </si>
  <si>
    <t>Rodriguez R.</t>
  </si>
  <si>
    <t>Romagnoli S.</t>
  </si>
  <si>
    <t>Romero L.</t>
  </si>
  <si>
    <t>Sansone</t>
  </si>
  <si>
    <t>Saponara</t>
  </si>
  <si>
    <t>Seck</t>
  </si>
  <si>
    <t>Sepe</t>
  </si>
  <si>
    <t>Shpendi S.</t>
  </si>
  <si>
    <t>Simic J.</t>
  </si>
  <si>
    <t>Simy</t>
  </si>
  <si>
    <t>Smajlovic</t>
  </si>
  <si>
    <t>Soppy</t>
  </si>
  <si>
    <t>Sorrentino A.</t>
  </si>
  <si>
    <t>Sosa</t>
  </si>
  <si>
    <t>Soumaoro</t>
  </si>
  <si>
    <t>Spence</t>
  </si>
  <si>
    <t>Stewart</t>
  </si>
  <si>
    <t>Stolz</t>
  </si>
  <si>
    <t>Strootman</t>
  </si>
  <si>
    <t>Stubljar</t>
  </si>
  <si>
    <t>Success</t>
  </si>
  <si>
    <t>Swiderski</t>
  </si>
  <si>
    <t>Szczesny</t>
  </si>
  <si>
    <t>Tavsan</t>
  </si>
  <si>
    <t>Toljan</t>
  </si>
  <si>
    <t>Tonelli</t>
  </si>
  <si>
    <t>Touba</t>
  </si>
  <si>
    <t>Traore' Hj.</t>
  </si>
  <si>
    <t>Tressoldi</t>
  </si>
  <si>
    <t>Valencia D.</t>
  </si>
  <si>
    <t>Van Hooijdonk</t>
  </si>
  <si>
    <t>Venuti</t>
  </si>
  <si>
    <t>Vignato</t>
  </si>
  <si>
    <t>Vina</t>
  </si>
  <si>
    <t>Vinagre</t>
  </si>
  <si>
    <t>Vivaldo</t>
  </si>
  <si>
    <t>Walace</t>
  </si>
  <si>
    <t>Weissman</t>
  </si>
  <si>
    <t>Yalcin</t>
  </si>
  <si>
    <t>Zima</t>
  </si>
  <si>
    <t>Zirkzee</t>
  </si>
  <si>
    <t>nomi</t>
  </si>
  <si>
    <t>Contratti</t>
  </si>
  <si>
    <t>Tipo acquisto/cessione</t>
  </si>
  <si>
    <t>data aggiornamento</t>
  </si>
  <si>
    <t>Seghetti</t>
  </si>
  <si>
    <t>Piana</t>
  </si>
  <si>
    <t>Marcone</t>
  </si>
  <si>
    <t>Brorsson</t>
  </si>
  <si>
    <t>Jack</t>
  </si>
  <si>
    <t>Lekovic</t>
  </si>
  <si>
    <t>Hainaut</t>
  </si>
  <si>
    <t>Martins K.</t>
  </si>
  <si>
    <t>Billing</t>
  </si>
  <si>
    <t>Alli</t>
  </si>
  <si>
    <t>Kasa</t>
  </si>
  <si>
    <t>El Haddad</t>
  </si>
  <si>
    <t>Cassa</t>
  </si>
  <si>
    <t>Cisse' A.</t>
  </si>
  <si>
    <t>Manzoni</t>
  </si>
  <si>
    <t>Condè</t>
  </si>
  <si>
    <t>Haj Mohamed</t>
  </si>
  <si>
    <t>Balotelli</t>
  </si>
  <si>
    <t>Lambourde</t>
  </si>
  <si>
    <t>Kowalski</t>
  </si>
  <si>
    <t>Vlahovic V.</t>
  </si>
  <si>
    <t>data update</t>
  </si>
  <si>
    <t>Harrison</t>
  </si>
  <si>
    <t>Garcia U.</t>
  </si>
  <si>
    <t>Calligaris</t>
  </si>
  <si>
    <t>Gorter</t>
  </si>
  <si>
    <t>Balentien</t>
  </si>
  <si>
    <t>Arena A.</t>
  </si>
  <si>
    <t>Ferrante</t>
  </si>
  <si>
    <t>Tornqvist</t>
  </si>
  <si>
    <t>Isaac</t>
  </si>
  <si>
    <t>Arizala</t>
  </si>
  <si>
    <t>Durosinmi</t>
  </si>
  <si>
    <t>Trepy</t>
  </si>
  <si>
    <t>Fofana Sa.</t>
  </si>
  <si>
    <t>Ngom</t>
  </si>
  <si>
    <t>Bozhinov</t>
  </si>
  <si>
    <t>Obrador</t>
  </si>
  <si>
    <t>Loyola</t>
  </si>
  <si>
    <t>Bijlow</t>
  </si>
  <si>
    <t>Motta</t>
  </si>
  <si>
    <t>Albarracin</t>
  </si>
  <si>
    <t>Amorim</t>
  </si>
  <si>
    <t>Elphege</t>
  </si>
  <si>
    <t>Stojilkovic</t>
  </si>
  <si>
    <t>Przyborek</t>
  </si>
  <si>
    <t>Raterink</t>
  </si>
  <si>
    <t>Bowie</t>
  </si>
  <si>
    <t>Kulenovic</t>
  </si>
  <si>
    <t>Edmundsson</t>
  </si>
  <si>
    <t>Pedro Felipe</t>
  </si>
  <si>
    <t>Lahdo</t>
  </si>
  <si>
    <t>Siviero</t>
  </si>
  <si>
    <t>asteriscati</t>
  </si>
  <si>
    <t>Kouamè</t>
  </si>
  <si>
    <t>Zanimacchia</t>
  </si>
  <si>
    <t>Russo A.</t>
  </si>
  <si>
    <t>Ghion</t>
  </si>
  <si>
    <t>Guaita</t>
  </si>
  <si>
    <t>Pickel</t>
  </si>
  <si>
    <t>Ravanelli</t>
  </si>
  <si>
    <t>Castagnetti</t>
  </si>
  <si>
    <t>Quagliata</t>
  </si>
  <si>
    <t>Tourè E.</t>
  </si>
  <si>
    <t>Fini</t>
  </si>
  <si>
    <t>Cissè A.</t>
  </si>
  <si>
    <t>Veroli</t>
  </si>
  <si>
    <t>Salah-Eddine</t>
  </si>
  <si>
    <t>Cuenca H.</t>
  </si>
  <si>
    <t>Azon</t>
  </si>
  <si>
    <t>Nasti</t>
  </si>
  <si>
    <t>Rus</t>
  </si>
  <si>
    <t>Arena</t>
  </si>
  <si>
    <t>Bonfanti N.</t>
  </si>
  <si>
    <t>Lind</t>
  </si>
  <si>
    <t>Tchoca</t>
  </si>
  <si>
    <t>duplicati?</t>
  </si>
  <si>
    <t>Chiorra</t>
  </si>
  <si>
    <t>Selvik</t>
  </si>
  <si>
    <t>Stojanovic</t>
  </si>
  <si>
    <t>Esteves G.</t>
  </si>
  <si>
    <t>Cassandro</t>
  </si>
  <si>
    <t>Lucchesi</t>
  </si>
  <si>
    <t>Andersen M.K.</t>
  </si>
  <si>
    <t>Amrabat</t>
  </si>
  <si>
    <t>Tessmann</t>
  </si>
  <si>
    <t>Pereiro</t>
  </si>
  <si>
    <t>Abildgaard</t>
  </si>
  <si>
    <t>Bellemo</t>
  </si>
  <si>
    <t>Degli Innocenti</t>
  </si>
  <si>
    <t>Listkowski</t>
  </si>
  <si>
    <t>Jajalo</t>
  </si>
  <si>
    <t>Lella</t>
  </si>
  <si>
    <t>Kouda</t>
  </si>
  <si>
    <t>Melegoni</t>
  </si>
  <si>
    <t>Partipilo</t>
  </si>
  <si>
    <t>Gioacchini</t>
  </si>
  <si>
    <t>FVM M fine 24-25</t>
  </si>
  <si>
    <t>FVM inizio anno 24-25</t>
  </si>
  <si>
    <t>FVM fine 23-24</t>
  </si>
  <si>
    <t>FVM inizio 23-24</t>
  </si>
  <si>
    <t>Regressione lineare - valore 25/26</t>
  </si>
  <si>
    <t>Keita B.</t>
  </si>
  <si>
    <t>Radu I.</t>
  </si>
  <si>
    <t>Mazza</t>
  </si>
  <si>
    <t>Perez K.</t>
  </si>
  <si>
    <t>Ganvoula</t>
  </si>
  <si>
    <t>Pedrola</t>
  </si>
  <si>
    <t>Coman F.</t>
  </si>
  <si>
    <t>Gourna-Douath</t>
  </si>
  <si>
    <t>Fila</t>
  </si>
  <si>
    <t>Salama</t>
  </si>
  <si>
    <t>Scott</t>
  </si>
  <si>
    <t>Luan Patrick</t>
  </si>
  <si>
    <t>De Marzi</t>
  </si>
  <si>
    <t>Perciun</t>
  </si>
  <si>
    <t>Cacciamani</t>
  </si>
  <si>
    <t>id_giocatore</t>
  </si>
  <si>
    <t>nome</t>
  </si>
  <si>
    <t>fvm_mantra_attuale</t>
  </si>
  <si>
    <t>fvm_mantra_min</t>
  </si>
  <si>
    <t>fvm_mantra_max</t>
  </si>
  <si>
    <t>storico_completo</t>
  </si>
  <si>
    <t>val 29/07</t>
  </si>
  <si>
    <t>Marco Sportiello</t>
  </si>
  <si>
    <t>[1]</t>
  </si>
  <si>
    <t>Marten De Roon</t>
  </si>
  <si>
    <t>[38]</t>
  </si>
  <si>
    <t>Adam Masina</t>
  </si>
  <si>
    <t>[10]</t>
  </si>
  <si>
    <t>Lukasz Skorupski</t>
  </si>
  <si>
    <t>[49]</t>
  </si>
  <si>
    <t>Piotr Zielinski</t>
  </si>
  <si>
    <t>[12]</t>
  </si>
  <si>
    <t>Badelj Milan</t>
  </si>
  <si>
    <t>#VALORE!</t>
  </si>
  <si>
    <t>Matias Vecino</t>
  </si>
  <si>
    <t>[15]</t>
  </si>
  <si>
    <t>Rebic Ante</t>
  </si>
  <si>
    <t>Nicola Leali</t>
  </si>
  <si>
    <t>[28]</t>
  </si>
  <si>
    <t>Mattia Perin</t>
  </si>
  <si>
    <t>[2]</t>
  </si>
  <si>
    <t>Izzo Armando</t>
  </si>
  <si>
    <t>Lazovic Darko</t>
  </si>
  <si>
    <t>Cristiano Biraghi</t>
  </si>
  <si>
    <t>[23]</t>
  </si>
  <si>
    <t>Federico Dimarco</t>
  </si>
  <si>
    <t>[90]</t>
  </si>
  <si>
    <t>[5]</t>
  </si>
  <si>
    <t>Paulo Dybala</t>
  </si>
  <si>
    <t>[252, 258]</t>
  </si>
  <si>
    <t>Morata Alvaro</t>
  </si>
  <si>
    <t>Stefan De Vrij</t>
  </si>
  <si>
    <t>[20]</t>
  </si>
  <si>
    <t>Patric Gabarron</t>
  </si>
  <si>
    <t>[8]</t>
  </si>
  <si>
    <t>Danilo Cataldi</t>
  </si>
  <si>
    <t>Calabria Davide</t>
  </si>
  <si>
    <t>De Sciglio Mattia</t>
  </si>
  <si>
    <t>Verdi Simone</t>
  </si>
  <si>
    <t>Reina Pepe</t>
  </si>
  <si>
    <t>Sebastiano Luperto</t>
  </si>
  <si>
    <t>[18]</t>
  </si>
  <si>
    <t>Belotti Andrea</t>
  </si>
  <si>
    <t>Alessio Romagnoli</t>
  </si>
  <si>
    <t>[22]</t>
  </si>
  <si>
    <t>Paredes Leandro</t>
  </si>
  <si>
    <t>Antonio Sanabria</t>
  </si>
  <si>
    <t>[9]</t>
  </si>
  <si>
    <t>Francesco Acerbi</t>
  </si>
  <si>
    <t>[26]</t>
  </si>
  <si>
    <t>Lorenzo Pellegrini</t>
  </si>
  <si>
    <t>Matteo Politano</t>
  </si>
  <si>
    <t>[51]</t>
  </si>
  <si>
    <t>Davide Zappacosta</t>
  </si>
  <si>
    <t>[50]</t>
  </si>
  <si>
    <t>Baselli Daniele</t>
  </si>
  <si>
    <t>Alex Meret</t>
  </si>
  <si>
    <t>[92]</t>
  </si>
  <si>
    <t>Simone Scuffet</t>
  </si>
  <si>
    <t>Duvan Zapata</t>
  </si>
  <si>
    <t>[80, 112]</t>
  </si>
  <si>
    <t>Pierluigi Gollini</t>
  </si>
  <si>
    <t>Mattia Zaccagni</t>
  </si>
  <si>
    <t>[205, 197]</t>
  </si>
  <si>
    <t>Juan Cuadrado</t>
  </si>
  <si>
    <t>Pereira Pedro</t>
  </si>
  <si>
    <t>Giuseppe Pezzella</t>
  </si>
  <si>
    <t>[13]</t>
  </si>
  <si>
    <t>Bryan Cristante</t>
  </si>
  <si>
    <t>[25]</t>
  </si>
  <si>
    <t>Berat Djimsiti</t>
  </si>
  <si>
    <t>Remo Freuler</t>
  </si>
  <si>
    <t>[30]</t>
  </si>
  <si>
    <t>Stefano Sabelli</t>
  </si>
  <si>
    <t>Stephan El Shaarawy</t>
  </si>
  <si>
    <t>[17]</t>
  </si>
  <si>
    <t>Manuel Locatelli</t>
  </si>
  <si>
    <t>[34]</t>
  </si>
  <si>
    <t>Leonardo Spinazzola</t>
  </si>
  <si>
    <t>Nicolò Barella</t>
  </si>
  <si>
    <t>[58]</t>
  </si>
  <si>
    <t>Raffaele Di Gennaro</t>
  </si>
  <si>
    <t>Carlo Pinsoglio</t>
  </si>
  <si>
    <t>Rolando Mandragora</t>
  </si>
  <si>
    <t>[33, 36]</t>
  </si>
  <si>
    <t>Zampano Francesco</t>
  </si>
  <si>
    <t>Luca Mazzitelli</t>
  </si>
  <si>
    <t>Andrea Pinamonti</t>
  </si>
  <si>
    <t>[70]</t>
  </si>
  <si>
    <t>Mario Pasalic</t>
  </si>
  <si>
    <t>Moise Kean</t>
  </si>
  <si>
    <t>[375]</t>
  </si>
  <si>
    <t>Alessandro Bastoni</t>
  </si>
  <si>
    <t>[78]</t>
  </si>
  <si>
    <t>Wladimiro Falcone</t>
  </si>
  <si>
    <t>[14]</t>
  </si>
  <si>
    <t>Gianluca Scamacca</t>
  </si>
  <si>
    <t>[114, 107, 102]</t>
  </si>
  <si>
    <t>Patrick Cutrone</t>
  </si>
  <si>
    <t>[14, 22]</t>
  </si>
  <si>
    <t>Robin Gosens</t>
  </si>
  <si>
    <t>[81]</t>
  </si>
  <si>
    <t>Riccardo Orsolini</t>
  </si>
  <si>
    <t>[220, 210]</t>
  </si>
  <si>
    <t>Vanja Milinkovic-Savic</t>
  </si>
  <si>
    <t>[11]</t>
  </si>
  <si>
    <t>Cragno Alessio</t>
  </si>
  <si>
    <t>Adam Marusic</t>
  </si>
  <si>
    <t>Hakan Calhanoglu</t>
  </si>
  <si>
    <t>[160]</t>
  </si>
  <si>
    <t>Manuel Lazzari</t>
  </si>
  <si>
    <t>Bani Mattia</t>
  </si>
  <si>
    <t>Gianluca Mancini</t>
  </si>
  <si>
    <t>Florian Thauvin</t>
  </si>
  <si>
    <t>[64, 80]</t>
  </si>
  <si>
    <t>Hummels Mats</t>
  </si>
  <si>
    <t>Christian Pulisic</t>
  </si>
  <si>
    <t>[216, 209]</t>
  </si>
  <si>
    <t>Yann Sommer</t>
  </si>
  <si>
    <t>Jovic Luka</t>
  </si>
  <si>
    <t>Walker Kyle</t>
  </si>
  <si>
    <t>David De Gea</t>
  </si>
  <si>
    <t>[62]</t>
  </si>
  <si>
    <t>Matteo Darmian</t>
  </si>
  <si>
    <t>[16]</t>
  </si>
  <si>
    <t>Henrikh Mkhitaryan</t>
  </si>
  <si>
    <t>[33, 30]</t>
  </si>
  <si>
    <t>Romelu Lukaku</t>
  </si>
  <si>
    <t>[341]</t>
  </si>
  <si>
    <t>Abraham Tammy</t>
  </si>
  <si>
    <t>Aaron Martin</t>
  </si>
  <si>
    <t>[32]</t>
  </si>
  <si>
    <t>Sead Kolasinac</t>
  </si>
  <si>
    <t>[19]</t>
  </si>
  <si>
    <t>Charalampos Lykogiannis</t>
  </si>
  <si>
    <t>Federico Ravaglia</t>
  </si>
  <si>
    <t>Alessandro Buongiorno</t>
  </si>
  <si>
    <t>[44]</t>
  </si>
  <si>
    <t>Pessina Matteo</t>
  </si>
  <si>
    <t>Kouamè Christian</t>
  </si>
  <si>
    <t>Lautaro Martinez</t>
  </si>
  <si>
    <t>[380]</t>
  </si>
  <si>
    <t>Jens Odgaard</t>
  </si>
  <si>
    <t>[74]</t>
  </si>
  <si>
    <t>Zaniolo Nicolò</t>
  </si>
  <si>
    <t>Gleison Bremer</t>
  </si>
  <si>
    <t>Ivan Provedel</t>
  </si>
  <si>
    <t>[54]</t>
  </si>
  <si>
    <t>Pietro Terracciano</t>
  </si>
  <si>
    <t>Giovanni Di Lorenzo</t>
  </si>
  <si>
    <t>[57]</t>
  </si>
  <si>
    <t>Dusan Vlahovic</t>
  </si>
  <si>
    <t>[96]</t>
  </si>
  <si>
    <t>Davide Frattesi</t>
  </si>
  <si>
    <t>[49, 54]</t>
  </si>
  <si>
    <t>Benjamin Pavard</t>
  </si>
  <si>
    <t>Nicolas Ivan Gonzalez</t>
  </si>
  <si>
    <t>[37, 38]</t>
  </si>
  <si>
    <t>Matteo Guendouzi</t>
  </si>
  <si>
    <t>[23, 24]</t>
  </si>
  <si>
    <t>Ruben Loftus-Cheek</t>
  </si>
  <si>
    <t>Yerry Mina</t>
  </si>
  <si>
    <t>[21]</t>
  </si>
  <si>
    <t>Andrè Zambo Anguissa</t>
  </si>
  <si>
    <t>[59]</t>
  </si>
  <si>
    <t>Stanislav Lobotka</t>
  </si>
  <si>
    <t>Hernandez Theo</t>
  </si>
  <si>
    <t>Mike Maignan</t>
  </si>
  <si>
    <t>Evan N'Dicka</t>
  </si>
  <si>
    <t>Duda Ondrej</t>
  </si>
  <si>
    <t>Nicolussi Caviglia Hans</t>
  </si>
  <si>
    <t>Roberto Piccoli</t>
  </si>
  <si>
    <t>[87]</t>
  </si>
  <si>
    <t>Elia Caprile</t>
  </si>
  <si>
    <t>Gianluca Gaetano</t>
  </si>
  <si>
    <t>[12, 13]</t>
  </si>
  <si>
    <t>Giacomo Raspadori</t>
  </si>
  <si>
    <t>[14, 20]</t>
  </si>
  <si>
    <t>Castrovilli Gaetano</t>
  </si>
  <si>
    <t>Luca Ranieri</t>
  </si>
  <si>
    <t>Valentino Lazaro</t>
  </si>
  <si>
    <t>Matteo Gabbia</t>
  </si>
  <si>
    <t>Amir Rrahmani</t>
  </si>
  <si>
    <t>Augello Tommaso</t>
  </si>
  <si>
    <t>Joronen Jesse</t>
  </si>
  <si>
    <t>Ruslan Malinovskyi</t>
  </si>
  <si>
    <t>Marco Carnesecchi</t>
  </si>
  <si>
    <t>[71]</t>
  </si>
  <si>
    <t>Nadir Zortea</t>
  </si>
  <si>
    <t>[64]</t>
  </si>
  <si>
    <t>Nicolò Rovella</t>
  </si>
  <si>
    <t>[24]</t>
  </si>
  <si>
    <t>Gabriele Zappa</t>
  </si>
  <si>
    <t>Sebastiano Esposito</t>
  </si>
  <si>
    <t>[7, 3]</t>
  </si>
  <si>
    <t>Nicolò Fagioli</t>
  </si>
  <si>
    <t>Elmas Eljif</t>
  </si>
  <si>
    <t>Gabriel Strefezza</t>
  </si>
  <si>
    <t>[26, 37]</t>
  </si>
  <si>
    <t>Dawidowicz Pawel</t>
  </si>
  <si>
    <t>Henderson Liam</t>
  </si>
  <si>
    <t>Antonino Gallo</t>
  </si>
  <si>
    <t>Rafael Leao</t>
  </si>
  <si>
    <t>[242]</t>
  </si>
  <si>
    <t>Kyriakopoulos Georgios</t>
  </si>
  <si>
    <t>Timothy Weah</t>
  </si>
  <si>
    <t>[7]</t>
  </si>
  <si>
    <t>Guillermo Maripan</t>
  </si>
  <si>
    <t>Youssouf Fofana</t>
  </si>
  <si>
    <t>[40]</t>
  </si>
  <si>
    <t>Ademola Lookman</t>
  </si>
  <si>
    <t>[176, 180, 305]</t>
  </si>
  <si>
    <t>Juan Miranda</t>
  </si>
  <si>
    <t>Fikayo Tomori</t>
  </si>
  <si>
    <t>[55]</t>
  </si>
  <si>
    <t>Scott McTominay</t>
  </si>
  <si>
    <t>[201]</t>
  </si>
  <si>
    <t>Samuel Chukwueze</t>
  </si>
  <si>
    <t>Stefano Turati</t>
  </si>
  <si>
    <t>Michel Adopo</t>
  </si>
  <si>
    <t>Marcus Thuram</t>
  </si>
  <si>
    <t>[313, 318]</t>
  </si>
  <si>
    <t>Raoul Bellanova</t>
  </si>
  <si>
    <t>[52, 49]</t>
  </si>
  <si>
    <t>Adrien Tameze</t>
  </si>
  <si>
    <t>Alexis Saelemaekers</t>
  </si>
  <si>
    <t>[40, 46]</t>
  </si>
  <si>
    <t>Daniel Maldini</t>
  </si>
  <si>
    <t>[6]</t>
  </si>
  <si>
    <t>Lorenzo Colombo</t>
  </si>
  <si>
    <t>[36, 40]</t>
  </si>
  <si>
    <t>Carboni Andrea</t>
  </si>
  <si>
    <t>Marco Brescianini</t>
  </si>
  <si>
    <t>Lorenzo Montipò</t>
  </si>
  <si>
    <t>Marin Razvan</t>
  </si>
  <si>
    <t>Junior Messias</t>
  </si>
  <si>
    <t>Weston McKennie</t>
  </si>
  <si>
    <t>[25, 26]</t>
  </si>
  <si>
    <t>Pierre Kalulu</t>
  </si>
  <si>
    <t>Martin Erlic</t>
  </si>
  <si>
    <t>Mergim Vojvoda</t>
  </si>
  <si>
    <t>Ivan Ilic</t>
  </si>
  <si>
    <t>Ardian Ismajli</t>
  </si>
  <si>
    <t>[17, 16]</t>
  </si>
  <si>
    <t>Strahinja Pavlovic</t>
  </si>
  <si>
    <t>Maxence Caqueret</t>
  </si>
  <si>
    <t>[24, 27]</t>
  </si>
  <si>
    <t>Pohjanpalo Joel</t>
  </si>
  <si>
    <t>Josep Martinez</t>
  </si>
  <si>
    <t>Lazar Samardzic</t>
  </si>
  <si>
    <t>[31]</t>
  </si>
  <si>
    <t>Billy Gilmour</t>
  </si>
  <si>
    <t>Nahuel Estevez</t>
  </si>
  <si>
    <t>[3]</t>
  </si>
  <si>
    <t>Zito Luvumbo</t>
  </si>
  <si>
    <t>Tommaso Pobega</t>
  </si>
  <si>
    <t>Lautaro Valenti</t>
  </si>
  <si>
    <t>Simon Sohm</t>
  </si>
  <si>
    <t>[33]</t>
  </si>
  <si>
    <t>Mihaila Valentin</t>
  </si>
  <si>
    <t>Botond Balogh</t>
  </si>
  <si>
    <t>Ruggeri Matteo</t>
  </si>
  <si>
    <t>Dennis Man</t>
  </si>
  <si>
    <t>[15, 19, 30]</t>
  </si>
  <si>
    <t>Nicola Zalewski</t>
  </si>
  <si>
    <t>Bove Edoardo</t>
  </si>
  <si>
    <t>Urbanski Kacper</t>
  </si>
  <si>
    <t>Alberto Moreno</t>
  </si>
  <si>
    <t>Fabiano Parisi</t>
  </si>
  <si>
    <t>Samuele Ricci</t>
  </si>
  <si>
    <t>[29]</t>
  </si>
  <si>
    <t>Milan Djuric</t>
  </si>
  <si>
    <t>Pasquale Mazzocchi</t>
  </si>
  <si>
    <t>Nicolò Casale</t>
  </si>
  <si>
    <t>Matteo Cancellieri</t>
  </si>
  <si>
    <t>Denzel Dumfries</t>
  </si>
  <si>
    <t>[94]</t>
  </si>
  <si>
    <t>Johan Vasquez</t>
  </si>
  <si>
    <t>Andrea Cambiaso</t>
  </si>
  <si>
    <t>[60]</t>
  </si>
  <si>
    <t>Giorgio Scalvini</t>
  </si>
  <si>
    <t>Alessandro Zanoli</t>
  </si>
  <si>
    <t>Hassane Kamara</t>
  </si>
  <si>
    <t>Lucas Da Cunha</t>
  </si>
  <si>
    <t>[36]</t>
  </si>
  <si>
    <t>Khephren Thuram</t>
  </si>
  <si>
    <t>[73]</t>
  </si>
  <si>
    <t>Dan Ndoye</t>
  </si>
  <si>
    <t>[60, 91]</t>
  </si>
  <si>
    <t>Odilon Kossounou</t>
  </si>
  <si>
    <t>Manu Kouadio Konè</t>
  </si>
  <si>
    <t>[45]</t>
  </si>
  <si>
    <t>Marin Pongracic</t>
  </si>
  <si>
    <t>Nuno Tavares</t>
  </si>
  <si>
    <t>Guilbert Frederic</t>
  </si>
  <si>
    <t>Boulaye Dia</t>
  </si>
  <si>
    <t>[141, 144]</t>
  </si>
  <si>
    <t>Emil Holm</t>
  </si>
  <si>
    <t>Teun Koopmeiners</t>
  </si>
  <si>
    <t>[39, 40]</t>
  </si>
  <si>
    <t>Nikola Vlasic</t>
  </si>
  <si>
    <t>[42]</t>
  </si>
  <si>
    <t>Abdou Harroui</t>
  </si>
  <si>
    <t>Mattia Viti</t>
  </si>
  <si>
    <t>Kristjan Asllani</t>
  </si>
  <si>
    <t>Matias Soulè</t>
  </si>
  <si>
    <t>[125, 128, 130]</t>
  </si>
  <si>
    <t>Koni De Winter</t>
  </si>
  <si>
    <t>Coppola Diego</t>
  </si>
  <si>
    <t>Michel Aebischer</t>
  </si>
  <si>
    <t>[14, 9]</t>
  </si>
  <si>
    <t>Morten Frendrup</t>
  </si>
  <si>
    <t>Ederson da Silva</t>
  </si>
  <si>
    <t>Albert Gudmundsson</t>
  </si>
  <si>
    <t>[172]</t>
  </si>
  <si>
    <t>Cacace Liberato</t>
  </si>
  <si>
    <t>Filippo Terracciano</t>
  </si>
  <si>
    <t>[4]</t>
  </si>
  <si>
    <t>Fabio Miretti</t>
  </si>
  <si>
    <t>Bagnolini Nicola</t>
  </si>
  <si>
    <t>Federico Gatti</t>
  </si>
  <si>
    <t>Mario Gila</t>
  </si>
  <si>
    <t>Federico Baschirotto</t>
  </si>
  <si>
    <t>Birindelli Samuele</t>
  </si>
  <si>
    <t>Mathias Olivera</t>
  </si>
  <si>
    <t>Mile Svilar</t>
  </si>
  <si>
    <t>[82]</t>
  </si>
  <si>
    <t>Bijol Jaka</t>
  </si>
  <si>
    <t>Sandi Lovric</t>
  </si>
  <si>
    <t>Lewis Ferguson</t>
  </si>
  <si>
    <t>[27, 31]</t>
  </si>
  <si>
    <t>Emanuele Valeri</t>
  </si>
  <si>
    <t>[27]</t>
  </si>
  <si>
    <t>Thorir Johann Helgason</t>
  </si>
  <si>
    <t>Adli Yacine</t>
  </si>
  <si>
    <t>Michele Di Gregorio</t>
  </si>
  <si>
    <t>[83]</t>
  </si>
  <si>
    <t>[35]</t>
  </si>
  <si>
    <t>Colpani Andrea</t>
  </si>
  <si>
    <t>Mota Dany</t>
  </si>
  <si>
    <t>Cesare Casadei</t>
  </si>
  <si>
    <t>Samuel Gigot</t>
  </si>
  <si>
    <t>[7, 8]</t>
  </si>
  <si>
    <t>Tchaouna Loum</t>
  </si>
  <si>
    <t>Kolo Muani Randal</t>
  </si>
  <si>
    <t>Charles De Ketelaere</t>
  </si>
  <si>
    <t>[178]</t>
  </si>
  <si>
    <t>Alessio Zerbin</t>
  </si>
  <si>
    <t>Jacopo Fazzini</t>
  </si>
  <si>
    <t>Mikael Egill Ellertsson</t>
  </si>
  <si>
    <t>Juan Cabal</t>
  </si>
  <si>
    <t>Jhon Lucumì</t>
  </si>
  <si>
    <t>Isak Hien</t>
  </si>
  <si>
    <t>Nikola Moro</t>
  </si>
  <si>
    <t>Stefan Posch</t>
  </si>
  <si>
    <t>Iling Junior Samuel</t>
  </si>
  <si>
    <t>Amin Sarr</t>
  </si>
  <si>
    <t>Vitinha Carvalho Olivera</t>
  </si>
  <si>
    <t>[32, 28]</t>
  </si>
  <si>
    <t>Gvidas Gineitis</t>
  </si>
  <si>
    <t>[11, 10]</t>
  </si>
  <si>
    <t>Tommaso Martinelli</t>
  </si>
  <si>
    <t>Niccolò Pisilli</t>
  </si>
  <si>
    <t>Reda Belahyane</t>
  </si>
  <si>
    <t>Sam Beukema</t>
  </si>
  <si>
    <t>Giovanni Fabbian</t>
  </si>
  <si>
    <t>Jordan Zemura</t>
  </si>
  <si>
    <t>Lorenzo Lucca</t>
  </si>
  <si>
    <t>[58, 56]</t>
  </si>
  <si>
    <t>Yann Bisseck</t>
  </si>
  <si>
    <t>[21, 24]</t>
  </si>
  <si>
    <t>Oristanio Gaetano</t>
  </si>
  <si>
    <t>Reijnders Tijjani</t>
  </si>
  <si>
    <t>Oussama El Azzouzi</t>
  </si>
  <si>
    <t>Taty Castellanos</t>
  </si>
  <si>
    <t>[152]</t>
  </si>
  <si>
    <t>Noah Okafor</t>
  </si>
  <si>
    <t>Retegui Mateo</t>
  </si>
  <si>
    <t>Alberto Dossena</t>
  </si>
  <si>
    <t>Makoumbou Antoine</t>
  </si>
  <si>
    <t>Matturro Alan</t>
  </si>
  <si>
    <t>Alessandro Vogliacco</t>
  </si>
  <si>
    <t>Michael Folorunsho</t>
  </si>
  <si>
    <t>Ylber Ramadani</t>
  </si>
  <si>
    <t>Gustav Isaksen</t>
  </si>
  <si>
    <t>[48, 43]</t>
  </si>
  <si>
    <t>Lucas Beltran</t>
  </si>
  <si>
    <t>Burnete Rares</t>
  </si>
  <si>
    <t>Matteo Prati</t>
  </si>
  <si>
    <t>Kenan Yildiz</t>
  </si>
  <si>
    <t>[238, 242]</t>
  </si>
  <si>
    <t>Nikola Krstovic</t>
  </si>
  <si>
    <t>[135]</t>
  </si>
  <si>
    <t>Suat Serdar</t>
  </si>
  <si>
    <t>Jesper Karlsson</t>
  </si>
  <si>
    <t>Maduka Okoye</t>
  </si>
  <si>
    <t>Jackson Tchatchoua</t>
  </si>
  <si>
    <t>Martin Payero</t>
  </si>
  <si>
    <t>Christos Mandas</t>
  </si>
  <si>
    <t>Tomas Suslov</t>
  </si>
  <si>
    <t>Pietro Comuzzo</t>
  </si>
  <si>
    <t>Francesco Camarda</t>
  </si>
  <si>
    <t>Jasper Samooja</t>
  </si>
  <si>
    <t>Zeroli Kevin</t>
  </si>
  <si>
    <t>Alex Jimenez</t>
  </si>
  <si>
    <t>Lautaro Giannetti</t>
  </si>
  <si>
    <t>Saba Goglichidze</t>
  </si>
  <si>
    <t>Santiago Pierotti</t>
  </si>
  <si>
    <t>Tijjani Noslin</t>
  </si>
  <si>
    <t>Santiago Castro</t>
  </si>
  <si>
    <t>[136, 140]</t>
  </si>
  <si>
    <t>Mehdi Taremi</t>
  </si>
  <si>
    <t>Fisayo Dele-Bashiru</t>
  </si>
  <si>
    <t>Daniel Mosquera</t>
  </si>
  <si>
    <t>Daniele Ghilardi</t>
  </si>
  <si>
    <t>Kialonda Gaspar</t>
  </si>
  <si>
    <t>Balthazar Pierret</t>
  </si>
  <si>
    <t>Marin Rafa</t>
  </si>
  <si>
    <t>Martin Frese</t>
  </si>
  <si>
    <t>Mattia Felici</t>
  </si>
  <si>
    <t>Zion Suzuki</t>
  </si>
  <si>
    <t>Saul Coco</t>
  </si>
  <si>
    <t>[14, 16]</t>
  </si>
  <si>
    <t>Thijs Dallinga</t>
  </si>
  <si>
    <t>[13, 18]</t>
  </si>
  <si>
    <t>Dailon Rocha Livramento</t>
  </si>
  <si>
    <t>Filip Marchwinski</t>
  </si>
  <si>
    <t>Che Adams</t>
  </si>
  <si>
    <t>Sangarè Buba</t>
  </si>
  <si>
    <t>Iker Bravo</t>
  </si>
  <si>
    <t>[21, 12]</t>
  </si>
  <si>
    <t>Matthias Braunoder</t>
  </si>
  <si>
    <t>Alessandro Circati</t>
  </si>
  <si>
    <t>Enrico Delprato</t>
  </si>
  <si>
    <t>Adrian Bernabè</t>
  </si>
  <si>
    <t>Ange-Yoan Bonny</t>
  </si>
  <si>
    <t>[24, 13]</t>
  </si>
  <si>
    <t>Jay Idzes</t>
  </si>
  <si>
    <t>Artem Dovbyk</t>
  </si>
  <si>
    <t>[152, 150, 140, 161, 166, 198]</t>
  </si>
  <si>
    <t>Adzic Vasilije</t>
  </si>
  <si>
    <t>Mattia Liberali</t>
  </si>
  <si>
    <t>[1, 3]</t>
  </si>
  <si>
    <t>Jesper Karlstrom</t>
  </si>
  <si>
    <t>Pizzignacco Semuel</t>
  </si>
  <si>
    <t>Jurgen Ekkelenkamp</t>
  </si>
  <si>
    <t>Veiga Renato</t>
  </si>
  <si>
    <t>Lloyd Kelly</t>
  </si>
  <si>
    <t>[17, 19]</t>
  </si>
  <si>
    <t>Tengstedt Casper</t>
  </si>
  <si>
    <t>Nicolò Savona</t>
  </si>
  <si>
    <t>Jonas Rouhi</t>
  </si>
  <si>
    <t>Amir Richardson</t>
  </si>
  <si>
    <t>Luca Marianucci</t>
  </si>
  <si>
    <t>Lorenzo Torriani</t>
  </si>
  <si>
    <t>Alieu Fadera</t>
  </si>
  <si>
    <t>Sosa Borna</t>
  </si>
  <si>
    <t>Jeff Ekhator</t>
  </si>
  <si>
    <t>Marin Renato</t>
  </si>
  <si>
    <t>David Neres</t>
  </si>
  <si>
    <t>[41]</t>
  </si>
  <si>
    <t>Mbangula Samuel</t>
  </si>
  <si>
    <t>Byar Naim</t>
  </si>
  <si>
    <t>Alex Valle</t>
  </si>
  <si>
    <t>Palacios Tomas</t>
  </si>
  <si>
    <t>Nico Paz</t>
  </si>
  <si>
    <t>[119]</t>
  </si>
  <si>
    <t>Gaby Jean</t>
  </si>
  <si>
    <t>Francisco Conceicao</t>
  </si>
  <si>
    <t>[85]</t>
  </si>
  <si>
    <t>Saud Abdulhamid</t>
  </si>
  <si>
    <t>Faustino Anjorin</t>
  </si>
  <si>
    <t>Moreno Matias</t>
  </si>
  <si>
    <t>Benjamin Dominguez</t>
  </si>
  <si>
    <t>Yeboah John</t>
  </si>
  <si>
    <t>Patrizio Masini</t>
  </si>
  <si>
    <t>Oumar Solet</t>
  </si>
  <si>
    <t>[30, 37]</t>
  </si>
  <si>
    <t>Jean Butez</t>
  </si>
  <si>
    <t>Assane Diao</t>
  </si>
  <si>
    <t>[99]</t>
  </si>
  <si>
    <t>Devyne Rensch</t>
  </si>
  <si>
    <t>Santiago Gimenez</t>
  </si>
  <si>
    <t>[257, 261]</t>
  </si>
  <si>
    <t>Anastasios Douvikas</t>
  </si>
  <si>
    <t>[17, 14]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</si>
</sst>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dd&quot;/&quot;mm&quot;/&quot;yyyy&quot; &quot;h&quot;.&quot;mm"/>
    <numFmt numFmtId="166" formatCode="dd/mm/yyyy"/>
    <numFmt numFmtId="167" formatCode="#,##0.00&quot;€&quot;"/>
    <numFmt numFmtId="168" formatCode="dd/mm/yy"/>
  </numFmts>
  <fonts count="26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color rgb="FF473821"/>
      <name val="Roboto"/>
    </font>
    <font>
      <color rgb="FF0A53A8"/>
      <name val="Roboto"/>
    </font>
    <font>
      <color rgb="FFD4EDBC"/>
      <name val="Roboto"/>
    </font>
    <font>
      <color theme="1"/>
      <name val="Arial"/>
    </font>
    <font>
      <color rgb="FFE5E5E5"/>
      <name val="Roboto"/>
    </font>
    <font>
      <color rgb="FF753800"/>
      <name val="Roboto"/>
    </font>
    <font>
      <color rgb="FF3D3D3D"/>
      <name val="Roboto"/>
    </font>
    <font>
      <color rgb="FFC6DBE1"/>
      <name val="Roboto"/>
    </font>
    <font>
      <sz val="11.0"/>
      <color theme="1"/>
      <name val="Calibri"/>
    </font>
    <font>
      <color theme="1"/>
      <name val="Roboto"/>
    </font>
    <font>
      <color rgb="FF5A3286"/>
      <name val="Roboto"/>
    </font>
    <font>
      <color rgb="FFB10202"/>
      <name val="Roboto"/>
    </font>
    <font>
      <color rgb="FF11734B"/>
      <name val="Roboto"/>
    </font>
    <font>
      <sz val="11.0"/>
      <color rgb="FF000000"/>
      <name val="&quot;Aptos Narrow&quot;"/>
    </font>
    <font>
      <sz val="11.0"/>
      <color rgb="FF000000"/>
      <name val="Arial"/>
    </font>
    <font>
      <b/>
      <color rgb="FFCC0000"/>
      <name val="Roboto"/>
    </font>
    <font>
      <color rgb="FFFFCFC9"/>
      <name val="Roboto"/>
    </font>
    <font>
      <color rgb="FFFFC8AA"/>
      <name val="Roboto"/>
    </font>
    <font>
      <b/>
      <color theme="1"/>
      <name val="Arial"/>
      <scheme val="minor"/>
    </font>
    <font>
      <color rgb="FF000000"/>
      <name val="Arial"/>
    </font>
    <font>
      <color rgb="FFFFFFFF"/>
      <name val="Arial"/>
    </font>
    <font>
      <sz val="11.0"/>
      <color rgb="FF000000"/>
      <name val="Arial"/>
      <scheme val="minor"/>
    </font>
    <font>
      <sz val="11.0"/>
      <color rgb="FF000000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BF9000"/>
        <bgColor rgb="FFBF9000"/>
      </patternFill>
    </fill>
    <fill>
      <patternFill patternType="solid">
        <fgColor rgb="FFF6F8F9"/>
        <bgColor rgb="FFF6F8F9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DCDC"/>
        <bgColor rgb="FFFFDCDC"/>
      </patternFill>
    </fill>
    <fill>
      <patternFill patternType="solid">
        <fgColor rgb="FFFDE49B"/>
        <bgColor rgb="FFFDE49B"/>
      </patternFill>
    </fill>
    <fill>
      <patternFill patternType="solid">
        <fgColor rgb="FFD9E7FD"/>
        <bgColor rgb="FFD9E7FD"/>
      </patternFill>
    </fill>
    <fill>
      <patternFill patternType="solid">
        <fgColor rgb="FF404040"/>
        <bgColor rgb="FF404040"/>
      </patternFill>
    </fill>
    <fill>
      <patternFill patternType="solid">
        <fgColor rgb="FFA6E3B7"/>
        <bgColor rgb="FFA6E3B7"/>
      </patternFill>
    </fill>
    <fill>
      <patternFill patternType="solid">
        <fgColor rgb="FFFFFF00"/>
        <bgColor rgb="FFFFFF00"/>
      </patternFill>
    </fill>
    <fill>
      <patternFill patternType="solid">
        <fgColor rgb="FFF7B4AE"/>
        <bgColor rgb="FFF7B4AE"/>
      </patternFill>
    </fill>
    <fill>
      <patternFill patternType="solid">
        <fgColor rgb="FFC0E6F5"/>
        <bgColor rgb="FFC0E6F5"/>
      </patternFill>
    </fill>
    <fill>
      <patternFill patternType="solid">
        <fgColor rgb="FFFBE2D5"/>
        <bgColor rgb="FFFBE2D5"/>
      </patternFill>
    </fill>
    <fill>
      <patternFill patternType="solid">
        <fgColor rgb="FFDAF2D0"/>
        <bgColor rgb="FFDAF2D0"/>
      </patternFill>
    </fill>
    <fill>
      <patternFill patternType="solid">
        <fgColor rgb="FFD9D9D9"/>
        <bgColor rgb="FFD9D9D9"/>
      </patternFill>
    </fill>
  </fills>
  <borders count="16">
    <border/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006060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6060"/>
      </right>
      <top style="thin">
        <color rgb="FFFFFFFF"/>
      </top>
      <bottom style="thin">
        <color rgb="FFFFFFFF"/>
      </bottom>
    </border>
    <border>
      <bottom style="thick">
        <color rgb="FF6AA84F"/>
      </bottom>
    </border>
    <border>
      <left style="thin">
        <color rgb="FF006060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DCDC"/>
      </left>
      <right style="thin">
        <color rgb="FFFFDCDC"/>
      </right>
      <top style="thin">
        <color rgb="FFFFDCDC"/>
      </top>
      <bottom style="thin">
        <color rgb="FFFFDCDC"/>
      </bottom>
    </border>
    <border>
      <left style="thin">
        <color rgb="FFCFE2F3"/>
      </left>
      <right style="thin">
        <color rgb="FFCFE2F3"/>
      </right>
      <top style="thin">
        <color rgb="FFCFE2F3"/>
      </top>
      <bottom style="thin">
        <color rgb="FFCFE2F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ck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horizontal="center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3" fontId="2" numFmtId="164" xfId="0" applyAlignment="1" applyFill="1" applyFont="1" applyNumberFormat="1">
      <alignment horizontal="center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10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9" xfId="0" applyAlignment="1" applyFont="1" applyNumberFormat="1">
      <alignment readingOrder="0" shrinkToFit="0" vertical="center" wrapText="0"/>
    </xf>
    <xf borderId="0" fillId="3" fontId="2" numFmtId="49" xfId="0" applyAlignment="1" applyFont="1" applyNumberFormat="1">
      <alignment readingOrder="0" shrinkToFit="0" vertical="center" wrapText="0"/>
    </xf>
    <xf borderId="0" fillId="3" fontId="3" numFmtId="0" xfId="0" applyAlignment="1" applyFont="1">
      <alignment readingOrder="0" shrinkToFit="0" vertical="center" wrapText="0"/>
    </xf>
    <xf borderId="0" fillId="4" fontId="2" numFmtId="164" xfId="0" applyAlignment="1" applyFill="1" applyFont="1" applyNumberFormat="1">
      <alignment horizontal="center" readingOrder="0" shrinkToFit="0" vertical="center" wrapText="0"/>
    </xf>
    <xf borderId="0" fillId="3" fontId="4" numFmtId="0" xfId="0" applyAlignment="1" applyFont="1">
      <alignment readingOrder="0" shrinkToFit="0" vertical="center" wrapText="0"/>
    </xf>
    <xf borderId="0" fillId="3" fontId="2" numFmtId="0" xfId="0" applyAlignment="1" applyFont="1">
      <alignment horizontal="center" shrinkToFit="0" vertical="center" wrapText="0"/>
    </xf>
    <xf borderId="0" fillId="3" fontId="5" numFmtId="0" xfId="0" applyAlignment="1" applyFont="1">
      <alignment horizontal="right" readingOrder="0" shrinkToFit="0" vertical="center" wrapText="0"/>
    </xf>
    <xf borderId="0" fillId="3" fontId="2" numFmtId="0" xfId="0" applyAlignment="1" applyFont="1">
      <alignment shrinkToFit="0" vertical="center" wrapText="0"/>
    </xf>
    <xf borderId="0" fillId="3" fontId="6" numFmtId="0" xfId="0" applyAlignment="1" applyFont="1">
      <alignment shrinkToFit="0" vertical="center" wrapText="0"/>
    </xf>
    <xf borderId="0" fillId="3" fontId="7" numFmtId="0" xfId="0" applyAlignment="1" applyFont="1">
      <alignment shrinkToFit="0" vertical="center" wrapText="0"/>
    </xf>
    <xf borderId="0" fillId="3" fontId="6" numFmtId="0" xfId="0" applyAlignment="1" applyFont="1">
      <alignment shrinkToFit="0" vertical="center" wrapText="0"/>
    </xf>
    <xf borderId="0" fillId="3" fontId="6" numFmtId="0" xfId="0" applyAlignment="1" applyFont="1">
      <alignment shrinkToFit="0" vertical="center" wrapText="0"/>
    </xf>
    <xf borderId="0" fillId="3" fontId="2" numFmtId="0" xfId="0" applyAlignment="1" applyFont="1">
      <alignment readingOrder="0" shrinkToFit="0" vertical="center" wrapText="0"/>
    </xf>
    <xf borderId="0" fillId="3" fontId="7" numFmtId="0" xfId="0" applyAlignment="1" applyFont="1">
      <alignment readingOrder="0" shrinkToFit="0" vertical="center" wrapText="0"/>
    </xf>
    <xf borderId="0" fillId="3" fontId="2" numFmtId="49" xfId="0" applyAlignment="1" applyFont="1" applyNumberFormat="1">
      <alignment shrinkToFit="0" vertical="center" wrapText="0"/>
    </xf>
    <xf borderId="0" fillId="3" fontId="8" numFmtId="0" xfId="0" applyAlignment="1" applyFont="1">
      <alignment readingOrder="0" shrinkToFit="0" vertical="center" wrapText="0"/>
    </xf>
    <xf borderId="0" fillId="3" fontId="9" numFmtId="0" xfId="0" applyAlignment="1" applyFont="1">
      <alignment shrinkToFit="0" vertical="center" wrapText="0"/>
    </xf>
    <xf borderId="0" fillId="3" fontId="10" numFmtId="9" xfId="0" applyAlignment="1" applyFont="1" applyNumberFormat="1">
      <alignment horizontal="right" shrinkToFit="0" vertical="center" wrapText="0"/>
    </xf>
    <xf borderId="0" fillId="3" fontId="2" numFmtId="0" xfId="0" applyAlignment="1" applyFont="1">
      <alignment horizontal="center" shrinkToFit="0" vertical="center" wrapText="0"/>
    </xf>
    <xf borderId="0" fillId="3" fontId="2" numFmtId="0" xfId="0" applyAlignment="1" applyFont="1">
      <alignment horizontal="right" shrinkToFit="0" vertical="center" wrapText="0"/>
    </xf>
    <xf borderId="0" fillId="3" fontId="6" numFmtId="0" xfId="0" applyAlignment="1" applyFont="1">
      <alignment shrinkToFit="0" vertical="center" wrapText="0"/>
    </xf>
    <xf borderId="0" fillId="5" fontId="11" numFmtId="49" xfId="0" applyAlignment="1" applyFill="1" applyFont="1" applyNumberFormat="1">
      <alignment readingOrder="0" shrinkToFit="0" vertical="bottom" wrapText="0"/>
    </xf>
    <xf borderId="1" fillId="3" fontId="2" numFmtId="0" xfId="0" applyAlignment="1" applyBorder="1" applyFont="1">
      <alignment readingOrder="0" shrinkToFit="0" vertical="center" wrapText="0"/>
    </xf>
    <xf borderId="1" fillId="3" fontId="7" numFmtId="0" xfId="0" applyAlignment="1" applyBorder="1" applyFont="1">
      <alignment readingOrder="0" shrinkToFit="0" vertical="center" wrapText="0"/>
    </xf>
    <xf borderId="1" fillId="3" fontId="3" numFmtId="0" xfId="0" applyAlignment="1" applyBorder="1" applyFont="1">
      <alignment readingOrder="0" shrinkToFit="0" vertical="center" wrapText="0"/>
    </xf>
    <xf borderId="1" fillId="4" fontId="2" numFmtId="164" xfId="0" applyAlignment="1" applyBorder="1" applyFont="1" applyNumberFormat="1">
      <alignment horizontal="center" readingOrder="0" shrinkToFit="0" vertical="center" wrapText="0"/>
    </xf>
    <xf borderId="1" fillId="3" fontId="4" numFmtId="0" xfId="0" applyAlignment="1" applyBorder="1" applyFont="1">
      <alignment readingOrder="0" shrinkToFit="0" vertical="center" wrapText="0"/>
    </xf>
    <xf borderId="1" fillId="3" fontId="2" numFmtId="0" xfId="0" applyAlignment="1" applyBorder="1" applyFont="1">
      <alignment horizontal="center" shrinkToFit="0" vertical="center" wrapText="0"/>
    </xf>
    <xf borderId="1" fillId="3" fontId="5" numFmtId="0" xfId="0" applyAlignment="1" applyBorder="1" applyFont="1">
      <alignment horizontal="right"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3" fontId="2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shrinkToFit="0" vertical="center" wrapText="0"/>
    </xf>
    <xf borderId="1" fillId="3" fontId="7" numFmtId="0" xfId="0" applyAlignment="1" applyBorder="1" applyFont="1">
      <alignment shrinkToFit="0" vertical="center" wrapText="0"/>
    </xf>
    <xf borderId="2" fillId="3" fontId="6" numFmtId="0" xfId="0" applyAlignment="1" applyBorder="1" applyFont="1">
      <alignment shrinkToFit="0" vertical="center" wrapText="0"/>
    </xf>
    <xf borderId="0" fillId="3" fontId="5" numFmtId="9" xfId="0" applyAlignment="1" applyFont="1" applyNumberFormat="1">
      <alignment horizontal="right" readingOrder="0" shrinkToFit="0" vertical="center" wrapText="0"/>
    </xf>
    <xf borderId="0" fillId="3" fontId="3" numFmtId="0" xfId="0" applyAlignment="1" applyFont="1">
      <alignment shrinkToFit="0" vertical="center" wrapText="0"/>
    </xf>
    <xf borderId="0" fillId="4" fontId="2" numFmtId="164" xfId="0" applyAlignment="1" applyFont="1" applyNumberFormat="1">
      <alignment horizontal="center" shrinkToFit="0" vertical="center" wrapText="0"/>
    </xf>
    <xf borderId="0" fillId="3" fontId="5" numFmtId="10" xfId="0" applyAlignment="1" applyFont="1" applyNumberFormat="1">
      <alignment horizontal="right"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0" fillId="6" fontId="11" numFmtId="0" xfId="0" applyAlignment="1" applyFill="1" applyFont="1">
      <alignment readingOrder="0" shrinkToFit="0" vertical="bottom" wrapText="0"/>
    </xf>
    <xf borderId="5" fillId="6" fontId="11" numFmtId="0" xfId="0" applyAlignment="1" applyBorder="1" applyFont="1">
      <alignment readingOrder="0" shrinkToFit="0" vertical="bottom" wrapText="0"/>
    </xf>
    <xf borderId="0" fillId="6" fontId="11" numFmtId="49" xfId="0" applyAlignment="1" applyFont="1" applyNumberFormat="1">
      <alignment readingOrder="0" shrinkToFit="0" vertical="bottom" wrapText="0"/>
    </xf>
    <xf borderId="0" fillId="6" fontId="11" numFmtId="49" xfId="0" applyAlignment="1" applyFont="1" applyNumberFormat="1">
      <alignment shrinkToFit="0" vertical="bottom" wrapText="0"/>
    </xf>
    <xf quotePrefix="1" borderId="0" fillId="0" fontId="1" numFmtId="0" xfId="0" applyAlignment="1" applyFont="1">
      <alignment readingOrder="0" shrinkToFit="0" vertical="center" wrapText="0"/>
    </xf>
    <xf borderId="0" fillId="6" fontId="11" numFmtId="49" xfId="0" applyAlignment="1" applyFont="1" applyNumberFormat="1">
      <alignment readingOrder="0" shrinkToFit="0" vertical="center" wrapText="0"/>
    </xf>
    <xf borderId="0" fillId="6" fontId="11" numFmtId="49" xfId="0" applyAlignment="1" applyFont="1" applyNumberFormat="1">
      <alignment shrinkToFit="0" vertical="center" wrapText="0"/>
    </xf>
    <xf borderId="0" fillId="5" fontId="2" numFmtId="164" xfId="0" applyAlignment="1" applyFont="1" applyNumberFormat="1">
      <alignment horizontal="center" shrinkToFit="0" vertical="center" wrapText="0"/>
    </xf>
    <xf borderId="0" fillId="5" fontId="2" numFmtId="164" xfId="0" applyAlignment="1" applyFont="1" applyNumberFormat="1">
      <alignment horizontal="center" readingOrder="0" shrinkToFit="0" vertical="center" wrapText="0"/>
    </xf>
    <xf borderId="3" fillId="5" fontId="2" numFmtId="164" xfId="0" applyAlignment="1" applyBorder="1" applyFont="1" applyNumberFormat="1">
      <alignment horizontal="center" shrinkToFit="0" vertical="center" wrapText="0"/>
    </xf>
    <xf borderId="3" fillId="0" fontId="1" numFmtId="164" xfId="0" applyAlignment="1" applyBorder="1" applyFont="1" applyNumberFormat="1">
      <alignment horizontal="center"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49" xfId="0" applyAlignment="1" applyBorder="1" applyFont="1" applyNumberFormat="1">
      <alignment shrinkToFit="0" vertical="center" wrapText="0"/>
    </xf>
    <xf borderId="1" fillId="0" fontId="1" numFmtId="49" xfId="0" applyAlignment="1" applyBorder="1" applyFont="1" applyNumberFormat="1">
      <alignment horizontal="center" shrinkToFit="0" vertical="center" wrapText="0"/>
    </xf>
    <xf borderId="1" fillId="3" fontId="2" numFmtId="164" xfId="0" applyAlignment="1" applyBorder="1" applyFont="1" applyNumberFormat="1">
      <alignment horizontal="center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shrinkToFit="0" vertical="center" wrapText="0"/>
    </xf>
    <xf borderId="2" fillId="0" fontId="1" numFmtId="0" xfId="0" applyAlignment="1" applyBorder="1" applyFont="1">
      <alignment shrinkToFit="0" vertical="center" wrapText="0"/>
    </xf>
    <xf borderId="3" fillId="0" fontId="1" numFmtId="0" xfId="0" applyAlignment="1" applyBorder="1" applyFont="1">
      <alignment horizontal="center" shrinkToFit="0" vertical="center" wrapText="0"/>
    </xf>
    <xf borderId="3" fillId="0" fontId="1" numFmtId="0" xfId="0" applyAlignment="1" applyBorder="1" applyFont="1">
      <alignment shrinkToFit="0" vertical="center" wrapText="0"/>
    </xf>
    <xf borderId="4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5" fontId="2" numFmtId="49" xfId="0" applyAlignment="1" applyFont="1" applyNumberFormat="1">
      <alignment shrinkToFit="0" vertical="center" wrapText="0"/>
    </xf>
    <xf borderId="0" fillId="5" fontId="8" numFmtId="0" xfId="0" applyAlignment="1" applyFont="1">
      <alignment readingOrder="0" shrinkToFit="0" vertical="center" wrapText="0"/>
    </xf>
    <xf borderId="0" fillId="5" fontId="2" numFmtId="0" xfId="0" applyAlignment="1" applyFont="1">
      <alignment horizontal="center" shrinkToFit="0" vertical="center" wrapText="0"/>
    </xf>
    <xf borderId="0" fillId="5" fontId="12" numFmtId="9" xfId="0" applyAlignment="1" applyFont="1" applyNumberFormat="1">
      <alignment horizontal="right" readingOrder="0" shrinkToFit="0" vertical="center" wrapText="0"/>
    </xf>
    <xf borderId="0" fillId="5" fontId="2" numFmtId="0" xfId="0" applyAlignment="1" applyFont="1">
      <alignment horizontal="center" shrinkToFit="0" vertical="center" wrapText="0"/>
    </xf>
    <xf borderId="0" fillId="5" fontId="2" numFmtId="0" xfId="0" applyAlignment="1" applyFont="1">
      <alignment horizontal="right" shrinkToFit="0" vertical="center" wrapText="0"/>
    </xf>
    <xf borderId="0" fillId="5" fontId="6" numFmtId="0" xfId="0" applyAlignment="1" applyFont="1">
      <alignment shrinkToFit="0" vertical="center" wrapText="0"/>
    </xf>
    <xf borderId="0" fillId="5" fontId="6" numFmtId="0" xfId="0" applyAlignment="1" applyFont="1">
      <alignment shrinkToFit="0" vertical="center" wrapText="0"/>
    </xf>
    <xf borderId="0" fillId="5" fontId="6" numFmtId="0" xfId="0" applyAlignment="1" applyFont="1">
      <alignment readingOrder="0" shrinkToFit="0" vertical="center" wrapText="0"/>
    </xf>
    <xf borderId="0" fillId="5" fontId="6" numFmtId="0" xfId="0" applyAlignment="1" applyFont="1">
      <alignment readingOrder="0" shrinkToFit="0" vertical="center" wrapText="0"/>
    </xf>
    <xf borderId="0" fillId="3" fontId="13" numFmtId="0" xfId="0" applyAlignment="1" applyFont="1">
      <alignment readingOrder="0" shrinkToFit="0" vertical="center" wrapText="0"/>
    </xf>
    <xf borderId="0" fillId="3" fontId="14" numFmtId="0" xfId="0" applyAlignment="1" applyFont="1">
      <alignment shrinkToFit="0" vertical="center" wrapText="0"/>
    </xf>
    <xf borderId="0" fillId="3" fontId="6" numFmtId="0" xfId="0" applyAlignment="1" applyFont="1">
      <alignment readingOrder="0" shrinkToFit="0" vertical="center" wrapText="0"/>
    </xf>
    <xf borderId="0" fillId="3" fontId="6" numFmtId="0" xfId="0" applyAlignment="1" applyFont="1">
      <alignment shrinkToFit="0" vertical="center" wrapText="0"/>
    </xf>
    <xf borderId="0" fillId="3" fontId="15" numFmtId="0" xfId="0" applyAlignment="1" applyFont="1">
      <alignment readingOrder="0" shrinkToFit="0" vertical="center" wrapText="0"/>
    </xf>
    <xf borderId="0" fillId="3" fontId="2" numFmtId="49" xfId="0" applyAlignment="1" applyFont="1" applyNumberFormat="1">
      <alignment horizontal="center" shrinkToFit="0" vertical="center" wrapText="0"/>
    </xf>
    <xf borderId="0" fillId="3" fontId="6" numFmtId="9" xfId="0" applyAlignment="1" applyFont="1" applyNumberFormat="1">
      <alignment readingOrder="0" shrinkToFit="0" vertical="center" wrapText="0"/>
    </xf>
    <xf borderId="0" fillId="3" fontId="2" numFmtId="0" xfId="0" applyAlignment="1" applyFont="1">
      <alignment horizontal="center" shrinkToFit="0" vertical="center" wrapText="0"/>
    </xf>
    <xf borderId="3" fillId="3" fontId="2" numFmtId="49" xfId="0" applyAlignment="1" applyBorder="1" applyFont="1" applyNumberFormat="1">
      <alignment shrinkToFit="0" vertical="center" wrapText="0"/>
    </xf>
    <xf borderId="3" fillId="3" fontId="15" numFmtId="0" xfId="0" applyAlignment="1" applyBorder="1" applyFont="1">
      <alignment readingOrder="0" shrinkToFit="0" vertical="center" wrapText="0"/>
    </xf>
    <xf borderId="3" fillId="3" fontId="9" numFmtId="0" xfId="0" applyAlignment="1" applyBorder="1" applyFont="1">
      <alignment shrinkToFit="0" vertical="center" wrapText="0"/>
    </xf>
    <xf borderId="3" fillId="3" fontId="8" numFmtId="0" xfId="0" applyAlignment="1" applyBorder="1" applyFont="1">
      <alignment readingOrder="0" shrinkToFit="0" vertical="center" wrapText="0"/>
    </xf>
    <xf borderId="3" fillId="3" fontId="2" numFmtId="0" xfId="0" applyAlignment="1" applyBorder="1" applyFont="1">
      <alignment horizontal="center" shrinkToFit="0" vertical="center" wrapText="0"/>
    </xf>
    <xf borderId="3" fillId="3" fontId="12" numFmtId="9" xfId="0" applyAlignment="1" applyBorder="1" applyFont="1" applyNumberFormat="1">
      <alignment horizontal="right" readingOrder="0" shrinkToFit="0" vertical="center" wrapText="0"/>
    </xf>
    <xf borderId="3" fillId="3" fontId="2" numFmtId="0" xfId="0" applyAlignment="1" applyBorder="1" applyFont="1">
      <alignment horizontal="center" shrinkToFit="0" vertical="center" wrapText="0"/>
    </xf>
    <xf borderId="3" fillId="3" fontId="2" numFmtId="0" xfId="0" applyAlignment="1" applyBorder="1" applyFont="1">
      <alignment horizontal="right" shrinkToFit="0" vertical="center" wrapText="0"/>
    </xf>
    <xf borderId="3" fillId="3" fontId="6" numFmtId="0" xfId="0" applyAlignment="1" applyBorder="1" applyFont="1">
      <alignment shrinkToFit="0" vertical="center" wrapText="0"/>
    </xf>
    <xf borderId="3" fillId="3" fontId="6" numFmtId="0" xfId="0" applyAlignment="1" applyBorder="1" applyFont="1">
      <alignment readingOrder="0" shrinkToFit="0" vertical="center" wrapText="0"/>
    </xf>
    <xf quotePrefix="1" borderId="4" fillId="3" fontId="6" numFmtId="0" xfId="0" applyAlignment="1" applyBorder="1" applyFont="1">
      <alignment readingOrder="0" shrinkToFit="0" vertical="center" wrapText="0"/>
    </xf>
    <xf borderId="0" fillId="3" fontId="6" numFmtId="0" xfId="0" applyAlignment="1" applyFont="1">
      <alignment readingOrder="0" shrinkToFit="0" vertical="center" wrapText="0"/>
    </xf>
    <xf borderId="0" fillId="5" fontId="9" numFmtId="0" xfId="0" applyAlignment="1" applyFont="1">
      <alignment readingOrder="0" shrinkToFit="0" vertical="center" wrapText="0"/>
    </xf>
    <xf borderId="0" fillId="5" fontId="9" numFmtId="0" xfId="0" applyAlignment="1" applyFont="1">
      <alignment shrinkToFit="0" vertical="center" wrapText="0"/>
    </xf>
    <xf borderId="0" fillId="5" fontId="6" numFmtId="0" xfId="0" applyAlignment="1" applyFont="1">
      <alignment readingOrder="0" shrinkToFit="0" vertical="center" wrapText="0"/>
    </xf>
    <xf quotePrefix="1" borderId="0" fillId="3" fontId="6" numFmtId="0" xfId="0" applyAlignment="1" applyFont="1">
      <alignment readingOrder="0" shrinkToFit="0" vertical="center" wrapText="0"/>
    </xf>
    <xf borderId="0" fillId="3" fontId="6" numFmtId="0" xfId="0" applyAlignment="1" applyFont="1">
      <alignment readingOrder="0" shrinkToFit="0" vertical="center" wrapText="0"/>
    </xf>
    <xf borderId="0" fillId="3" fontId="7" numFmtId="0" xfId="0" applyAlignment="1" applyFont="1">
      <alignment readingOrder="0" shrinkToFit="0" vertical="center" wrapText="0"/>
    </xf>
    <xf borderId="1" fillId="0" fontId="1" numFmtId="49" xfId="0" applyAlignment="1" applyBorder="1" applyFont="1" applyNumberFormat="1">
      <alignment readingOrder="0" shrinkToFit="0" vertical="center" wrapText="0"/>
    </xf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" numFmtId="0" xfId="0" applyFont="1"/>
    <xf borderId="0" fillId="0" fontId="16" numFmtId="0" xfId="0" applyAlignment="1" applyFont="1">
      <alignment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shrinkToFit="0" vertical="center" wrapText="0"/>
    </xf>
    <xf borderId="0" fillId="3" fontId="9" numFmtId="0" xfId="0" applyAlignment="1" applyFont="1">
      <alignment readingOrder="0" shrinkToFit="0" vertical="center" wrapText="0"/>
    </xf>
    <xf borderId="0" fillId="7" fontId="18" numFmtId="164" xfId="0" applyAlignment="1" applyFill="1" applyFont="1" applyNumberFormat="1">
      <alignment horizontal="center" shrinkToFit="0" vertical="center" wrapText="0"/>
    </xf>
    <xf borderId="0" fillId="3" fontId="19" numFmtId="10" xfId="0" applyAlignment="1" applyFont="1" applyNumberFormat="1">
      <alignment horizontal="right" readingOrder="0" shrinkToFit="0" vertical="center" wrapText="0"/>
    </xf>
    <xf borderId="0" fillId="3" fontId="2" numFmtId="0" xfId="0" applyAlignment="1" applyFont="1">
      <alignment shrinkToFit="0" vertical="center" wrapText="0"/>
    </xf>
    <xf borderId="0" fillId="3" fontId="13" numFmtId="0" xfId="0" applyAlignment="1" applyFont="1">
      <alignment shrinkToFit="0" vertical="center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7" fillId="0" fontId="1" numFmtId="164" xfId="0" applyAlignment="1" applyBorder="1" applyFont="1" applyNumberFormat="1">
      <alignment horizontal="center" shrinkToFit="0" vertical="center" wrapText="0"/>
    </xf>
    <xf borderId="1" fillId="0" fontId="1" numFmtId="10" xfId="0" applyAlignment="1" applyBorder="1" applyFont="1" applyNumberFormat="1">
      <alignment readingOrder="0" shrinkToFit="0" vertical="center" wrapText="0"/>
    </xf>
    <xf borderId="0" fillId="0" fontId="6" numFmtId="0" xfId="0" applyAlignment="1" applyFont="1">
      <alignment vertical="bottom"/>
    </xf>
    <xf borderId="8" fillId="0" fontId="1" numFmtId="164" xfId="0" applyAlignment="1" applyBorder="1" applyFont="1" applyNumberFormat="1">
      <alignment horizontal="center" readingOrder="0" shrinkToFit="0" vertical="center" wrapText="0"/>
    </xf>
    <xf borderId="1" fillId="0" fontId="1" numFmtId="164" xfId="0" applyAlignment="1" applyBorder="1" applyFont="1" applyNumberFormat="1">
      <alignment horizontal="center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0" fillId="5" fontId="4" numFmtId="0" xfId="0" applyAlignment="1" applyFont="1">
      <alignment readingOrder="0" shrinkToFit="0" vertical="center" wrapText="0"/>
    </xf>
    <xf borderId="0" fillId="5" fontId="5" numFmtId="10" xfId="0" applyAlignment="1" applyFont="1" applyNumberFormat="1">
      <alignment horizontal="right" readingOrder="0" shrinkToFit="0" vertical="center" wrapText="0"/>
    </xf>
    <xf borderId="0" fillId="5" fontId="2" numFmtId="0" xfId="0" applyAlignment="1" applyFont="1">
      <alignment shrinkToFit="0" vertical="center" wrapText="0"/>
    </xf>
    <xf borderId="0" fillId="5" fontId="2" numFmtId="0" xfId="0" applyAlignment="1" applyFont="1">
      <alignment horizontal="center" shrinkToFit="0" vertical="center" wrapText="0"/>
    </xf>
    <xf borderId="0" fillId="5" fontId="6" numFmtId="0" xfId="0" applyAlignment="1" applyFont="1">
      <alignment shrinkToFit="0" vertical="center" wrapText="0"/>
    </xf>
    <xf borderId="0" fillId="5" fontId="6" numFmtId="0" xfId="0" applyAlignment="1" applyFont="1">
      <alignment shrinkToFit="0" vertical="center" wrapText="0"/>
    </xf>
    <xf borderId="3" fillId="0" fontId="1" numFmtId="49" xfId="0" applyAlignment="1" applyBorder="1" applyFont="1" applyNumberFormat="1">
      <alignment readingOrder="0" shrinkToFit="0" vertical="center" wrapText="0"/>
    </xf>
    <xf borderId="3" fillId="0" fontId="1" numFmtId="9" xfId="0" applyAlignment="1" applyBorder="1" applyFont="1" applyNumberFormat="1">
      <alignment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shrinkToFit="0" vertical="center" wrapText="0"/>
    </xf>
    <xf borderId="3" fillId="0" fontId="1" numFmtId="0" xfId="0" applyAlignment="1" applyBorder="1" applyFont="1">
      <alignment horizontal="center" shrinkToFit="0" vertical="center" wrapText="0"/>
    </xf>
    <xf borderId="3" fillId="3" fontId="2" numFmtId="164" xfId="0" applyAlignment="1" applyBorder="1" applyFont="1" applyNumberFormat="1">
      <alignment horizontal="center" shrinkToFit="0" vertical="center" wrapText="0"/>
    </xf>
    <xf borderId="7" fillId="7" fontId="18" numFmtId="164" xfId="0" applyAlignment="1" applyBorder="1" applyFont="1" applyNumberFormat="1">
      <alignment horizontal="center" shrinkToFit="0" vertical="center" wrapText="0"/>
    </xf>
    <xf borderId="3" fillId="3" fontId="4" numFmtId="0" xfId="0" applyAlignment="1" applyBorder="1" applyFont="1">
      <alignment readingOrder="0" shrinkToFit="0" vertical="center" wrapText="0"/>
    </xf>
    <xf borderId="3" fillId="3" fontId="5" numFmtId="10" xfId="0" applyAlignment="1" applyBorder="1" applyFont="1" applyNumberFormat="1">
      <alignment horizontal="right" readingOrder="0" shrinkToFit="0" vertical="center" wrapText="0"/>
    </xf>
    <xf borderId="3" fillId="3" fontId="2" numFmtId="0" xfId="0" applyAlignment="1" applyBorder="1" applyFont="1">
      <alignment horizontal="center" shrinkToFit="0" vertical="center" wrapText="0"/>
    </xf>
    <xf borderId="4" fillId="3" fontId="6" numFmtId="0" xfId="0" applyAlignment="1" applyBorder="1" applyFont="1">
      <alignment shrinkToFit="0" vertical="center" wrapText="0"/>
    </xf>
    <xf borderId="3" fillId="5" fontId="2" numFmtId="49" xfId="0" applyAlignment="1" applyBorder="1" applyFont="1" applyNumberFormat="1">
      <alignment shrinkToFit="0" vertical="center" wrapText="0"/>
    </xf>
    <xf borderId="3" fillId="5" fontId="8" numFmtId="0" xfId="0" applyAlignment="1" applyBorder="1" applyFont="1">
      <alignment readingOrder="0" shrinkToFit="0" vertical="center" wrapText="0"/>
    </xf>
    <xf borderId="3" fillId="5" fontId="8" numFmtId="0" xfId="0" applyAlignment="1" applyBorder="1" applyFont="1">
      <alignment shrinkToFit="0" vertical="center" wrapText="0"/>
    </xf>
    <xf borderId="3" fillId="4" fontId="2" numFmtId="164" xfId="0" applyAlignment="1" applyBorder="1" applyFont="1" applyNumberFormat="1">
      <alignment horizontal="center" shrinkToFit="0" vertical="center" wrapText="0"/>
    </xf>
    <xf borderId="3" fillId="5" fontId="5" numFmtId="10" xfId="0" applyAlignment="1" applyBorder="1" applyFont="1" applyNumberFormat="1">
      <alignment horizontal="right" readingOrder="0" shrinkToFit="0" vertical="center" wrapText="0"/>
    </xf>
    <xf borderId="3" fillId="5" fontId="2" numFmtId="0" xfId="0" applyAlignment="1" applyBorder="1" applyFont="1">
      <alignment horizontal="center" shrinkToFit="0" vertical="center" wrapText="0"/>
    </xf>
    <xf borderId="3" fillId="5" fontId="2" numFmtId="0" xfId="0" applyAlignment="1" applyBorder="1" applyFont="1">
      <alignment horizontal="center" shrinkToFit="0" vertical="center" wrapText="0"/>
    </xf>
    <xf borderId="3" fillId="5" fontId="2" numFmtId="0" xfId="0" applyAlignment="1" applyBorder="1" applyFont="1">
      <alignment horizontal="center" readingOrder="0" shrinkToFit="0" vertical="center" wrapText="0"/>
    </xf>
    <xf borderId="3" fillId="5" fontId="6" numFmtId="0" xfId="0" applyAlignment="1" applyBorder="1" applyFont="1">
      <alignment shrinkToFit="0" vertical="center" wrapText="0"/>
    </xf>
    <xf borderId="3" fillId="5" fontId="6" numFmtId="0" xfId="0" applyAlignment="1" applyBorder="1" applyFont="1">
      <alignment readingOrder="0" shrinkToFit="0" vertical="center" wrapText="0"/>
    </xf>
    <xf borderId="4" fillId="5" fontId="6" numFmtId="0" xfId="0" applyAlignment="1" applyBorder="1" applyFont="1">
      <alignment shrinkToFit="0" vertical="center" wrapText="0"/>
    </xf>
    <xf borderId="1" fillId="0" fontId="1" numFmtId="9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5" fillId="0" fontId="1" numFmtId="49" xfId="0" applyAlignment="1" applyBorder="1" applyFont="1" applyNumberFormat="1">
      <alignment readingOrder="0" shrinkToFit="0" vertical="center" wrapText="0"/>
    </xf>
    <xf borderId="0" fillId="5" fontId="14" numFmtId="0" xfId="0" applyAlignment="1" applyFont="1">
      <alignment readingOrder="0" shrinkToFit="0" vertical="center" wrapText="0"/>
    </xf>
    <xf borderId="0" fillId="5" fontId="19" numFmtId="9" xfId="0" applyAlignment="1" applyFont="1" applyNumberFormat="1">
      <alignment horizontal="right" readingOrder="0" shrinkToFit="0" vertical="center" wrapText="0"/>
    </xf>
    <xf borderId="0" fillId="5" fontId="14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3" fontId="8" numFmtId="0" xfId="0" applyAlignment="1" applyFont="1">
      <alignment shrinkToFit="0" vertical="center" wrapText="0"/>
    </xf>
    <xf borderId="0" fillId="3" fontId="12" numFmtId="10" xfId="0" applyAlignment="1" applyFont="1" applyNumberFormat="1">
      <alignment horizontal="right" readingOrder="0" shrinkToFit="0" vertical="center" wrapText="0"/>
    </xf>
    <xf borderId="3" fillId="0" fontId="1" numFmtId="10" xfId="0" applyAlignment="1" applyBorder="1" applyFont="1" applyNumberFormat="1">
      <alignment readingOrder="0" shrinkToFit="0" vertical="center" wrapText="0"/>
    </xf>
    <xf borderId="0" fillId="5" fontId="8" numFmtId="0" xfId="0" applyAlignment="1" applyFont="1">
      <alignment shrinkToFit="0" vertical="center" wrapText="0"/>
    </xf>
    <xf borderId="0" fillId="5" fontId="20" numFmtId="10" xfId="0" applyAlignment="1" applyFont="1" applyNumberFormat="1">
      <alignment horizontal="right" readingOrder="0" shrinkToFit="0" vertical="center" wrapText="0"/>
    </xf>
    <xf borderId="0" fillId="3" fontId="20" numFmtId="10" xfId="0" applyAlignment="1" applyFont="1" applyNumberFormat="1">
      <alignment horizontal="right" shrinkToFit="0" vertical="center" wrapText="0"/>
    </xf>
    <xf borderId="0" fillId="3" fontId="14" numFmtId="0" xfId="0" applyAlignment="1" applyFont="1">
      <alignment readingOrder="0" shrinkToFit="0" vertical="center" wrapText="0"/>
    </xf>
    <xf borderId="2" fillId="0" fontId="1" numFmtId="0" xfId="0" applyAlignment="1" applyBorder="1" applyFont="1">
      <alignment shrinkToFit="0" vertical="center" wrapText="0"/>
    </xf>
    <xf borderId="0" fillId="5" fontId="13" numFmtId="0" xfId="0" applyAlignment="1" applyFont="1">
      <alignment readingOrder="0" shrinkToFit="0" vertical="center" wrapText="0"/>
    </xf>
    <xf borderId="0" fillId="5" fontId="5" numFmtId="9" xfId="0" applyAlignment="1" applyFont="1" applyNumberFormat="1">
      <alignment horizontal="right" readingOrder="0" shrinkToFit="0" vertical="center" wrapText="0"/>
    </xf>
    <xf borderId="0" fillId="3" fontId="14" numFmtId="0" xfId="0" applyAlignment="1" applyFont="1">
      <alignment shrinkToFit="0" vertical="center" wrapText="0"/>
    </xf>
    <xf borderId="0" fillId="0" fontId="1" numFmtId="0" xfId="0" applyFont="1"/>
    <xf borderId="0" fillId="0" fontId="21" numFmtId="0" xfId="0" applyAlignment="1" applyFont="1">
      <alignment readingOrder="0"/>
    </xf>
    <xf borderId="0" fillId="0" fontId="21" numFmtId="0" xfId="0" applyAlignment="1" applyFont="1">
      <alignment horizontal="left" shrinkToFit="0" wrapText="1"/>
    </xf>
    <xf borderId="0" fillId="0" fontId="21" numFmtId="0" xfId="0" applyFont="1"/>
    <xf borderId="0" fillId="0" fontId="2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shrinkToFit="0" wrapText="1"/>
    </xf>
    <xf borderId="9" fillId="0" fontId="22" numFmtId="0" xfId="0" applyAlignment="1" applyBorder="1" applyFont="1">
      <alignment readingOrder="0" shrinkToFit="0" vertical="bottom" wrapText="0"/>
    </xf>
    <xf borderId="10" fillId="8" fontId="22" numFmtId="0" xfId="0" applyAlignment="1" applyBorder="1" applyFill="1" applyFont="1">
      <alignment readingOrder="0" shrinkToFit="0" vertical="bottom" wrapText="0"/>
    </xf>
    <xf borderId="10" fillId="9" fontId="22" numFmtId="0" xfId="0" applyAlignment="1" applyBorder="1" applyFill="1" applyFont="1">
      <alignment readingOrder="0" shrinkToFit="0" vertical="bottom" wrapText="0"/>
    </xf>
    <xf borderId="10" fillId="10" fontId="23" numFmtId="0" xfId="0" applyAlignment="1" applyBorder="1" applyFill="1" applyFont="1">
      <alignment readingOrder="0" shrinkToFit="0" vertical="bottom" wrapText="0"/>
    </xf>
    <xf borderId="10" fillId="11" fontId="22" numFmtId="0" xfId="0" applyAlignment="1" applyBorder="1" applyFill="1" applyFont="1">
      <alignment readingOrder="0" shrinkToFit="0" vertical="bottom" wrapText="0"/>
    </xf>
    <xf borderId="11" fillId="11" fontId="17" numFmtId="0" xfId="0" applyAlignment="1" applyBorder="1" applyFont="1">
      <alignment readingOrder="0" shrinkToFit="0" vertical="bottom" wrapText="0"/>
    </xf>
    <xf borderId="12" fillId="0" fontId="22" numFmtId="0" xfId="0" applyAlignment="1" applyBorder="1" applyFont="1">
      <alignment readingOrder="0" shrinkToFit="0" vertical="bottom" wrapText="0"/>
    </xf>
    <xf borderId="12" fillId="0" fontId="22" numFmtId="0" xfId="0" applyAlignment="1" applyBorder="1" applyFont="1">
      <alignment horizontal="right" readingOrder="0" shrinkToFit="0" vertical="bottom" wrapText="0"/>
    </xf>
    <xf borderId="12" fillId="0" fontId="22" numFmtId="166" xfId="0" applyAlignment="1" applyBorder="1" applyFont="1" applyNumberFormat="1">
      <alignment horizontal="right" readingOrder="0" shrinkToFit="0" vertical="bottom" wrapText="0"/>
    </xf>
    <xf borderId="12" fillId="0" fontId="22" numFmtId="0" xfId="0" applyAlignment="1" applyBorder="1" applyFont="1">
      <alignment horizontal="center" readingOrder="0" shrinkToFit="0" vertical="bottom" wrapText="0"/>
    </xf>
    <xf borderId="0" fillId="0" fontId="22" numFmtId="0" xfId="0" applyAlignment="1" applyFont="1">
      <alignment readingOrder="0" shrinkToFit="0" vertical="bottom" wrapText="0"/>
    </xf>
    <xf borderId="11" fillId="0" fontId="22" numFmtId="166" xfId="0" applyAlignment="1" applyBorder="1" applyFont="1" applyNumberFormat="1">
      <alignment horizontal="right" readingOrder="0" shrinkToFit="0" vertical="bottom" wrapText="0"/>
    </xf>
    <xf borderId="10" fillId="0" fontId="22" numFmtId="0" xfId="0" applyAlignment="1" applyBorder="1" applyFont="1">
      <alignment readingOrder="0" shrinkToFit="0" vertical="bottom" wrapText="0"/>
    </xf>
    <xf borderId="11" fillId="11" fontId="17" numFmtId="0" xfId="0" applyAlignment="1" applyBorder="1" applyFont="1">
      <alignment readingOrder="0" vertical="bottom"/>
    </xf>
    <xf borderId="13" fillId="0" fontId="22" numFmtId="0" xfId="0" applyAlignment="1" applyBorder="1" applyFont="1">
      <alignment readingOrder="0" shrinkToFit="0" vertical="bottom" wrapText="0"/>
    </xf>
    <xf borderId="14" fillId="11" fontId="17" numFmtId="0" xfId="0" applyAlignment="1" applyBorder="1" applyFont="1">
      <alignment readingOrder="0" vertical="bottom"/>
    </xf>
    <xf borderId="13" fillId="0" fontId="22" numFmtId="0" xfId="0" applyAlignment="1" applyBorder="1" applyFont="1">
      <alignment horizontal="right" readingOrder="0" shrinkToFit="0" vertical="bottom" wrapText="0"/>
    </xf>
    <xf borderId="9" fillId="11" fontId="17" numFmtId="0" xfId="0" applyAlignment="1" applyBorder="1" applyFont="1">
      <alignment readingOrder="0" vertical="bottom"/>
    </xf>
    <xf borderId="10" fillId="0" fontId="22" numFmtId="0" xfId="0" applyAlignment="1" applyBorder="1" applyFont="1">
      <alignment horizontal="right" readingOrder="0" shrinkToFit="0" vertical="bottom" wrapText="0"/>
    </xf>
    <xf borderId="11" fillId="12" fontId="17" numFmtId="0" xfId="0" applyAlignment="1" applyBorder="1" applyFill="1" applyFont="1">
      <alignment readingOrder="0" shrinkToFit="0" vertical="bottom" wrapText="0"/>
    </xf>
    <xf borderId="11" fillId="13" fontId="17" numFmtId="0" xfId="0" applyAlignment="1" applyBorder="1" applyFill="1" applyFont="1">
      <alignment readingOrder="0" shrinkToFit="0" vertical="bottom" wrapText="0"/>
    </xf>
    <xf borderId="13" fillId="13" fontId="22" numFmtId="0" xfId="0" applyAlignment="1" applyBorder="1" applyFont="1">
      <alignment readingOrder="0" shrinkToFit="0" vertical="bottom" wrapText="0"/>
    </xf>
    <xf borderId="12" fillId="13" fontId="22" numFmtId="0" xfId="0" applyAlignment="1" applyBorder="1" applyFont="1">
      <alignment readingOrder="0" shrinkToFit="0" vertical="bottom" wrapText="0"/>
    </xf>
    <xf borderId="12" fillId="13" fontId="22" numFmtId="0" xfId="0" applyAlignment="1" applyBorder="1" applyFont="1">
      <alignment horizontal="right" readingOrder="0" shrinkToFit="0" vertical="bottom" wrapText="0"/>
    </xf>
    <xf borderId="0" fillId="13" fontId="22" numFmtId="0" xfId="0" applyAlignment="1" applyFont="1">
      <alignment readingOrder="0" shrinkToFit="0" vertical="bottom" wrapText="0"/>
    </xf>
    <xf borderId="11" fillId="13" fontId="22" numFmtId="166" xfId="0" applyAlignment="1" applyBorder="1" applyFont="1" applyNumberFormat="1">
      <alignment horizontal="right" readingOrder="0" shrinkToFit="0" vertical="bottom" wrapText="0"/>
    </xf>
    <xf borderId="12" fillId="13" fontId="22" numFmtId="0" xfId="0" applyAlignment="1" applyBorder="1" applyFont="1">
      <alignment horizontal="center"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1" numFmtId="0" xfId="0" applyAlignment="1" applyFont="1">
      <alignment horizontal="right" readingOrder="0" shrinkToFit="0" vertical="bottom" wrapText="0"/>
    </xf>
    <xf borderId="10" fillId="0" fontId="11" numFmtId="0" xfId="0" applyAlignment="1" applyBorder="1" applyFont="1">
      <alignment readingOrder="0" shrinkToFit="0" vertical="bottom" wrapText="0"/>
    </xf>
    <xf borderId="9" fillId="0" fontId="11" numFmtId="0" xfId="0" applyAlignment="1" applyBorder="1" applyFont="1">
      <alignment readingOrder="0" shrinkToFit="0" vertical="bottom" wrapText="0"/>
    </xf>
    <xf borderId="10" fillId="14" fontId="11" numFmtId="0" xfId="0" applyAlignment="1" applyBorder="1" applyFill="1" applyFont="1">
      <alignment horizontal="center" readingOrder="0" shrinkToFit="0" wrapText="0"/>
    </xf>
    <xf borderId="10" fillId="15" fontId="11" numFmtId="0" xfId="0" applyAlignment="1" applyBorder="1" applyFill="1" applyFont="1">
      <alignment horizontal="center" readingOrder="0" shrinkToFit="0" wrapText="0"/>
    </xf>
    <xf borderId="10" fillId="16" fontId="11" numFmtId="0" xfId="0" applyAlignment="1" applyBorder="1" applyFill="1" applyFont="1">
      <alignment horizontal="center" readingOrder="0" shrinkToFit="0" wrapText="0"/>
    </xf>
    <xf borderId="12" fillId="0" fontId="11" numFmtId="0" xfId="0" applyAlignment="1" applyBorder="1" applyFont="1">
      <alignment readingOrder="0" shrinkToFit="0" vertical="bottom" wrapText="0"/>
    </xf>
    <xf borderId="11" fillId="0" fontId="11" numFmtId="0" xfId="0" applyAlignment="1" applyBorder="1" applyFont="1">
      <alignment horizontal="right" readingOrder="0" shrinkToFit="0" vertical="bottom" wrapText="0"/>
    </xf>
    <xf borderId="12" fillId="0" fontId="11" numFmtId="0" xfId="0" applyAlignment="1" applyBorder="1" applyFont="1">
      <alignment horizontal="right" readingOrder="0" shrinkToFit="0" vertical="bottom" wrapText="0"/>
    </xf>
    <xf borderId="12" fillId="14" fontId="11" numFmtId="167" xfId="0" applyAlignment="1" applyBorder="1" applyFont="1" applyNumberFormat="1">
      <alignment horizontal="center" readingOrder="0" shrinkToFit="0" wrapText="0"/>
    </xf>
    <xf borderId="12" fillId="15" fontId="11" numFmtId="167" xfId="0" applyAlignment="1" applyBorder="1" applyFont="1" applyNumberFormat="1">
      <alignment horizontal="center" readingOrder="0" shrinkToFit="0" wrapText="0"/>
    </xf>
    <xf borderId="12" fillId="16" fontId="11" numFmtId="167" xfId="0" applyAlignment="1" applyBorder="1" applyFont="1" applyNumberFormat="1">
      <alignment horizontal="center" readingOrder="0" shrinkToFit="0" wrapText="0"/>
    </xf>
    <xf borderId="12" fillId="0" fontId="1" numFmtId="0" xfId="0" applyBorder="1" applyFont="1"/>
    <xf borderId="0" fillId="14" fontId="11" numFmtId="167" xfId="0" applyAlignment="1" applyFont="1" applyNumberFormat="1">
      <alignment horizontal="center" readingOrder="0" shrinkToFit="0" wrapText="0"/>
    </xf>
    <xf borderId="0" fillId="15" fontId="11" numFmtId="167" xfId="0" applyAlignment="1" applyFont="1" applyNumberFormat="1">
      <alignment horizontal="center" readingOrder="0" shrinkToFit="0" wrapText="0"/>
    </xf>
    <xf borderId="0" fillId="16" fontId="11" numFmtId="167" xfId="0" applyAlignment="1" applyFont="1" applyNumberFormat="1">
      <alignment horizontal="center" readingOrder="0" shrinkToFit="0" wrapText="0"/>
    </xf>
    <xf borderId="0" fillId="0" fontId="22" numFmtId="0" xfId="0" applyAlignment="1" applyFont="1">
      <alignment readingOrder="0" shrinkToFit="0" vertical="bottom" wrapText="0"/>
    </xf>
    <xf borderId="0" fillId="12" fontId="22" numFmtId="0" xfId="0" applyAlignment="1" applyFont="1">
      <alignment horizontal="right" readingOrder="0" shrinkToFit="0" vertical="bottom" wrapText="0"/>
    </xf>
    <xf borderId="0" fillId="12" fontId="22" numFmtId="0" xfId="0" applyAlignment="1" applyFont="1">
      <alignment readingOrder="0" shrinkToFit="0" vertical="bottom" wrapText="0"/>
    </xf>
    <xf borderId="0" fillId="0" fontId="22" numFmtId="0" xfId="0" applyAlignment="1" applyFont="1">
      <alignment horizontal="right" readingOrder="0" shrinkToFit="0" vertical="bottom" wrapText="0"/>
    </xf>
    <xf borderId="15" fillId="17" fontId="24" numFmtId="0" xfId="0" applyAlignment="1" applyBorder="1" applyFill="1" applyFont="1">
      <alignment horizontal="center" readingOrder="0" shrinkToFit="0" vertical="center" wrapText="1"/>
    </xf>
    <xf borderId="15" fillId="17" fontId="24" numFmtId="164" xfId="0" applyAlignment="1" applyBorder="1" applyFont="1" applyNumberFormat="1">
      <alignment horizontal="center" readingOrder="0" shrinkToFit="0" vertical="center" wrapText="1"/>
    </xf>
    <xf borderId="12" fillId="17" fontId="17" numFmtId="0" xfId="0" applyAlignment="1" applyBorder="1" applyFont="1">
      <alignment horizontal="center" readingOrder="0"/>
    </xf>
    <xf borderId="0" fillId="0" fontId="25" numFmtId="0" xfId="0" applyAlignment="1" applyFont="1">
      <alignment readingOrder="0" shrinkToFit="0" vertical="bottom" wrapText="0"/>
    </xf>
    <xf borderId="0" fillId="0" fontId="1" numFmtId="168" xfId="0" applyAlignment="1" applyFont="1" applyNumberFormat="1">
      <alignment readingOrder="0"/>
    </xf>
    <xf borderId="0" fillId="12" fontId="25" numFmtId="0" xfId="0" applyAlignment="1" applyFont="1">
      <alignment readingOrder="0" shrinkToFit="0" vertical="bottom" wrapText="0"/>
    </xf>
    <xf borderId="0" fillId="12" fontId="11" numFmtId="0" xfId="0" applyAlignment="1" applyFont="1">
      <alignment horizontal="right" readingOrder="0" shrinkToFit="0" vertical="bottom" wrapText="0"/>
    </xf>
    <xf borderId="0" fillId="12" fontId="11" numFmtId="0" xfId="0" applyAlignment="1" applyFont="1">
      <alignment readingOrder="0" shrinkToFit="0" vertical="bottom" wrapText="0"/>
    </xf>
    <xf borderId="0" fillId="12" fontId="1" numFmtId="0" xfId="0" applyAlignment="1" applyFont="1">
      <alignment readingOrder="0"/>
    </xf>
    <xf borderId="0" fillId="0" fontId="16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008080"/>
          <bgColor rgb="FF00808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008080"/>
        </left>
        <right style="thin">
          <color rgb="FF008080"/>
        </right>
        <top style="thin">
          <color rgb="FF008080"/>
        </top>
        <bottom style="thin">
          <color rgb="FF008080"/>
        </bottom>
      </border>
    </dxf>
    <dxf>
      <font>
        <b/>
        <color rgb="FFCC0000"/>
      </font>
      <fill>
        <patternFill patternType="solid">
          <fgColor rgb="FFFFDCDC"/>
          <bgColor rgb="FFFFDCDC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  <tableStyles count="2">
    <tableStyle count="4" pivot="0" name="Gestionale_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CK_Gestional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Fabio Monti" id="{779b0774-a5e2-4faa-a5f3-44c21828957c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M435" sheet="Gestionale_"/>
  </cacheSource>
  <cacheFields>
    <cacheField name="Colonna 1">
      <sharedItems containsMixedTypes="1" containsNumber="1" containsInteger="1">
        <n v="6593.0"/>
        <n v="4772.0"/>
        <n v="761.0"/>
        <n v="184.0"/>
        <n v="6495.0"/>
        <e v="#N/A"/>
        <n v="779.0"/>
        <n v="5544.0"/>
        <n v="5995.0"/>
        <n v="22.0"/>
        <n v="2816.0"/>
        <n v="5851.0"/>
        <n v="6047.0"/>
        <n v="4463.0"/>
        <n v="6046.0"/>
        <n v="5850.0"/>
        <n v="6215.0"/>
        <n v="6042.0"/>
        <n v="2296.0"/>
        <n v="4734.0"/>
        <n v="2765.0"/>
        <n v="2077.0"/>
        <n v="5603.0"/>
        <n v="4378.0"/>
        <n v="2722.0"/>
        <n v="5453.0"/>
        <n v="4892.0"/>
        <n v="6523.0"/>
        <n v="133.0"/>
        <n v="5844.0"/>
        <n v="2841.0"/>
        <n v="5422.0"/>
        <n v="4461.0"/>
        <n v="5998.0"/>
        <n v="6151.0"/>
        <n v="5820.0"/>
        <n v="7255.0"/>
        <n v="5036.0"/>
        <n v="2678.0"/>
        <n v="4159.0"/>
        <n v="7143.0"/>
        <n v="6013.0"/>
        <n v="6666.0"/>
        <n v="7139.0"/>
        <n v="5885.0"/>
        <n v="7017.0"/>
        <n v="4401.0"/>
        <n v="7162.0"/>
        <n v="2097.0"/>
        <n v="6893.0"/>
        <n v="7199.0"/>
        <n v="5589.0"/>
        <n v="6060.0"/>
        <n v="4287.0"/>
        <n v="1933.0"/>
        <n v="4904.0"/>
        <n v="4210.0"/>
        <n v="7202.0"/>
        <n v="4349.0"/>
        <n v="7271.0"/>
        <n v="6218.0"/>
        <n v="2167.0"/>
        <n v="770.0"/>
        <n v="2038.0"/>
        <n v="2423.0"/>
        <n v="2379.0"/>
        <n v="5119.0"/>
        <n v="6641.0"/>
        <n v="5841.0"/>
        <n v="6125.0"/>
        <n v="7181.0"/>
        <n v="7169.0"/>
        <n v="610.0"/>
        <n v="7356.0"/>
        <n v="4137.0"/>
        <n v="554.0"/>
        <n v="4947.0"/>
        <n v="7223.0"/>
        <n v="6575.0"/>
        <n v="6380.0"/>
        <n v="7254.0"/>
        <n v="2764.0"/>
        <n v="1852.0"/>
        <n v="388.0"/>
        <n v="4436.0"/>
        <n v="5888.0"/>
        <n v="4856.0"/>
        <n v="6642.0"/>
        <n v="6665.0"/>
        <n v="7276.0"/>
        <n v="5559.0"/>
        <n v="6967.0"/>
        <n v="787.0"/>
        <n v="5471.0"/>
        <n v="4502.0"/>
        <n v="6170.0"/>
        <n v="7179.0"/>
        <n v="7128.0"/>
        <n v="2531.0"/>
        <n v="2606.0"/>
        <n v="7155.0"/>
        <n v="6814.0"/>
        <n v="7023.0"/>
        <n v="6424.0"/>
        <n v="6869.0"/>
        <n v="7129.0"/>
        <n v="6803.0"/>
        <n v="6842.0"/>
        <n v="2861.0"/>
        <n v="5620.0"/>
        <n v="5307.0"/>
        <n v="7133.0"/>
        <n v="2499.0"/>
        <n v="4994.0"/>
        <n v="4220.0"/>
        <n v="4360.0"/>
        <n v="7125.0"/>
        <n v="5674.0"/>
        <n v="6274.0"/>
        <n v="7351.0"/>
        <n v="6190.0"/>
        <n v="7146.0"/>
        <n v="5320.0"/>
        <n v="2120.0"/>
        <n v="6217.0"/>
        <n v="6219.0"/>
        <n v="505.0"/>
        <n v="5992.0"/>
        <n v="2194.0"/>
        <n v="6106.0"/>
        <n v="2525.0"/>
        <n v="2521.0"/>
        <n v="5792.0"/>
        <n v="7071.0"/>
        <n v="2134.0"/>
        <n v="5791.0"/>
        <n v="5010.0"/>
        <n v="7203.0"/>
        <n v="7120.0"/>
        <n v="188.0"/>
        <n v="313.0"/>
        <n v="5840.0"/>
        <n v="6314.0"/>
        <n v="6552.0"/>
        <n v="6832.0"/>
        <n v="4359.0"/>
        <n v="6549.0"/>
        <n v="7240.0"/>
        <n v="6956.0"/>
        <n v="6989.0"/>
        <n v="5168.0"/>
        <n v="5862.0"/>
        <n v="5687.0"/>
        <n v="5527.0"/>
        <n v="152.0"/>
        <n v="7260.0"/>
        <n v="4236.0"/>
        <n v="4263.0"/>
        <n v="7219.0"/>
        <n v="7028.0"/>
        <n v="7126.0"/>
        <n v="6164.0"/>
        <n v="2489.0"/>
        <n v="7165.0"/>
        <n v="6813.0"/>
        <n v="513.0"/>
        <n v="4870.0"/>
        <n v="1870.0"/>
        <n v="6496.0"/>
        <n v="5835.0"/>
        <n v="441.0"/>
        <n v="531.0"/>
        <n v="2788.0"/>
        <n v="6884.0"/>
        <n v="322.0"/>
        <n v="7196.0"/>
        <n v="5513.0"/>
        <n v="6822.0"/>
        <n v="6271.0"/>
        <n v="4479.0"/>
        <n v="5273.0"/>
        <n v="4686.0"/>
        <n v="2848.0"/>
        <n v="785.0"/>
        <n v="6766.0"/>
        <n v="6717.0"/>
        <n v="5578.0"/>
        <n v="4312.0"/>
        <n v="2593.0"/>
        <n v="49.0"/>
        <n v="4317.0"/>
        <n v="7001.0"/>
        <n v="5701.0"/>
        <n v="6875.0"/>
        <n v="479.0"/>
        <n v="5526.0"/>
        <n v="5319.0"/>
        <n v="7135.0"/>
        <n v="2815.0"/>
        <n v="4871.0"/>
        <n v="632.0"/>
        <n v="2766.0"/>
        <n v="7014.0"/>
        <n v="4374.0"/>
        <n v="6112.0"/>
        <n v="5301.0"/>
        <n v="1976.0"/>
        <n v="530.0"/>
        <n v="5585.0"/>
        <n v="254.0"/>
        <n v="6010.0"/>
        <n v="2061.0"/>
        <n v="6908.0"/>
        <n v="6191.0"/>
        <n v="6653.0"/>
        <n v="6039.0"/>
        <n v="6572.0"/>
        <n v="7222.0"/>
        <n v="5739.0"/>
        <n v="6629.0"/>
        <n v="5876.0"/>
        <n v="5672.0"/>
        <n v="309.0"/>
        <n v="4465.0"/>
        <n v="4364.0"/>
        <n v="6632.0"/>
        <n v="5833.0"/>
        <n v="5427.0"/>
        <n v="5678.0"/>
        <n v="4976.0"/>
        <n v="5685.0"/>
        <n v="4510.0"/>
        <n v="827.0"/>
        <n v="6145.0"/>
        <n v="7185.0"/>
        <n v="6984.0"/>
        <n v="218.0"/>
        <n v="5298.0"/>
        <n v="4459.0"/>
        <n v="5734.0"/>
        <n v="5561.0"/>
        <n v="5812.0"/>
        <n v="5562.0"/>
        <n v="4751.0"/>
        <n v="5514.0"/>
        <n v="449.0"/>
        <n v="7314.0"/>
        <n v="7318.0"/>
        <n v="5823.0"/>
        <n v="7008.0"/>
        <n v="6916.0"/>
        <n v="5719.0"/>
        <n v="6202.0"/>
        <n v="6966.0"/>
        <n v="5877.0"/>
        <n v="6663.0"/>
        <n v="6895.0"/>
        <n v="6675.0"/>
        <n v="6684.0"/>
        <n v="6206.0"/>
        <n v="5858.0"/>
        <n v="7131.0"/>
        <n v="7212.0"/>
        <n v="6052.0"/>
        <n v="6005.0"/>
        <n v="6435.0"/>
        <n v="6246.0"/>
        <n v="6482.0"/>
        <n v="6054.0"/>
        <n v="7138.0"/>
        <n v="6066.0"/>
        <n v="2814.0"/>
        <n v="6844.0"/>
        <n v="4409.0"/>
        <n v="7252.0"/>
        <n v="6024.0"/>
        <n v="5318.0"/>
        <n v="7068.0"/>
        <n v="4433.0"/>
        <n v="6417.0"/>
        <n v="788.0"/>
        <n v="252.0"/>
        <n v="6669.0"/>
        <n v="7171.0"/>
        <n v="6226.0"/>
        <n v="4657.0"/>
        <n v="7132.0"/>
        <n v="795.0"/>
        <n v="6020.0"/>
        <n v="6252.0"/>
        <n v="5831.0"/>
        <n v="6631.0"/>
        <n v="5872.0"/>
        <n v="6398.0"/>
        <n v="6485.0"/>
        <n v="393.0"/>
        <n v="6809.0"/>
        <n v="5116.0"/>
        <n v="2529.0"/>
        <n v="6294.0"/>
        <n v="6827.0"/>
        <n v="536.0"/>
        <n v="460.0"/>
        <n v="6159.0"/>
        <n v="2428.0"/>
        <n v="7070.0"/>
        <n v="6980.0"/>
        <n v="608.0"/>
        <n v="2640.0"/>
        <n v="5336.0"/>
        <n v="7183.0"/>
        <n v="4887.0"/>
        <n v="6519.0"/>
        <n v="4431.0"/>
        <n v="2155.0"/>
        <n v="5637.0"/>
        <n v="2517.0"/>
        <n v="6365.0"/>
        <n v="6722.0"/>
        <n v="7272.0"/>
        <n v="4730.0"/>
        <n v="4665.0"/>
        <n v="2188.0"/>
        <n v="6917.0"/>
        <n v="6411.0"/>
        <n v="4777.0"/>
        <n v="7208.0"/>
        <n v="4957.0"/>
        <n v="5022.0"/>
        <n v="4.0"/>
        <n v="5918.0"/>
        <n v="6957.0"/>
        <n v="6867.0"/>
        <n v="6896.0"/>
        <n v="2297.0"/>
        <n v="7326.0"/>
        <n v="7069.0"/>
        <n v="5735.0"/>
        <n v="2832.0"/>
        <n v="4371.0"/>
        <n v="6981.0"/>
        <n v="7127.0"/>
        <n v="6677.0"/>
        <n v="2670.0"/>
        <n v="2724.0"/>
        <n v="5520.0"/>
        <n v="4923.0"/>
        <n v="6664.0"/>
        <n v="647.0"/>
        <n v="6537.0"/>
        <n v="2160.0"/>
        <n v="5800.0"/>
        <n v="4186.0"/>
        <n v="4807.0"/>
        <n v="6672.0"/>
        <n v="256.0"/>
        <n v="5555.0"/>
        <n v="4711.0"/>
        <n v="4199.0"/>
        <n v="4896.0"/>
        <n v="4973.0"/>
        <n v="572.0"/>
        <n v="2170.0"/>
        <n v="6831.0"/>
        <n v="4728.0"/>
        <n v="6925.0"/>
        <n v="2137.0"/>
        <n v="6434.0"/>
        <n v="6211.0"/>
        <n v="5761.0"/>
        <n v="2845.0"/>
        <n v="5750.0"/>
        <n v="7012.0"/>
        <n v="7335.0"/>
        <n v="2528.0"/>
        <n v="4427.0"/>
        <n v="7036.0"/>
        <n v="7313.0"/>
      </sharedItems>
    </cacheField>
    <cacheField name="Giocatore" numFmtId="0">
      <sharedItems>
        <s v="Akinsanmiro"/>
        <s v="ANGELINO"/>
        <s v="AUDERO"/>
        <s v="BERNARDESCHI"/>
        <s v="Comuzzo"/>
        <s v="Corazza"/>
        <s v="CRISTANTE"/>
        <s v="DAVID"/>
        <s v="DE KETELAERE"/>
        <s v="DE ROON"/>
        <s v="DI LORENZO"/>
        <s v="DOIG"/>
        <s v="EHIZIBUE"/>
        <s v="ESPOSITO SE."/>
        <s v="HIEN"/>
        <s v="Lovric"/>
        <s v="Lucca"/>
        <s v="LUCUMì"/>
        <s v="Mancini"/>
        <s v="Miranda J."/>
        <s v="Odgaard"/>
        <s v="PASALIC"/>
        <s v="PONGRACIC"/>
        <s v="RANIERI L."/>
        <s v="RAVAGLIA F."/>
        <s v="Ricci S."/>
        <s v="SAELEMAEKERS"/>
        <s v="Samooja"/>
        <s v="SKORUPSKI"/>
        <s v="THORSTVEDT"/>
        <s v="VLAHOVIC"/>
        <s v="ZALEWSKI"/>
        <s v="ZAPPA"/>
        <s v="ZERBIN"/>
        <s v="PERRONE"/>
        <s v="Bertola"/>
        <s v="Britschgi"/>
        <s v="Caqueret"/>
        <s v="Fullkrug"/>
        <s v="AKANJI"/>
        <s v="ANGORI"/>
        <s v="BARBIERI"/>
        <s v="BERNABè"/>
        <s v="CANESTRELLI"/>
        <s v="DODò"/>
        <s v="Douvikas"/>
        <s v="GABBIA"/>
        <s v="GIOVANE"/>
        <s v="Kean"/>
        <s v="KEMPF"/>
        <s v="Kilicsoy"/>
        <s v="KONè M."/>
        <s v="LAURIENTè"/>
        <s v="LOBOTKA"/>
        <s v="MANDRAGORA"/>
        <s v="MARì"/>
        <s v="MINA"/>
        <s v="NDIAYE"/>
        <s v="NICOLUSSI CAVIGLIA"/>
        <s v="ODOGU"/>
        <s v="ORISTANIO"/>
        <s v="ORSOLINI"/>
        <s v="PEZZELLA GIU."/>
        <s v="PINAMONTI"/>
        <s v="Pulisic"/>
        <s v="RABIOT"/>
        <s v="SAMARDZIC"/>
        <s v="SUZUKI"/>
        <s v="SVILAR"/>
        <s v="VASQUEZ D."/>
        <s v="WESLEY"/>
        <s v="Zelezny"/>
        <s v="Gollini"/>
        <s v="Mlacic"/>
        <s v="Diego Carlos"/>
        <s v="Zappacosta"/>
        <s v="Brescianini"/>
        <s v="Vergara"/>
        <s v="Zaragoza"/>
        <s v="Solomon"/>
        <s v="Lorran"/>
        <s v="Martinez L."/>
        <s v="SPINAZZOLA"/>
        <s v="ALBIOL"/>
        <s v="CAMBIAGHI"/>
        <s v="Casadei"/>
        <s v="Chukwueze"/>
        <s v="Coco"/>
        <s v="COULIBALY W."/>
        <s v="Cremaschi"/>
        <s v="DA CUNHA"/>
        <s v="Diao"/>
        <s v="DJIMSITI"/>
        <s v="DJURIC"/>
        <s v="GALLO"/>
        <s v="Gineitis"/>
        <s v="ISRAEL"/>
        <s v="Jasim"/>
        <s v="KUHN"/>
        <s v="LUKAKU"/>
        <s v="MODRIC"/>
        <s v="MUHAREMOVIC"/>
        <s v="NORTON-CUFFY"/>
        <s v="PELLEGRINO M."/>
        <s v="PRATI"/>
        <s v="RAMON"/>
        <s v="RODRIGUEZ JE."/>
        <s v="Rouhi"/>
        <s v="SAVA"/>
        <s v="SEMPER"/>
        <s v="Tavares N."/>
        <s v="VALENTI"/>
        <s v="VANDEPUTTE"/>
        <s v="VARDY"/>
        <s v="VOJVODA"/>
        <s v="ZAMBO ANGUISSA"/>
        <s v="Caprile"/>
        <s v="Idrissi R."/>
        <s v="Basic"/>
        <s v="Diouf"/>
        <s v="Santos A."/>
        <s v="Pisilli"/>
        <s v="TOURè I."/>
        <s v="Paleari"/>
        <s v="Bastoni"/>
        <s v="Bisseck"/>
        <s v="BOLOCA"/>
        <s v="BONAZZOLI"/>
        <s v="BONDO"/>
        <s v="CALHANOGLU"/>
        <s v="CARBONI V."/>
        <s v="DARMIAN"/>
        <s v="DE GEA"/>
        <s v="Ederson D.s."/>
        <s v="ESPOSITO F.P."/>
        <s v="Falcone"/>
        <s v="FRENDRUP"/>
        <s v="ISMAJLI"/>
        <s v="JASHARI"/>
        <s v="Joao Costa*"/>
        <s v="LANG"/>
        <s v="LEALI"/>
        <s v="MORATA"/>
        <s v="OLIVERA"/>
        <s v="OPENDA"/>
        <s v="ORBAN G."/>
        <s v="PALESTRA"/>
        <s v="PICCOLI"/>
        <s v="PIEROTTI"/>
        <s v="SIEBERT"/>
        <s v="SOLET"/>
        <s v="TIAGO GABRIEL"/>
        <s v="TSIMIKAS"/>
        <s v="VALERI"/>
        <s v="VLASIC"/>
        <s v="ZANOLI"/>
        <s v="Zielinski"/>
        <s v="Ziolkowski"/>
        <s v="Muric"/>
        <s v="Kabasele"/>
        <s v="Bernasconi"/>
        <s v="Bernede"/>
        <s v="Baturina"/>
        <s v="Vitinha O."/>
        <s v="Pedro"/>
        <s v="Liteta"/>
        <s v="Torriani"/>
        <s v="ACERBI"/>
        <s v="ADOPO"/>
        <s v="BARELLA"/>
        <s v="Bartesaghi"/>
        <s v="BASCHIROTTO"/>
        <s v="BELOTTI"/>
        <s v="BERARDI"/>
        <s v="Bremer"/>
        <s v="Conceicao"/>
        <s v="DE VRIJ"/>
        <s v="DENOON"/>
        <s v="DUMFRIES"/>
        <s v="Ekhator"/>
        <s v="EL AYNAOUI"/>
        <s v="Elmas"/>
        <s v="ESTUPINAN"/>
        <s v="FOFANA Y."/>
        <s v="Frattesi"/>
        <s v="IMMOBILE"/>
        <s v="KELLY L."/>
        <s v="Konè I."/>
        <s v="KOSSOUNOU"/>
        <s v="Maignan"/>
        <s v="MARTIN"/>
        <s v="MASINA"/>
        <s v="N'DICKA"/>
        <s v="N'DRI"/>
        <s v="OBERT"/>
        <s v="PAZ N."/>
        <s v="SANABRIA"/>
        <s v="Scalvini"/>
        <s v="SOHM"/>
        <s v="STANCIU"/>
        <s v="TERRACCIANO"/>
        <s v="Thuram"/>
        <s v="ZACCAGNI"/>
        <s v="ZANIOLO"/>
        <s v="Smolcic I."/>
        <s v="Walukiewicz"/>
        <s v="Iling Junior"/>
        <s v="Luis Henrique"/>
        <s v="Mazzitelli"/>
        <s v="Pellegrini Lo."/>
        <s v="Malen"/>
        <s v="Dimarco"/>
        <s v="Fazzini"/>
        <s v="SIMEONE"/>
        <s v="ATTA"/>
        <s v="Belahyane"/>
        <s v="Bravo"/>
        <s v="CABAL"/>
        <s v="Castro S."/>
        <s v="Cham"/>
        <s v="DE WINTER"/>
        <s v="DELE-BASHIRU"/>
        <s v="Di Gregorio"/>
        <s v="DIA"/>
        <s v="Dybala"/>
        <s v="FAGIOLI"/>
        <s v="GAETANO"/>
        <s v="GASPAR K."/>
        <s v="GILA"/>
        <s v="GUTIERREZ"/>
        <s v="HOLM"/>
        <s v="KALULU"/>
        <s v="Koopmeiners"/>
        <s v="Leao"/>
        <s v="LOCATELLI"/>
        <s v="NGONGE"/>
        <s v="NUNZIANTE"/>
        <s v="ONDREJKA"/>
        <s v="PERIN"/>
        <s v="POBEGA"/>
        <s v="ROVELLA"/>
        <s v="SOULè"/>
        <s v="STENGS"/>
        <s v="TERRACCIANO F."/>
        <s v="Thuram K."/>
        <s v="TOMORI"/>
        <s v="VASQUEZ"/>
        <s v="VAZQUEZ"/>
        <s v="Taylor K."/>
        <s v="Gandelman"/>
        <s v="Baldanzi"/>
        <s v="Gimenez"/>
        <s v="AHANOR"/>
        <s v="ASLLANI"/>
        <s v="BEUKEMA"/>
        <s v="BUTEZ"/>
        <s v="Carlos Augusto"/>
        <s v="CIRCATI"/>
        <s v="DOMINGUEZ B."/>
        <s v="Dovbyk"/>
        <s v="EKKELENKAMP"/>
        <s v="FABBIAN"/>
        <s v="FERGUSON"/>
        <s v="FLORIANI MUSSOLINI"/>
        <s v="HEGGEM"/>
        <s v="HOJLUND"/>
        <s v="Ilkhan"/>
        <s v="Krstovic"/>
        <s v="Lipani"/>
        <s v="MANDAS"/>
        <s v="MORO N."/>
        <s v="ORDONEZ C."/>
        <s v="Posch"/>
        <s v="Provedel"/>
        <s v="ROWE"/>
        <s v="RRAHMANI"/>
        <s v="STULIC"/>
        <s v="SULEMANA I."/>
        <s v="TRAMONI M."/>
        <s v="VITIK"/>
        <s v="ZORTEA"/>
        <s v="Furlanetto"/>
        <s v="FREULER"/>
        <s v="Biraghi"/>
        <s v="BONNY"/>
        <s v="Buffon L."/>
        <s v="Castellanos"/>
        <s v="CELIK"/>
        <s v="COLLOCOLO"/>
        <s v="EL SHAARAWY"/>
        <s v="ELLERTSSON"/>
        <s v="Folorunsho"/>
        <s v="GATTI"/>
        <s v="Ghilardi"/>
        <s v="HELGASON"/>
        <s v="ISAKSEN"/>
        <s v="KRISTENSEN T."/>
        <s v="LUPERTO"/>
        <s v="Marianucci"/>
        <s v="Martinez Jo."/>
        <s v="MKHITARYAN"/>
        <s v="NDOUR"/>
        <s v="njie"/>
        <s v="Oyono"/>
        <s v="POLITANO"/>
        <s v="ROMAGNOLI"/>
        <s v="SARR A."/>
        <s v="Sommer"/>
        <s v="SUCIC P."/>
        <s v="Venturino"/>
        <s v="ZAPATA D."/>
        <s v="Kolasinac"/>
        <s v="Nzola"/>
        <s v="ABOUKHLAL"/>
        <s v="Bagnolini"/>
        <s v="BELLANOVA"/>
        <s v="Camarda"/>
        <s v="Carnesecchi"/>
        <s v="CUTRONE"/>
        <s v="DAVIS K."/>
        <s v="DE BRUYNE"/>
        <s v="FERGUSON E."/>
        <s v="GRONBAEK"/>
        <s v="Gueye"/>
        <s v="LOOKMAN"/>
        <s v="MARIPAN"/>
        <s v="MARUSIC"/>
        <s v="MASINI"/>
        <s v="MATEUS LUSUARDI"/>
        <s v="McTominay"/>
        <s v="MILLER L."/>
        <s v="Montipò"/>
        <s v="Pavlovic"/>
        <s v="Sangarè B."/>
        <s v="SPORTIELLO"/>
        <s v="SULEMANA K."/>
        <s v="VALENTINI N."/>
        <s v="VALLE"/>
        <s v="VAN DER BREMPT"/>
        <s v="Rossi F."/>
        <s v="Helland"/>
        <s v="Fortini"/>
        <s v="Volpato"/>
        <s v="Boga"/>
        <s v="Raspadori"/>
        <s v="Vaz"/>
        <s v="Addai"/>
        <s v="Adzic"/>
        <s v="BAILEY"/>
        <s v="Buongiorno"/>
        <s v="Byar"/>
        <s v="Cambiaso"/>
        <s v="COLOMBO"/>
        <s v="DELPRATO"/>
        <s v="DZEKO"/>
        <s v="Goglichidze"/>
        <s v="GOSENS"/>
        <s v="GUDMUNDSSON A."/>
        <s v="Guendouzi"/>
        <s v="HERMOSO"/>
        <s v="IDZES"/>
        <s v="JUAN JESUS"/>
        <s v="KAMARA H."/>
        <s v="KOSTIC"/>
        <s v="Loftus-Cheek"/>
        <s v="MALDINI"/>
        <s v="MCKENNIE"/>
        <s v="MERET"/>
        <s v="MILINKOVIC-SAVIC V."/>
        <s v="Neres"/>
        <s v="NKUNKU"/>
        <s v="Palma"/>
        <s v="Scamacca"/>
        <s v="Yildiz"/>
        <s v="ZEMURA"/>
        <s v="ZHEGROVA"/>
        <s v="Contini"/>
        <s v="Ostigard"/>
        <s v="Provstgaard"/>
        <s v="Zatterstrom"/>
        <s v="Matic"/>
        <s v="Malinovskyi"/>
        <s v="Bakola"/>
        <s v="Ratkov"/>
      </sharedItems>
    </cacheField>
    <cacheField name="Squadra Fantacalcio" numFmtId="0">
      <sharedItems>
        <s v="AS Intomatici"/>
        <s v="Bimbe di Tonali"/>
        <s v="Ceretolo"/>
        <s v="Darmian"/>
        <s v="Iperzola"/>
        <s v="Molino"/>
        <s v="Nirvana"/>
        <s v="Seven"/>
        <s v="Werder"/>
        <s v="Woods"/>
      </sharedItems>
    </cacheField>
    <cacheField name="Squadra Serie A" numFmtId="49">
      <sharedItems>
        <s v="Pisa"/>
        <s v="Roma"/>
        <s v="Cremonese"/>
        <s v="Bologna"/>
        <s v="Fiorentina"/>
        <e v="#N/A"/>
        <s v="Juventus"/>
        <s v="Atalanta"/>
        <s v="Napoli"/>
        <s v="Sassuolo"/>
        <s v="Udinese"/>
        <s v="Cagliari"/>
        <s v="Verona"/>
        <s v="Milan"/>
        <s v="Lecce"/>
        <s v="Como"/>
        <s v="Parma"/>
        <s v="Inter"/>
        <s v="Torino"/>
        <s v="Genoa"/>
        <s v="Lazio"/>
      </sharedItems>
    </cacheField>
    <cacheField name="Ruolo" numFmtId="49">
      <sharedItems>
        <s v="C;T"/>
        <s v="E"/>
        <s v="Por"/>
        <s v="W;A"/>
        <s v="Dc"/>
        <e v="#N/A"/>
        <s v="M;C"/>
        <s v="Pc"/>
        <s v="A"/>
        <s v="Dd;E"/>
        <s v="Ds;E"/>
        <s v="C"/>
        <s v="T;A"/>
        <s v="Ds;Dc"/>
        <s v="E;W"/>
        <s v="B;Dd;E"/>
        <s v="Dd;Ds;E"/>
        <s v="W;T;A"/>
        <s v="T"/>
        <s v="W;T"/>
        <s v="W"/>
        <s v="C;W;T"/>
        <s v="E;M"/>
        <s v="Dd;Dc"/>
        <s v="B;Ds;E"/>
        <s v="C;W"/>
      </sharedItems>
    </cacheField>
    <cacheField name="Tipo contratto" numFmtId="0">
      <sharedItems>
        <s v="Vivaio"/>
        <s v="Standard"/>
        <s v="Diritto 1+1"/>
        <s v="Obbligo 1+2"/>
        <s v="Obbligo 1+1"/>
        <s v="Inverno Obbligo 2,5"/>
        <s v="Standard inverno"/>
        <s v="Inverno Diritto 0,5 + 1"/>
        <s v="Inverno Obbligo 1,5"/>
      </sharedItems>
    </cacheField>
    <cacheField name="Data acquisto" numFmtId="164">
      <sharedItems containsSemiMixedTypes="0" containsDate="1" containsString="0">
        <d v="2025-07-01T00:00:00Z"/>
        <d v="2024-07-01T00:00:00Z"/>
        <d v="2023-07-01T00:00:00Z"/>
        <d v="2025-02-01T00:00:00Z"/>
        <d v="2026-02-01T00:00:00Z"/>
      </sharedItems>
    </cacheField>
    <cacheField name="Scadenza ipotizzata" numFmtId="164">
      <sharedItems containsSemiMixedTypes="0" containsDate="1" containsString="0">
        <d v="2999-12-31T00:00:00Z"/>
        <d v="2026-07-01T00:00:00Z"/>
        <d v="2027-07-01T00:00:00Z"/>
        <d v="2028-07-01T00:00:00Z"/>
        <d v="2027-08-01T00:00:00Z"/>
        <d v="2026-08-01T00:00:00Z"/>
        <d v="2028-08-01T00:00:00Z"/>
        <d v="2028-01-01T00:00:00Z"/>
      </sharedItems>
    </cacheField>
    <cacheField name="Tipo Acquisto" numFmtId="0">
      <sharedItems>
        <s v="Vivaio"/>
        <s v="Svincolo pausa invernale"/>
        <s v="Asta"/>
        <s v="Promosso da vivaio"/>
        <s v="Svincolato riconferma anno corrente"/>
        <s v="Svincolato obbligo anno precedente"/>
        <s v="Ceduto in prestito"/>
        <s v="Acquisito in prestito"/>
        <s v="Asta riparazione"/>
        <s v="Ceduto tit definitivo"/>
        <s v="Acquistato tit definitivo"/>
      </sharedItems>
    </cacheField>
    <cacheField name="(*) Val Asteriscato">
      <sharedItems containsMixedTypes="1" containsNumber="1" containsInteger="1">
        <e v="#N/A"/>
        <n v="13.0"/>
        <n v="10.0"/>
        <n v="5.0"/>
      </sharedItems>
    </cacheField>
    <cacheField name="SCAMBIO % ingaggio pagato" numFmtId="0">
      <sharedItems containsString="0" containsBlank="1" containsNumber="1">
        <m/>
        <n v="0.0"/>
        <n v="1.0"/>
        <n v="0.6"/>
        <n v="0.4"/>
        <n v="0.8"/>
        <n v="0.2"/>
      </sharedItems>
    </cacheField>
    <cacheField name="Valore Acquisto (da leghe)" numFmtId="0">
      <sharedItems>
        <e v="#REF!"/>
      </sharedItems>
    </cacheField>
    <cacheField name="FVM 25/26 o precedenti">
      <sharedItems containsMixedTypes="1" containsNumber="1" containsInteger="1">
        <n v="13.0"/>
        <n v="52.0"/>
        <n v="22.0"/>
        <n v="17.0"/>
        <n v="1.0"/>
        <n v="25.0"/>
        <n v="266.0"/>
        <n v="142.0"/>
        <n v="37.0"/>
        <n v="53.0"/>
        <n v="15.0"/>
        <n v="66.0"/>
        <n v="34.0"/>
        <n v="68.0"/>
        <n v="21.0"/>
        <n v="26.0"/>
        <n v="16.0"/>
        <n v="55.0"/>
        <n v="28.0"/>
        <n v="5.0"/>
        <n v="43.0"/>
        <n v="50.0"/>
        <n v="126.0"/>
        <n v="31.0"/>
        <n v="32.0"/>
        <n v="20.0"/>
        <n v="9.0"/>
        <n v="36.0"/>
        <n v="12.0"/>
        <n v="44.0"/>
        <n v="97.0"/>
        <n v="14.0"/>
        <n v="46.0"/>
        <n v="47.0"/>
        <n v="29.0"/>
        <n v="35.0"/>
        <n v="10.0"/>
        <n v="38.0"/>
        <n v="218.0"/>
        <n v="79.0"/>
        <n v="120.0"/>
        <n v="145.0"/>
        <n v="85.0"/>
        <n v="8.0"/>
        <n v="23.0"/>
        <n v="436.0"/>
        <n v="18.0"/>
        <n v="75.0"/>
        <n v="11.0"/>
        <n v="33.0"/>
        <n v="72.0"/>
        <n v="42.0"/>
        <n v="67.0"/>
        <n v="73.0"/>
        <n v="24.0"/>
        <n v="48.0"/>
        <n v="19.0"/>
        <n v="153.0"/>
        <n v="64.0"/>
        <n v="30.0"/>
        <n v="147.0"/>
        <n v="7.0"/>
        <n v="77.0"/>
        <n v="40.0"/>
        <n v="2.0"/>
        <n v="27.0"/>
        <n v="78.0"/>
        <n v="144.0"/>
        <n v="57.0"/>
        <n v="4.0"/>
        <n v="107.0"/>
        <n v="39.0"/>
        <n v="54.0"/>
        <n v="100.0"/>
        <n v="132.0"/>
        <n v="185.0"/>
        <n v="206.0"/>
        <n v="6.0"/>
        <n v="45.0"/>
        <n v="102.0"/>
        <n v="292.0"/>
        <n v="112.0"/>
        <n v="282.0"/>
        <n v="320.0"/>
        <n v="235.0"/>
        <n v="186.0"/>
        <n v="3.0"/>
        <n v="60.0"/>
        <n v="49.0"/>
        <n v="41.0"/>
        <n v="110.0"/>
        <n v="65.0"/>
        <n v="87.0"/>
        <n v="51.0"/>
        <n v="139.0"/>
        <n v="162.0"/>
        <n v="123.0"/>
        <n v="70.0"/>
        <e v="#N/A"/>
        <n v="69.0"/>
        <n v="83.0"/>
        <n v="156.0"/>
        <n v="95.0"/>
        <n v="135.0"/>
        <n v="140.0"/>
        <n v="84.0"/>
        <n v="80.0"/>
      </sharedItems>
    </cacheField>
    <cacheField name="Ultimo FVM">
      <sharedItems containsMixedTypes="1" containsNumber="1" containsInteger="1">
        <n v="12.0"/>
        <n v="10.0"/>
        <n v="11.0"/>
        <n v="16.0"/>
        <e v="#N/A"/>
        <n v="33.0"/>
        <n v="58.0"/>
        <n v="86.0"/>
        <n v="39.0"/>
        <n v="37.0"/>
        <n v="14.0"/>
        <n v="8.0"/>
        <n v="57.0"/>
        <n v="21.0"/>
        <e v="#REF!"/>
        <n v="13.0"/>
        <n v="30.0"/>
        <n v="89.0"/>
        <n v="1.0"/>
        <n v="25.0"/>
        <n v="47.0"/>
        <n v="24.0"/>
        <n v="15.0"/>
        <n v="45.0"/>
        <n v="32.0"/>
        <n v="51.0"/>
        <n v="68.0"/>
        <n v="22.0"/>
        <n v="17.0"/>
        <n v="127.0"/>
        <n v="35.0"/>
        <n v="50.0"/>
        <n v="5.0"/>
        <n v="207.0"/>
        <n v="43.0"/>
        <n v="255.0"/>
        <n v="144.0"/>
        <n v="101.0"/>
        <n v="20.0"/>
        <n v="28.0"/>
        <n v="23.0"/>
        <n v="370.0"/>
        <n v="48.0"/>
        <n v="9.0"/>
        <n v="6.0"/>
        <n v="52.0"/>
        <n v="78.0"/>
        <n v="69.0"/>
        <n v="4.0"/>
        <n v="2.0"/>
        <n v="77.0"/>
        <n v="29.0"/>
        <n v="60.0"/>
        <n v="18.0"/>
        <n v="243.0"/>
        <n v="40.0"/>
        <n v="36.0"/>
        <n v="79.0"/>
        <n v="38.0"/>
        <n v="27.0"/>
        <n v="61.0"/>
        <n v="26.0"/>
        <n v="90.0"/>
        <n v="72.0"/>
        <n v="42.0"/>
        <n v="46.0"/>
        <n v="92.0"/>
        <n v="264.0"/>
        <n v="228.0"/>
        <n v="65.0"/>
        <n v="80.0"/>
        <n v="67.0"/>
        <n v="170.0"/>
        <n v="54.0"/>
        <n v="59.0"/>
        <n v="182.0"/>
        <n v="175.0"/>
        <n v="19.0"/>
        <n v="74.0"/>
        <n v="181.0"/>
        <n v="71.0"/>
        <n v="34.0"/>
        <n v="7.0"/>
        <n v="64.0"/>
        <n v="81.0"/>
        <n v="206.0"/>
        <n v="41.0"/>
        <n v="102.0"/>
        <n v="236.0"/>
      </sharedItems>
    </cacheField>
    <cacheField name="Valore 1 luglio">
      <sharedItems containsMixedTypes="1" containsNumber="1" containsInteger="1">
        <e v="#N/A"/>
        <n v="35.0"/>
        <n v="11.0"/>
        <n v="29.0"/>
        <n v="110.0"/>
        <n v="32.0"/>
        <n v="76.0"/>
        <n v="9.0"/>
        <n v="26.0"/>
        <n v="20.0"/>
        <n v="22.0"/>
        <n v="78.0"/>
        <n v="27.0"/>
        <n v="21.0"/>
        <n v="28.0"/>
        <n v="38.0"/>
        <n v="16.0"/>
        <n v="1.0"/>
        <n v="37.0"/>
        <n v="44.0"/>
        <n v="261.0"/>
        <n v="15.0"/>
        <n v="12.0"/>
        <n v="13.0"/>
        <n v="10.0"/>
        <n v="241.0"/>
        <n v="17.0"/>
        <n v="152.0"/>
        <n v="83.0"/>
        <n v="191.0"/>
        <n v="25.0"/>
        <n v="19.0"/>
        <n v="36.0"/>
        <n v="358.0"/>
        <n v="30.0"/>
        <n v="33.0"/>
        <n v="64.0"/>
        <n v="356.0"/>
        <n v="5.0"/>
        <n v="14.0"/>
        <n v="3.0"/>
        <n v="8.0"/>
        <n v="56.0"/>
        <n v="6.0"/>
        <n v="63.0"/>
        <n v="146.0"/>
        <n v="50.0"/>
        <n v="31.0"/>
        <n v="24.0"/>
        <n v="61.0"/>
        <n v="45.0"/>
        <n v="69.0"/>
        <n v="4.0"/>
        <n v="41.0"/>
        <n v="68.0"/>
        <n v="7.0"/>
        <n v="53.0"/>
        <n v="286.0"/>
        <n v="43.0"/>
        <n v="91.0"/>
        <n v="49.0"/>
        <n v="18.0"/>
        <n v="86.0"/>
        <n v="67.0"/>
        <n v="206.0"/>
        <n v="23.0"/>
        <n v="90.0"/>
        <n v="177.0"/>
        <n v="2.0"/>
        <n v="215.0"/>
        <n v="231.0"/>
        <n v="82.0"/>
        <n v="48.0"/>
        <n v="39.0"/>
        <n v="139.0"/>
        <n v="66.0"/>
        <n v="124.0"/>
        <n v="60.0"/>
        <n v="282.0"/>
        <n v="137.0"/>
        <n v="51.0"/>
        <n v="105.0"/>
        <n v="88.0"/>
        <n v="52.0"/>
        <n v="54.0"/>
        <n v="100.0"/>
      </sharedItems>
    </cacheField>
    <cacheField name="Valore x Mercato 25/26">
      <sharedItems containsMixedTypes="1" containsNumber="1" containsInteger="1">
        <n v="12.0"/>
        <n v="10.0"/>
        <n v="11.0"/>
        <n v="16.0"/>
        <n v="0.0"/>
        <n v="33.0"/>
        <n v="58.0"/>
        <n v="86.0"/>
        <n v="39.0"/>
        <n v="37.0"/>
        <n v="14.0"/>
        <n v="8.0"/>
        <n v="57.0"/>
        <n v="21.0"/>
        <n v="78.0"/>
        <n v="13.0"/>
        <n v="30.0"/>
        <n v="89.0"/>
        <n v="1.0"/>
        <n v="25.0"/>
        <n v="47.0"/>
        <n v="24.0"/>
        <n v="15.0"/>
        <n v="45.0"/>
        <n v="32.0"/>
        <n v="51.0"/>
        <n v="68.0"/>
        <n v="22.0"/>
        <n v="17.0"/>
        <n v="127.0"/>
        <n v="35.0"/>
        <n v="50.0"/>
        <n v="5.0"/>
        <n v="207.0"/>
        <n v="43.0"/>
        <n v="255.0"/>
        <n v="144.0"/>
        <n v="101.0"/>
        <n v="20.0"/>
        <n v="28.0"/>
        <n v="23.0"/>
        <n v="370.0"/>
        <n v="48.0"/>
        <n v="9.0"/>
        <n v="6.0"/>
        <n v="52.0"/>
        <n v="69.0"/>
        <n v="4.0"/>
        <n v="2.0"/>
        <n v="77.0"/>
        <n v="29.0"/>
        <n v="60.0"/>
        <n v="18.0"/>
        <n v="243.0"/>
        <n v="40.0"/>
        <n v="36.0"/>
        <n v="79.0"/>
        <n v="38.0"/>
        <n v="27.0"/>
        <n v="61.0"/>
        <n v="26.0"/>
        <n v="90.0"/>
        <n v="72.0"/>
        <n v="42.0"/>
        <n v="46.0"/>
        <n v="92.0"/>
        <n v="264.0"/>
        <n v="228.0"/>
        <n v="65.0"/>
        <n v="80.0"/>
        <n v="67.0"/>
        <n v="170.0"/>
        <n v="54.0"/>
        <n v="59.0"/>
        <n v="182.0"/>
        <n v="175.0"/>
        <n v="19.0"/>
        <n v="74.0"/>
        <n v="181.0"/>
        <n v="71.0"/>
        <n v="34.0"/>
        <n v="7.0"/>
        <n v="64.0"/>
        <n v="81.0"/>
        <n v="206.0"/>
        <e v="#N/A"/>
        <n v="41.0"/>
        <n v="102.0"/>
        <n v="236.0"/>
      </sharedItems>
    </cacheField>
    <cacheField name="Ingaggio 36 giornate">
      <sharedItems containsMixedTypes="1" containsNumber="1">
        <n v="1.5"/>
        <n v="5.5"/>
        <n v="2.5"/>
        <n v="2.0"/>
        <n v="0.5"/>
        <n v="35.0"/>
        <n v="14.5"/>
        <n v="4.0"/>
        <n v="6.5"/>
        <n v="7.0"/>
        <n v="3.5"/>
        <n v="8.0"/>
        <n v="3.0"/>
        <n v="6.0"/>
        <n v="13.0"/>
        <n v="1.0"/>
        <n v="4.5"/>
        <n v="5.0"/>
        <n v="25.5"/>
        <n v="14.0"/>
        <n v="17.0"/>
        <n v="10.0"/>
        <n v="50.5"/>
        <n v="9.0"/>
        <n v="7.5"/>
        <n v="12.0"/>
        <n v="8.5"/>
        <n v="18.0"/>
        <n v="15.0"/>
        <n v="12.5"/>
        <n v="10.5"/>
        <n v="15.5"/>
        <n v="21.5"/>
        <n v="24.0"/>
        <n v="11.5"/>
        <n v="34.0"/>
        <n v="32.5"/>
        <n v="37.0"/>
        <n v="27.5"/>
        <e v="#N/A"/>
        <n v="9.5"/>
        <n v="13.5"/>
        <n v="16.5"/>
      </sharedItems>
    </cacheField>
    <cacheField name="Ingaggio reale" numFmtId="0">
      <sharedItems containsSemiMixedTypes="0" containsString="0" containsNumber="1">
        <n v="0.5"/>
        <n v="3.0"/>
        <n v="1.5"/>
        <n v="2.5"/>
        <n v="2.0"/>
        <n v="35.0"/>
        <n v="14.5"/>
        <n v="4.0"/>
        <n v="6.5"/>
        <n v="7.0"/>
        <n v="3.5"/>
        <n v="0.0"/>
        <n v="6.0"/>
        <n v="1.0"/>
        <n v="4.5"/>
        <n v="8.0"/>
        <n v="5.5"/>
        <n v="5.0"/>
        <n v="15.5"/>
        <n v="14.0"/>
        <n v="17.0"/>
        <n v="10.0"/>
        <n v="20.5"/>
        <n v="12.0"/>
        <n v="8.5"/>
        <n v="18.0"/>
        <n v="7.5"/>
        <n v="9.0"/>
        <n v="10.5"/>
        <n v="21.5"/>
        <n v="11.5"/>
        <n v="34.0"/>
        <n v="13.0"/>
        <n v="32.5"/>
        <n v="37.0"/>
        <n v="27.5"/>
        <n v="30.5"/>
        <n v="9.5"/>
        <n v="13.5"/>
        <n v="16.5"/>
      </sharedItems>
    </cacheField>
    <cacheField name="Crediti ricevuti da acquisto/scambio">
      <sharedItems containsBlank="1" containsMixedTypes="1" containsNumber="1" containsInteger="1">
        <m/>
        <s v="+20"/>
        <n v="10.0"/>
      </sharedItems>
    </cacheField>
    <cacheField name="Squadra Proprietaria Originale" numFmtId="0">
      <sharedItems containsBlank="1">
        <m/>
        <s v="Werder"/>
        <s v="Woods"/>
        <s v="Bimbe di Tonali"/>
        <s v="Nirvana"/>
        <s v="Iperzola"/>
        <s v="Darmian"/>
        <s v="Molino"/>
        <s v="Ceretolo"/>
        <s v="AS Intomatici"/>
      </sharedItems>
    </cacheField>
    <cacheField name="NOTE" numFmtId="0">
      <sharedItems containsBlank="1">
        <m/>
        <s v="Werder"/>
        <s v="+10 crediti in favore di werde"/>
        <s v="Bimbe"/>
        <s v="+ 50% su futura rivendita "/>
      </sharedItems>
    </cacheField>
    <cacheField name="Colonna 22" numFmtId="0">
      <sharedItems containsString="0" containsBlank="1">
        <m/>
      </sharedItems>
    </cacheField>
    <cacheField name="Colonna 23" numFmtId="0">
      <sharedItems containsString="0" containsBlank="1">
        <m/>
      </sharedItems>
    </cacheField>
    <cacheField name="Colonna 24" numFmtId="0">
      <sharedItems containsString="0" containsBlank="1">
        <m/>
      </sharedItems>
    </cacheField>
    <cacheField name="Colonna 25" numFmtId="0">
      <sharedItems containsString="0" containsBlank="1">
        <m/>
      </sharedItems>
    </cacheField>
    <cacheField name="Colonna 26" numFmtId="0">
      <sharedItems containsString="0" containsBlank="1">
        <m/>
      </sharedItems>
    </cacheField>
    <cacheField name="Colonna 27" numFmtId="0">
      <sharedItems containsString="0" containsBlank="1">
        <m/>
      </sharedItems>
    </cacheField>
    <cacheField name="Colonna 28" numFmtId="0">
      <sharedItems containsString="0" containsBlank="1">
        <m/>
      </sharedItems>
    </cacheField>
    <cacheField name="Colonna 29" numFmtId="0">
      <sharedItems containsString="0" containsBlank="1">
        <m/>
      </sharedItems>
    </cacheField>
    <cacheField name="Colonna 30" numFmtId="0">
      <sharedItems containsString="0" containsBlank="1">
        <m/>
      </sharedItems>
    </cacheField>
    <cacheField name="Colonna 31" numFmtId="0">
      <sharedItems containsString="0" containsBlank="1">
        <m/>
      </sharedItems>
    </cacheField>
    <cacheField name="Colonna 32" numFmtId="0">
      <sharedItems containsString="0" containsBlank="1">
        <m/>
      </sharedItems>
    </cacheField>
    <cacheField name="Colonna 33" numFmtId="0">
      <sharedItems containsString="0" containsBlank="1">
        <m/>
      </sharedItems>
    </cacheField>
    <cacheField name="Colonna 34" numFmtId="0">
      <sharedItems containsString="0" containsBlank="1">
        <m/>
      </sharedItems>
    </cacheField>
    <cacheField name="Colonna 35" numFmtId="0">
      <sharedItems containsString="0" containsBlank="1">
        <m/>
      </sharedItems>
    </cacheField>
    <cacheField name="Colonna 36" numFmtId="0">
      <sharedItems containsString="0" containsBlank="1">
        <m/>
      </sharedItems>
    </cacheField>
    <cacheField name="Colonna 37" numFmtId="0">
      <sharedItems containsString="0" containsBlank="1">
        <m/>
      </sharedItems>
    </cacheField>
    <cacheField name="Colonna 38" numFmtId="0">
      <sharedItems containsString="0" containsBlank="1">
        <m/>
      </sharedItems>
    </cacheField>
    <cacheField name="Colonna 39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iepilogo ingaggi E budget" cacheId="0" dataCaption="" compact="0" compactData="0">
  <location ref="A1:B12" firstHeaderRow="0" firstDataRow="1" firstDataCol="0"/>
  <pivotFields>
    <pivotField name="Colonna 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t="default"/>
      </items>
    </pivotField>
    <pivotField name="Giocat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t="default"/>
      </items>
    </pivotField>
    <pivotField name="Squadra Fantacalcio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quadra Serie A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Ruolo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ipo contrat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Data acquisto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Scadenza ipotizzat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ipo Acquis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(*) Val Asteriscato" compact="0" outline="0" multipleItemSelectionAllowed="1" showAll="0">
      <items>
        <item x="0"/>
        <item x="1"/>
        <item x="2"/>
        <item x="3"/>
        <item t="default"/>
      </items>
    </pivotField>
    <pivotField name="SCAMBIO % ingaggio pagat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alore Acquisto (da leghe)" compact="0" outline="0" multipleItemSelectionAllowed="1" showAll="0">
      <items>
        <item x="0"/>
        <item t="default"/>
      </items>
    </pivotField>
    <pivotField name="FVM 25/26 o precedent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t="default"/>
      </items>
    </pivotField>
    <pivotField name="Ultimo FV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Valore 1 lugl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Valore x Mercato 25/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Ingaggio 36 giorn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Ingaggio real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Crediti ricevuti da acquisto/scambio" compact="0" outline="0" multipleItemSelectionAllowed="1" showAll="0">
      <items>
        <item x="0"/>
        <item x="1"/>
        <item x="2"/>
        <item t="default"/>
      </items>
    </pivotField>
    <pivotField name="Squadra Proprietaria Origin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NO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lonna 22" compact="0" outline="0" multipleItemSelectionAllowed="1" showAll="0">
      <items>
        <item x="0"/>
        <item t="default"/>
      </items>
    </pivotField>
    <pivotField name="Colonna 23" compact="0" outline="0" multipleItemSelectionAllowed="1" showAll="0">
      <items>
        <item x="0"/>
        <item t="default"/>
      </items>
    </pivotField>
    <pivotField name="Colonna 24" compact="0" outline="0" multipleItemSelectionAllowed="1" showAll="0">
      <items>
        <item x="0"/>
        <item t="default"/>
      </items>
    </pivotField>
    <pivotField name="Colonna 25" compact="0" outline="0" multipleItemSelectionAllowed="1" showAll="0">
      <items>
        <item x="0"/>
        <item t="default"/>
      </items>
    </pivotField>
    <pivotField name="Colonna 26" compact="0" outline="0" multipleItemSelectionAllowed="1" showAll="0">
      <items>
        <item x="0"/>
        <item t="default"/>
      </items>
    </pivotField>
    <pivotField name="Colonna 27" compact="0" outline="0" multipleItemSelectionAllowed="1" showAll="0">
      <items>
        <item x="0"/>
        <item t="default"/>
      </items>
    </pivotField>
    <pivotField name="Colonna 28" compact="0" outline="0" multipleItemSelectionAllowed="1" showAll="0">
      <items>
        <item x="0"/>
        <item t="default"/>
      </items>
    </pivotField>
    <pivotField name="Colonna 29" compact="0" outline="0" multipleItemSelectionAllowed="1" showAll="0">
      <items>
        <item x="0"/>
        <item t="default"/>
      </items>
    </pivotField>
    <pivotField name="Colonna 30" compact="0" outline="0" multipleItemSelectionAllowed="1" showAll="0">
      <items>
        <item x="0"/>
        <item t="default"/>
      </items>
    </pivotField>
    <pivotField name="Colonna 31" compact="0" outline="0" multipleItemSelectionAllowed="1" showAll="0">
      <items>
        <item x="0"/>
        <item t="default"/>
      </items>
    </pivotField>
    <pivotField name="Colonna 32" compact="0" outline="0" multipleItemSelectionAllowed="1" showAll="0">
      <items>
        <item x="0"/>
        <item t="default"/>
      </items>
    </pivotField>
    <pivotField name="Colonna 33" compact="0" outline="0" multipleItemSelectionAllowed="1" showAll="0">
      <items>
        <item x="0"/>
        <item t="default"/>
      </items>
    </pivotField>
    <pivotField name="Colonna 34" compact="0" outline="0" multipleItemSelectionAllowed="1" showAll="0">
      <items>
        <item x="0"/>
        <item t="default"/>
      </items>
    </pivotField>
    <pivotField name="Colonna 35" compact="0" outline="0" multipleItemSelectionAllowed="1" showAll="0">
      <items>
        <item x="0"/>
        <item t="default"/>
      </items>
    </pivotField>
    <pivotField name="Colonna 36" compact="0" outline="0" multipleItemSelectionAllowed="1" showAll="0">
      <items>
        <item x="0"/>
        <item t="default"/>
      </items>
    </pivotField>
    <pivotField name="Colonna 37" compact="0" outline="0" multipleItemSelectionAllowed="1" showAll="0">
      <items>
        <item x="0"/>
        <item t="default"/>
      </items>
    </pivotField>
    <pivotField name="Colonna 38" compact="0" outline="0" multipleItemSelectionAllowed="1" showAll="0">
      <items>
        <item x="0"/>
        <item t="default"/>
      </items>
    </pivotField>
    <pivotField name="Colonna 39" compact="0" outline="0" multipleItemSelectionAllowed="1" showAll="0">
      <items>
        <item x="0"/>
        <item t="default"/>
      </items>
    </pivotField>
  </pivotFields>
  <rowFields>
    <field x="2"/>
  </rowFields>
  <dataFields>
    <dataField name="Ingaggi" fld="17" baseField="0"/>
  </dataFields>
</pivotTableDefinition>
</file>

<file path=xl/tables/table1.xml><?xml version="1.0" encoding="utf-8"?>
<table xmlns="http://schemas.openxmlformats.org/spreadsheetml/2006/main" ref="A1:AM435" displayName="Manageriale_2" name="Manageriale_2" id="1">
  <tableColumns count="39">
    <tableColumn name="Colonna 1" id="1"/>
    <tableColumn name="Giocatore" id="2"/>
    <tableColumn name="Squadra Fantacalcio" id="3"/>
    <tableColumn name="Squadra Serie A" id="4"/>
    <tableColumn name="Ruolo" id="5"/>
    <tableColumn name="Tipo contratto" id="6"/>
    <tableColumn name="Data acquisto" id="7"/>
    <tableColumn name="Scadenza ipotizzata" id="8"/>
    <tableColumn name="Tipo Acquisto" id="9"/>
    <tableColumn name="(*) Val Asteriscato" id="10"/>
    <tableColumn name="SCAMBIO % ingaggio pagato" id="11"/>
    <tableColumn name="Valore Acquisto (da leghe)" id="12"/>
    <tableColumn name="FVM 25/26 o precedenti" id="13"/>
    <tableColumn name="Ultimo FVM" id="14"/>
    <tableColumn name="Valore 1 luglio" id="15"/>
    <tableColumn name="Valore x Mercato 25/26" id="16"/>
    <tableColumn name="Ingaggio 36 giornate" id="17"/>
    <tableColumn name="Ingaggio reale" id="18"/>
    <tableColumn name="Crediti ricevuti da acquisto/scambio" id="19"/>
    <tableColumn name="Squadra Proprietaria Originale" id="20"/>
    <tableColumn name="NOTE" id="21"/>
    <tableColumn name="Colonna 22" id="22"/>
    <tableColumn name="Colonna 23" id="23"/>
    <tableColumn name="Colonna 24" id="24"/>
    <tableColumn name="Colonna 25" id="25"/>
    <tableColumn name="Colonna 26" id="26"/>
    <tableColumn name="Colonna 27" id="27"/>
    <tableColumn name="Colonna 28" id="28"/>
    <tableColumn name="Colonna 29" id="29"/>
    <tableColumn name="Colonna 30" id="30"/>
    <tableColumn name="Colonna 31" id="31"/>
    <tableColumn name="Colonna 32" id="32"/>
    <tableColumn name="Colonna 33" id="33"/>
    <tableColumn name="Colonna 34" id="34"/>
    <tableColumn name="Colonna 35" id="35"/>
    <tableColumn name="Colonna 36" id="36"/>
    <tableColumn name="Colonna 37" id="37"/>
    <tableColumn name="Colonna 38" id="38"/>
    <tableColumn name="Colonna 39" id="39"/>
  </tableColumns>
  <tableStyleInfo name="Gestionale_-style" showColumnStripes="0" showFirstColumn="1" showLastColumn="1" showRowStripes="1"/>
</table>
</file>

<file path=xl/tables/table2.xml><?xml version="1.0" encoding="utf-8"?>
<table xmlns="http://schemas.openxmlformats.org/spreadsheetml/2006/main" ref="A1:U446" displayName="Manageriale" name="Manageriale" id="2">
  <autoFilter ref="$A$1:$U$446">
    <filterColumn colId="2">
      <filters>
        <filter val="Woods"/>
      </filters>
    </filterColumn>
  </autoFilter>
  <tableColumns count="21">
    <tableColumn name="Standard" id="1"/>
    <tableColumn name="Giocatore" id="2"/>
    <tableColumn name="Squadra Fantacalcio" id="3"/>
    <tableColumn name="Squadra Serie A" id="4"/>
    <tableColumn name="Ruolo" id="5"/>
    <tableColumn name="Tipo contratto" id="6"/>
    <tableColumn name="Data acquisto" id="7"/>
    <tableColumn name="Scadenza ipotizzata" id="8"/>
    <tableColumn name="Tipo Acquisto" id="9"/>
    <tableColumn name="(*) Val Asteriscato" id="10"/>
    <tableColumn name="SCAMBIO % ingaggio pagato" id="11"/>
    <tableColumn name="Valore Acquisto (da leghe)" id="12"/>
    <tableColumn name="FVM 24/25 o precedenti" id="13"/>
    <tableColumn name="Ultimo FVM" id="14"/>
    <tableColumn name="Valore 1 luglio" id="15"/>
    <tableColumn name="Valore x Mercato 25/26" id="16"/>
    <tableColumn name="Ingaggio 36 giornate" id="17"/>
    <tableColumn name="Ingaggio reale" id="18"/>
    <tableColumn name="Crediti ricevuti da acquisto/scambio" id="19"/>
    <tableColumn name="Squadra Proprietaria Originale" id="20"/>
    <tableColumn name="NOTE" id="21"/>
  </tableColumns>
  <tableStyleInfo name="BCK_Gestiona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1" dT="2024-10-24T23:08:05.00" personId="{779b0774-a5e2-4faa-a5f3-44c21828957c}" id="{79c7fca4-4aec-4010-a7b6-27107865d68e}" done="0">
    <x18tc:text xml:space="preserve">corrisponde alla finestra di scambio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28.88"/>
  </cols>
  <sheetData>
    <row r="1">
      <c r="A1" s="1" t="s">
        <v>0</v>
      </c>
      <c r="B1" s="2">
        <v>46172.127885995375</v>
      </c>
    </row>
    <row r="2">
      <c r="A2" s="1"/>
    </row>
    <row r="3">
      <c r="A3" s="1" t="s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7.88"/>
    <col customWidth="1" min="2" max="2" width="17.0"/>
    <col customWidth="1" min="3" max="3" width="17.38"/>
    <col customWidth="1" min="4" max="4" width="15.13"/>
    <col customWidth="1" min="5" max="5" width="13.0"/>
    <col customWidth="1" min="6" max="6" width="19.25"/>
    <col customWidth="1" min="7" max="7" width="19.0"/>
    <col customWidth="1" min="8" max="8" width="17.38"/>
    <col customWidth="1" min="9" max="9" width="19.0"/>
    <col customWidth="1" min="10" max="10" width="8.75"/>
    <col customWidth="1" min="11" max="11" width="20.88"/>
    <col customWidth="1" min="12" max="13" width="18.38"/>
    <col customWidth="1" min="14" max="14" width="13.88"/>
    <col customWidth="1" min="15" max="15" width="17.5"/>
    <col customWidth="1" min="16" max="16" width="19.75"/>
    <col customWidth="1" min="17" max="17" width="17.5"/>
    <col customWidth="1" min="18" max="18" width="15.63"/>
    <col customWidth="1" min="19" max="19" width="22.13"/>
    <col customWidth="1" min="20" max="21" width="31.38"/>
  </cols>
  <sheetData>
    <row r="1" ht="27.75" customHeight="1">
      <c r="A1" s="3" t="s">
        <v>2</v>
      </c>
      <c r="B1" s="4" t="s">
        <v>3</v>
      </c>
      <c r="C1" s="4" t="s">
        <v>4</v>
      </c>
      <c r="D1" s="4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6" t="s">
        <v>16</v>
      </c>
      <c r="P1" s="6" t="s">
        <v>17</v>
      </c>
      <c r="Q1" s="5" t="s">
        <v>18</v>
      </c>
      <c r="R1" s="5" t="s">
        <v>19</v>
      </c>
      <c r="S1" s="5" t="s">
        <v>20</v>
      </c>
      <c r="T1" s="7" t="s">
        <v>21</v>
      </c>
      <c r="U1" s="7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</row>
    <row r="2" ht="22.5" customHeight="1">
      <c r="A2" s="9">
        <f>VLOOKUP(B2,FVM_update!A:B,2,0)</f>
        <v>6593</v>
      </c>
      <c r="B2" s="10" t="s">
        <v>41</v>
      </c>
      <c r="C2" s="11" t="s">
        <v>42</v>
      </c>
      <c r="D2" s="12" t="str">
        <f>VLOOKUP(B2,FVM_update!A:F,6,0)</f>
        <v>Pisa</v>
      </c>
      <c r="E2" s="13" t="str">
        <f>VLOOKUP(B2,FVM_update!A:E,4,0)</f>
        <v>C;T</v>
      </c>
      <c r="F2" s="11" t="s">
        <v>43</v>
      </c>
      <c r="G2" s="14">
        <v>45839.0</v>
      </c>
      <c r="H2" s="15">
        <f t="shared" ref="H2:H435" si="1">IF(F2="Vivaio", DATE(2999, 12, 31),
  IF(F2="Standard", DATE(YEAR(G2)+1, MONTH(G2), DAY(G2)),
    IF(F2="Standard Inverno", DATE(2026, 7, 1),
      IF(OR(F2="Diritto 1+1", F2="Obbligo 1+1"), DATE(YEAR(G2)+2, MONTH(G2), DAY(G2)),
        IF(F2="Obbligo 1+2", DATE(YEAR(G2)+3, MONTH(G2), DAY(G2)),
          IF(OR(F2="Inverno Obbligo 1,5", F2="Inverno Diritto 0,5 + 1"), DATE(YEAR(G2)+1, MONTH(G2)+6, DAY(G2)),
            IF(F2="Inverno Obbligo 2,5", DATE(YEAR(G2)+2, MONTH(G2)+6, DAY(G2)), G2)
          )
        )
      )
    )
  )
)</f>
        <v>401768</v>
      </c>
      <c r="I2" s="11" t="s">
        <v>43</v>
      </c>
      <c r="J2" s="16" t="str">
        <f>VLOOKUP(A2,Asteriscati25!B:N,13,0)</f>
        <v>#N/A</v>
      </c>
      <c r="K2" s="17"/>
      <c r="L2" s="18" t="str">
        <f t="shared" ref="L2:L220" si="2">VLOOKUP(B2,Rose!B:D,3,0)</f>
        <v>#REF!</v>
      </c>
      <c r="M2" s="19">
        <f>VLOOKUP(B2,FVM_Asta2526!A:N,14,0)</f>
        <v>13</v>
      </c>
      <c r="N2" s="18">
        <f>VLOOKUP(A2,FVM_update!B:N,13,0)</f>
        <v>12</v>
      </c>
      <c r="O2" s="20" t="str">
        <f>VLOOKUP(B2,'FVM_1luglio-31luglio25'!D:Q,14,0)</f>
        <v>#N/A</v>
      </c>
      <c r="P2" s="20">
        <f t="shared" ref="P2:P6" si="3">IFERROR(N2,O2)</f>
        <v>12</v>
      </c>
      <c r="Q2" s="21">
        <f t="shared" ref="Q2:Q435" si="4">IF(OR(F2="Standard",F2="Standard Inverno"),CEILING((M2/10),0.5),
IF(OR(F2="Diritto 1+1",M2="Inverno Diritto 0,5 + 1"),CEILING((M2/10)*1.3,0.5),
CEILING((M2/10)*1.15,0.5)))</f>
        <v>1.5</v>
      </c>
      <c r="R2" s="21">
        <f t="shared" ref="R2:R17" si="5">IF(I2="vivaio", 0.5,
IF(OR(I2="asta", I2="Svincolato riconferma anno corrente", I2="vivaio", I2="promosso da vivaio"), Q2,
IF(OR(I2="asta riparazione", I2="Svincolato obbligo anno precedente", I2="Svincolo pausa invernale"), MAX(0.5, CEILING(Q2 / 2, 0.5)),
IF(OR(I2="ceduto in prestito", I2="acquisito in prestito", I2="acquistato tit definitivo", I2="Ceduto tit definitivo"),CEILING(Q2 * K2, 0.5),
IF(I2="asteriscato", "inserire a mano", ""))))
)</f>
        <v>0.5</v>
      </c>
      <c r="S2" s="20"/>
      <c r="T2" s="22"/>
      <c r="U2" s="23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</row>
    <row r="3" ht="22.5" customHeight="1">
      <c r="A3" s="9">
        <f>VLOOKUP(B3,FVM_update!A:B,2,0)</f>
        <v>4772</v>
      </c>
      <c r="B3" s="10" t="s">
        <v>44</v>
      </c>
      <c r="C3" s="11" t="s">
        <v>42</v>
      </c>
      <c r="D3" s="12" t="str">
        <f>VLOOKUP(B3,FVM_update!A:F,6,0)</f>
        <v>Roma</v>
      </c>
      <c r="E3" s="13" t="str">
        <f>VLOOKUP(B3,FVM_update!A:E,4,0)</f>
        <v>E</v>
      </c>
      <c r="F3" s="11" t="s">
        <v>45</v>
      </c>
      <c r="G3" s="14">
        <v>45839.0</v>
      </c>
      <c r="H3" s="15">
        <f t="shared" si="1"/>
        <v>46204</v>
      </c>
      <c r="I3" s="11" t="s">
        <v>46</v>
      </c>
      <c r="J3" s="16" t="str">
        <f>VLOOKUP(A3,Asteriscati25!B:N,13,0)</f>
        <v>#N/A</v>
      </c>
      <c r="K3" s="17"/>
      <c r="L3" s="18" t="str">
        <f t="shared" si="2"/>
        <v>#REF!</v>
      </c>
      <c r="M3" s="19">
        <f>VLOOKUP(B3,FVM_Asta2526!A:N,14,0)</f>
        <v>52</v>
      </c>
      <c r="N3" s="18">
        <f>VLOOKUP(A3,FVM_update!B:N,13,0)</f>
        <v>10</v>
      </c>
      <c r="O3" s="20">
        <f>VLOOKUP(B3,'FVM_1luglio-31luglio25'!D:Q,14,0)</f>
        <v>35</v>
      </c>
      <c r="P3" s="20">
        <f t="shared" si="3"/>
        <v>10</v>
      </c>
      <c r="Q3" s="21">
        <f t="shared" si="4"/>
        <v>5.5</v>
      </c>
      <c r="R3" s="21">
        <f t="shared" si="5"/>
        <v>3</v>
      </c>
      <c r="S3" s="20"/>
      <c r="T3" s="22"/>
      <c r="U3" s="23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</row>
    <row r="4" ht="22.5" customHeight="1">
      <c r="A4" s="9">
        <f>VLOOKUP(B4,FVM_update!A:B,2,0)</f>
        <v>761</v>
      </c>
      <c r="B4" s="10" t="s">
        <v>47</v>
      </c>
      <c r="C4" s="11" t="s">
        <v>42</v>
      </c>
      <c r="D4" s="12" t="str">
        <f>VLOOKUP(B4,FVM_update!A:F,6,0)</f>
        <v>Cremonese</v>
      </c>
      <c r="E4" s="13" t="str">
        <f>VLOOKUP(B4,FVM_update!A:E,4,0)</f>
        <v>Por</v>
      </c>
      <c r="F4" s="11" t="s">
        <v>45</v>
      </c>
      <c r="G4" s="14">
        <v>45839.0</v>
      </c>
      <c r="H4" s="15">
        <f t="shared" si="1"/>
        <v>46204</v>
      </c>
      <c r="I4" s="11" t="s">
        <v>48</v>
      </c>
      <c r="J4" s="16" t="str">
        <f>VLOOKUP(A4,Asteriscati25!B:N,13,0)</f>
        <v>#N/A</v>
      </c>
      <c r="K4" s="17"/>
      <c r="L4" s="18" t="str">
        <f t="shared" si="2"/>
        <v>#REF!</v>
      </c>
      <c r="M4" s="19">
        <f>VLOOKUP(B4,FVM_Asta2526!A:N,14,0)</f>
        <v>13</v>
      </c>
      <c r="N4" s="18">
        <f>VLOOKUP(A4,FVM_update!B:N,13,0)</f>
        <v>11</v>
      </c>
      <c r="O4" s="20" t="str">
        <f>VLOOKUP(B4,'FVM_1luglio-31luglio25'!D:Q,14,0)</f>
        <v>#N/A</v>
      </c>
      <c r="P4" s="20">
        <f t="shared" si="3"/>
        <v>11</v>
      </c>
      <c r="Q4" s="21">
        <f t="shared" si="4"/>
        <v>1.5</v>
      </c>
      <c r="R4" s="21">
        <f t="shared" si="5"/>
        <v>1.5</v>
      </c>
      <c r="S4" s="20"/>
      <c r="T4" s="22"/>
      <c r="U4" s="23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</row>
    <row r="5" ht="22.5" customHeight="1">
      <c r="A5" s="9">
        <f>VLOOKUP(B5,FVM_update!A:B,2,0)</f>
        <v>184</v>
      </c>
      <c r="B5" s="10" t="s">
        <v>49</v>
      </c>
      <c r="C5" s="11" t="s">
        <v>42</v>
      </c>
      <c r="D5" s="12" t="str">
        <f>VLOOKUP(B5,FVM_update!A:F,6,0)</f>
        <v>Bologna</v>
      </c>
      <c r="E5" s="13" t="str">
        <f>VLOOKUP(B5,FVM_update!A:E,4,0)</f>
        <v>W;A</v>
      </c>
      <c r="F5" s="11" t="s">
        <v>45</v>
      </c>
      <c r="G5" s="14">
        <v>45839.0</v>
      </c>
      <c r="H5" s="15">
        <f t="shared" si="1"/>
        <v>46204</v>
      </c>
      <c r="I5" s="11" t="s">
        <v>48</v>
      </c>
      <c r="J5" s="16" t="str">
        <f>VLOOKUP(A5,Asteriscati25!B:N,13,0)</f>
        <v>#N/A</v>
      </c>
      <c r="K5" s="17"/>
      <c r="L5" s="18" t="str">
        <f t="shared" si="2"/>
        <v>#REF!</v>
      </c>
      <c r="M5" s="19">
        <f>VLOOKUP(B5,FVM_Asta2526!A:N,14,0)</f>
        <v>22</v>
      </c>
      <c r="N5" s="18">
        <f>VLOOKUP(A5,FVM_update!B:N,13,0)</f>
        <v>12</v>
      </c>
      <c r="O5" s="20" t="str">
        <f>VLOOKUP(B5,'FVM_1luglio-31luglio25'!D:Q,14,0)</f>
        <v>#N/A</v>
      </c>
      <c r="P5" s="20">
        <f t="shared" si="3"/>
        <v>12</v>
      </c>
      <c r="Q5" s="21">
        <f t="shared" si="4"/>
        <v>2.5</v>
      </c>
      <c r="R5" s="21">
        <f t="shared" si="5"/>
        <v>2.5</v>
      </c>
      <c r="S5" s="20"/>
      <c r="T5" s="22"/>
      <c r="U5" s="23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</row>
    <row r="6" ht="22.5" customHeight="1">
      <c r="A6" s="9">
        <f>VLOOKUP(B6,FVM_update!A:B,2,0)</f>
        <v>6495</v>
      </c>
      <c r="B6" s="25" t="s">
        <v>50</v>
      </c>
      <c r="C6" s="11" t="s">
        <v>42</v>
      </c>
      <c r="D6" s="12" t="str">
        <f>VLOOKUP(B6,FVM_update!A:F,6,0)</f>
        <v>Fiorentina</v>
      </c>
      <c r="E6" s="13" t="str">
        <f>VLOOKUP(B6,FVM_update!A:E,4,0)</f>
        <v>Dc</v>
      </c>
      <c r="F6" s="11" t="s">
        <v>45</v>
      </c>
      <c r="G6" s="14">
        <v>45839.0</v>
      </c>
      <c r="H6" s="15">
        <f t="shared" si="1"/>
        <v>46204</v>
      </c>
      <c r="I6" s="11" t="s">
        <v>51</v>
      </c>
      <c r="J6" s="16" t="str">
        <f>VLOOKUP(A6,Asteriscati25!B:N,13,0)</f>
        <v>#N/A</v>
      </c>
      <c r="K6" s="26">
        <v>0.0</v>
      </c>
      <c r="L6" s="18" t="str">
        <f t="shared" si="2"/>
        <v>#REF!</v>
      </c>
      <c r="M6" s="27">
        <f>VLOOKUP(B6,FVM_Asta2526!A:N,14,0)</f>
        <v>17</v>
      </c>
      <c r="N6" s="18">
        <f>VLOOKUP(A6,FVM_update!B:N,13,0)</f>
        <v>16</v>
      </c>
      <c r="O6" s="20">
        <f>VLOOKUP(B6,'FVM_1luglio-31luglio25'!D:Q,14,0)</f>
        <v>11</v>
      </c>
      <c r="P6" s="20">
        <f t="shared" si="3"/>
        <v>16</v>
      </c>
      <c r="Q6" s="21">
        <f t="shared" si="4"/>
        <v>2</v>
      </c>
      <c r="R6" s="21">
        <f t="shared" si="5"/>
        <v>2</v>
      </c>
      <c r="S6" s="20"/>
      <c r="T6" s="22"/>
      <c r="U6" s="23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</row>
    <row r="7" ht="22.5" customHeight="1">
      <c r="A7" s="9" t="str">
        <f>VLOOKUP(B7,FVM_update!A:B,2,0)</f>
        <v>#N/A</v>
      </c>
      <c r="B7" s="25" t="s">
        <v>52</v>
      </c>
      <c r="C7" s="11" t="s">
        <v>42</v>
      </c>
      <c r="D7" s="12" t="str">
        <f>VLOOKUP(B7,FVM_update!A:F,6,0)</f>
        <v>#N/A</v>
      </c>
      <c r="E7" s="13" t="str">
        <f>VLOOKUP(B7,FVM_update!A:E,4,0)</f>
        <v>#N/A</v>
      </c>
      <c r="F7" s="11" t="s">
        <v>43</v>
      </c>
      <c r="G7" s="14">
        <v>45474.0</v>
      </c>
      <c r="H7" s="15">
        <f t="shared" si="1"/>
        <v>401768</v>
      </c>
      <c r="I7" s="11" t="s">
        <v>43</v>
      </c>
      <c r="J7" s="16" t="str">
        <f>VLOOKUP(A7,Asteriscati25!B:N,13,0)</f>
        <v>#N/A</v>
      </c>
      <c r="K7" s="26">
        <v>0.0</v>
      </c>
      <c r="L7" s="18" t="str">
        <f t="shared" si="2"/>
        <v>#REF!</v>
      </c>
      <c r="M7" s="19">
        <f>VLOOKUP(B7,FVM_Asta2425!A:M,13,0)</f>
        <v>1</v>
      </c>
      <c r="N7" s="18" t="str">
        <f>VLOOKUP(A7,FVM_update!B:N,13,0)</f>
        <v>#N/A</v>
      </c>
      <c r="O7" s="20" t="str">
        <f>VLOOKUP(B7,'FVM_1luglio-31luglio25'!D:Q,14,0)</f>
        <v>#N/A</v>
      </c>
      <c r="P7" s="9">
        <v>0.0</v>
      </c>
      <c r="Q7" s="21">
        <f t="shared" si="4"/>
        <v>0.5</v>
      </c>
      <c r="R7" s="21">
        <f t="shared" si="5"/>
        <v>0.5</v>
      </c>
      <c r="S7" s="20"/>
      <c r="T7" s="22"/>
      <c r="U7" s="23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</row>
    <row r="8" ht="22.5" customHeight="1">
      <c r="A8" s="9">
        <f>VLOOKUP(B8,FVM_update!A:B,2,0)</f>
        <v>779</v>
      </c>
      <c r="B8" s="10" t="s">
        <v>53</v>
      </c>
      <c r="C8" s="11" t="s">
        <v>42</v>
      </c>
      <c r="D8" s="12" t="str">
        <f>VLOOKUP(B8,FVM_update!A:F,6,0)</f>
        <v>Roma</v>
      </c>
      <c r="E8" s="13" t="str">
        <f>VLOOKUP(B8,FVM_update!A:E,4,0)</f>
        <v>M;C</v>
      </c>
      <c r="F8" s="11" t="s">
        <v>45</v>
      </c>
      <c r="G8" s="14">
        <v>45839.0</v>
      </c>
      <c r="H8" s="15">
        <f t="shared" si="1"/>
        <v>46204</v>
      </c>
      <c r="I8" s="11" t="s">
        <v>48</v>
      </c>
      <c r="J8" s="16" t="str">
        <f>VLOOKUP(A8,Asteriscati25!B:N,13,0)</f>
        <v>#N/A</v>
      </c>
      <c r="K8" s="17"/>
      <c r="L8" s="18" t="str">
        <f t="shared" si="2"/>
        <v>#REF!</v>
      </c>
      <c r="M8" s="19">
        <f>VLOOKUP(B8,FVM_Asta2526!A:N,14,0)</f>
        <v>25</v>
      </c>
      <c r="N8" s="18">
        <f>VLOOKUP(A8,FVM_update!B:N,13,0)</f>
        <v>33</v>
      </c>
      <c r="O8" s="20">
        <f>VLOOKUP(B8,'FVM_1luglio-31luglio25'!D:Q,14,0)</f>
        <v>29</v>
      </c>
      <c r="P8" s="20">
        <f t="shared" ref="P8:P98" si="6">IFERROR(N8,O8)</f>
        <v>33</v>
      </c>
      <c r="Q8" s="21">
        <f t="shared" si="4"/>
        <v>2.5</v>
      </c>
      <c r="R8" s="21">
        <f t="shared" si="5"/>
        <v>2.5</v>
      </c>
      <c r="S8" s="20"/>
      <c r="T8" s="22"/>
      <c r="U8" s="23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</row>
    <row r="9" ht="22.5" customHeight="1">
      <c r="A9" s="9">
        <f>VLOOKUP(B9,FVM_update!A:B,2,0)</f>
        <v>5544</v>
      </c>
      <c r="B9" s="10" t="s">
        <v>54</v>
      </c>
      <c r="C9" s="11" t="s">
        <v>42</v>
      </c>
      <c r="D9" s="12" t="str">
        <f>VLOOKUP(B9,FVM_update!A:F,6,0)</f>
        <v>Juventus</v>
      </c>
      <c r="E9" s="13" t="str">
        <f>VLOOKUP(B9,FVM_update!A:E,4,0)</f>
        <v>Pc</v>
      </c>
      <c r="F9" s="11" t="s">
        <v>55</v>
      </c>
      <c r="G9" s="14">
        <v>45839.0</v>
      </c>
      <c r="H9" s="15">
        <f t="shared" si="1"/>
        <v>46569</v>
      </c>
      <c r="I9" s="11" t="s">
        <v>48</v>
      </c>
      <c r="J9" s="16" t="str">
        <f>VLOOKUP(A9,Asteriscati25!B:N,13,0)</f>
        <v>#N/A</v>
      </c>
      <c r="K9" s="17"/>
      <c r="L9" s="18" t="str">
        <f t="shared" si="2"/>
        <v>#REF!</v>
      </c>
      <c r="M9" s="19">
        <f>VLOOKUP(B9,FVM_Asta2526!A:N,14,0)</f>
        <v>266</v>
      </c>
      <c r="N9" s="18">
        <f>VLOOKUP(A9,FVM_update!B:N,13,0)</f>
        <v>58</v>
      </c>
      <c r="O9" s="20" t="str">
        <f>VLOOKUP(B9,'FVM_1luglio-31luglio25'!D:Q,14,0)</f>
        <v>#N/A</v>
      </c>
      <c r="P9" s="20">
        <f t="shared" si="6"/>
        <v>58</v>
      </c>
      <c r="Q9" s="21">
        <f t="shared" si="4"/>
        <v>35</v>
      </c>
      <c r="R9" s="21">
        <f t="shared" si="5"/>
        <v>35</v>
      </c>
      <c r="S9" s="20"/>
      <c r="T9" s="22"/>
      <c r="U9" s="23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</row>
    <row r="10" ht="22.5" customHeight="1">
      <c r="A10" s="9">
        <f>VLOOKUP(B10,FVM_update!A:B,2,0)</f>
        <v>5995</v>
      </c>
      <c r="B10" s="10" t="s">
        <v>56</v>
      </c>
      <c r="C10" s="11" t="s">
        <v>42</v>
      </c>
      <c r="D10" s="12" t="str">
        <f>VLOOKUP(B10,FVM_update!A:F,6,0)</f>
        <v>Atalanta</v>
      </c>
      <c r="E10" s="13" t="str">
        <f>VLOOKUP(B10,FVM_update!A:E,4,0)</f>
        <v>A</v>
      </c>
      <c r="F10" s="11" t="s">
        <v>45</v>
      </c>
      <c r="G10" s="14">
        <v>45839.0</v>
      </c>
      <c r="H10" s="15">
        <f t="shared" si="1"/>
        <v>46204</v>
      </c>
      <c r="I10" s="11" t="s">
        <v>48</v>
      </c>
      <c r="J10" s="16" t="str">
        <f>VLOOKUP(A10,Asteriscati25!B:N,13,0)</f>
        <v>#N/A</v>
      </c>
      <c r="K10" s="17"/>
      <c r="L10" s="18" t="str">
        <f t="shared" si="2"/>
        <v>#REF!</v>
      </c>
      <c r="M10" s="19">
        <f>VLOOKUP(B10,FVM_Asta2526!A:N,14,0)</f>
        <v>142</v>
      </c>
      <c r="N10" s="18">
        <f>VLOOKUP(A10,FVM_update!B:N,13,0)</f>
        <v>86</v>
      </c>
      <c r="O10" s="20">
        <f>VLOOKUP(B10,'FVM_1luglio-31luglio25'!D:Q,14,0)</f>
        <v>110</v>
      </c>
      <c r="P10" s="20">
        <f t="shared" si="6"/>
        <v>86</v>
      </c>
      <c r="Q10" s="21">
        <f t="shared" si="4"/>
        <v>14.5</v>
      </c>
      <c r="R10" s="21">
        <f t="shared" si="5"/>
        <v>14.5</v>
      </c>
      <c r="S10" s="20"/>
      <c r="T10" s="22"/>
      <c r="U10" s="23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</row>
    <row r="11" ht="22.5" customHeight="1">
      <c r="A11" s="9">
        <f>VLOOKUP(B11,FVM_update!A:B,2,0)</f>
        <v>22</v>
      </c>
      <c r="B11" s="10" t="s">
        <v>57</v>
      </c>
      <c r="C11" s="11" t="s">
        <v>42</v>
      </c>
      <c r="D11" s="12" t="str">
        <f>VLOOKUP(B11,FVM_update!A:F,6,0)</f>
        <v>Atalanta</v>
      </c>
      <c r="E11" s="13" t="str">
        <f>VLOOKUP(B11,FVM_update!A:E,4,0)</f>
        <v>M;C</v>
      </c>
      <c r="F11" s="11" t="s">
        <v>45</v>
      </c>
      <c r="G11" s="14">
        <v>45839.0</v>
      </c>
      <c r="H11" s="15">
        <f t="shared" si="1"/>
        <v>46204</v>
      </c>
      <c r="I11" s="11" t="s">
        <v>48</v>
      </c>
      <c r="J11" s="16" t="str">
        <f>VLOOKUP(A11,Asteriscati25!B:N,13,0)</f>
        <v>#N/A</v>
      </c>
      <c r="K11" s="17"/>
      <c r="L11" s="18" t="str">
        <f t="shared" si="2"/>
        <v>#REF!</v>
      </c>
      <c r="M11" s="19">
        <f>VLOOKUP(B11,FVM_Asta2526!A:N,14,0)</f>
        <v>37</v>
      </c>
      <c r="N11" s="18">
        <f>VLOOKUP(A11,FVM_update!B:N,13,0)</f>
        <v>39</v>
      </c>
      <c r="O11" s="20">
        <f>VLOOKUP(B11,'FVM_1luglio-31luglio25'!D:Q,14,0)</f>
        <v>32</v>
      </c>
      <c r="P11" s="20">
        <f t="shared" si="6"/>
        <v>39</v>
      </c>
      <c r="Q11" s="21">
        <f t="shared" si="4"/>
        <v>4</v>
      </c>
      <c r="R11" s="21">
        <f t="shared" si="5"/>
        <v>4</v>
      </c>
      <c r="S11" s="20"/>
      <c r="T11" s="22"/>
      <c r="U11" s="23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</row>
    <row r="12" ht="22.5" customHeight="1">
      <c r="A12" s="9">
        <f>VLOOKUP(B12,FVM_update!A:B,2,0)</f>
        <v>2816</v>
      </c>
      <c r="B12" s="10" t="s">
        <v>58</v>
      </c>
      <c r="C12" s="11" t="s">
        <v>42</v>
      </c>
      <c r="D12" s="12" t="str">
        <f>VLOOKUP(B12,FVM_update!A:F,6,0)</f>
        <v>Napoli</v>
      </c>
      <c r="E12" s="13" t="str">
        <f>VLOOKUP(B12,FVM_update!A:E,4,0)</f>
        <v>Dd;E</v>
      </c>
      <c r="F12" s="11" t="s">
        <v>59</v>
      </c>
      <c r="G12" s="14">
        <v>45839.0</v>
      </c>
      <c r="H12" s="15">
        <f t="shared" si="1"/>
        <v>46935</v>
      </c>
      <c r="I12" s="11" t="s">
        <v>48</v>
      </c>
      <c r="J12" s="16" t="str">
        <f>VLOOKUP(A12,Asteriscati25!B:N,13,0)</f>
        <v>#N/A</v>
      </c>
      <c r="K12" s="17"/>
      <c r="L12" s="18" t="str">
        <f t="shared" si="2"/>
        <v>#REF!</v>
      </c>
      <c r="M12" s="19">
        <f>VLOOKUP(B12,FVM_Asta2526!A:N,14,0)</f>
        <v>53</v>
      </c>
      <c r="N12" s="18">
        <f>VLOOKUP(A12,FVM_update!B:N,13,0)</f>
        <v>37</v>
      </c>
      <c r="O12" s="20">
        <f>VLOOKUP(B12,'FVM_1luglio-31luglio25'!D:Q,14,0)</f>
        <v>76</v>
      </c>
      <c r="P12" s="20">
        <f t="shared" si="6"/>
        <v>37</v>
      </c>
      <c r="Q12" s="21">
        <f t="shared" si="4"/>
        <v>6.5</v>
      </c>
      <c r="R12" s="21">
        <f t="shared" si="5"/>
        <v>6.5</v>
      </c>
      <c r="S12" s="20"/>
      <c r="T12" s="22"/>
      <c r="U12" s="23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</row>
    <row r="13" ht="22.5" customHeight="1">
      <c r="A13" s="9">
        <f>VLOOKUP(B13,FVM_update!A:B,2,0)</f>
        <v>5851</v>
      </c>
      <c r="B13" s="10" t="s">
        <v>60</v>
      </c>
      <c r="C13" s="11" t="s">
        <v>42</v>
      </c>
      <c r="D13" s="12" t="str">
        <f>VLOOKUP(B13,FVM_update!A:F,6,0)</f>
        <v>Sassuolo</v>
      </c>
      <c r="E13" s="13" t="str">
        <f>VLOOKUP(B13,FVM_update!A:E,4,0)</f>
        <v>Ds;E</v>
      </c>
      <c r="F13" s="11" t="s">
        <v>45</v>
      </c>
      <c r="G13" s="14">
        <v>45839.0</v>
      </c>
      <c r="H13" s="15">
        <f t="shared" si="1"/>
        <v>46204</v>
      </c>
      <c r="I13" s="11" t="s">
        <v>48</v>
      </c>
      <c r="J13" s="16" t="str">
        <f>VLOOKUP(A13,Asteriscati25!B:N,13,0)</f>
        <v>#N/A</v>
      </c>
      <c r="K13" s="17"/>
      <c r="L13" s="18" t="str">
        <f t="shared" si="2"/>
        <v>#REF!</v>
      </c>
      <c r="M13" s="19">
        <f>VLOOKUP(B13,FVM_Asta2526!A:N,14,0)</f>
        <v>17</v>
      </c>
      <c r="N13" s="18">
        <f>VLOOKUP(A13,FVM_update!B:N,13,0)</f>
        <v>14</v>
      </c>
      <c r="O13" s="20" t="str">
        <f>VLOOKUP(B13,'FVM_1luglio-31luglio25'!D:Q,14,0)</f>
        <v>#N/A</v>
      </c>
      <c r="P13" s="20">
        <f t="shared" si="6"/>
        <v>14</v>
      </c>
      <c r="Q13" s="21">
        <f t="shared" si="4"/>
        <v>2</v>
      </c>
      <c r="R13" s="21">
        <f t="shared" si="5"/>
        <v>2</v>
      </c>
      <c r="S13" s="20"/>
      <c r="T13" s="22"/>
      <c r="U13" s="23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</row>
    <row r="14" ht="22.5" customHeight="1">
      <c r="A14" s="9">
        <f>VLOOKUP(B14,FVM_update!A:B,2,0)</f>
        <v>6047</v>
      </c>
      <c r="B14" s="10" t="s">
        <v>61</v>
      </c>
      <c r="C14" s="11" t="s">
        <v>42</v>
      </c>
      <c r="D14" s="12" t="str">
        <f>VLOOKUP(B14,FVM_update!A:F,6,0)</f>
        <v>Udinese</v>
      </c>
      <c r="E14" s="13" t="str">
        <f>VLOOKUP(B14,FVM_update!A:E,4,0)</f>
        <v>Dd;E</v>
      </c>
      <c r="F14" s="11" t="s">
        <v>45</v>
      </c>
      <c r="G14" s="14">
        <v>45839.0</v>
      </c>
      <c r="H14" s="15">
        <f t="shared" si="1"/>
        <v>46204</v>
      </c>
      <c r="I14" s="11" t="s">
        <v>48</v>
      </c>
      <c r="J14" s="16" t="str">
        <f>VLOOKUP(A14,Asteriscati25!B:N,13,0)</f>
        <v>#N/A</v>
      </c>
      <c r="K14" s="17"/>
      <c r="L14" s="18" t="str">
        <f t="shared" si="2"/>
        <v>#REF!</v>
      </c>
      <c r="M14" s="19">
        <f>VLOOKUP(B14,FVM_Asta2526!A:N,14,0)</f>
        <v>15</v>
      </c>
      <c r="N14" s="18">
        <f>VLOOKUP(A14,FVM_update!B:N,13,0)</f>
        <v>8</v>
      </c>
      <c r="O14" s="20">
        <f>VLOOKUP(B14,'FVM_1luglio-31luglio25'!D:Q,14,0)</f>
        <v>9</v>
      </c>
      <c r="P14" s="20">
        <f t="shared" si="6"/>
        <v>8</v>
      </c>
      <c r="Q14" s="21">
        <f t="shared" si="4"/>
        <v>1.5</v>
      </c>
      <c r="R14" s="21">
        <f t="shared" si="5"/>
        <v>1.5</v>
      </c>
      <c r="S14" s="20"/>
      <c r="T14" s="22"/>
      <c r="U14" s="23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</row>
    <row r="15" ht="22.5" customHeight="1">
      <c r="A15" s="9">
        <f>VLOOKUP(B15,FVM_update!A:B,2,0)</f>
        <v>4463</v>
      </c>
      <c r="B15" s="10" t="s">
        <v>62</v>
      </c>
      <c r="C15" s="11" t="s">
        <v>42</v>
      </c>
      <c r="D15" s="12" t="str">
        <f>VLOOKUP(B15,FVM_update!A:F,6,0)</f>
        <v>Cagliari</v>
      </c>
      <c r="E15" s="13" t="str">
        <f>VLOOKUP(B15,FVM_update!A:E,4,0)</f>
        <v>A</v>
      </c>
      <c r="F15" s="11" t="s">
        <v>45</v>
      </c>
      <c r="G15" s="14">
        <v>45839.0</v>
      </c>
      <c r="H15" s="15">
        <f t="shared" si="1"/>
        <v>46204</v>
      </c>
      <c r="I15" s="11" t="s">
        <v>48</v>
      </c>
      <c r="J15" s="16" t="str">
        <f>VLOOKUP(A15,Asteriscati25!B:N,13,0)</f>
        <v>#N/A</v>
      </c>
      <c r="K15" s="17"/>
      <c r="L15" s="18" t="str">
        <f t="shared" si="2"/>
        <v>#REF!</v>
      </c>
      <c r="M15" s="19">
        <f>VLOOKUP(B15,FVM_Asta2526!A:N,14,0)</f>
        <v>66</v>
      </c>
      <c r="N15" s="18">
        <f>VLOOKUP(A15,FVM_update!B:N,13,0)</f>
        <v>57</v>
      </c>
      <c r="O15" s="20">
        <f>VLOOKUP(B15,'FVM_1luglio-31luglio25'!D:Q,14,0)</f>
        <v>26</v>
      </c>
      <c r="P15" s="20">
        <f t="shared" si="6"/>
        <v>57</v>
      </c>
      <c r="Q15" s="21">
        <f t="shared" si="4"/>
        <v>7</v>
      </c>
      <c r="R15" s="21">
        <f t="shared" si="5"/>
        <v>7</v>
      </c>
      <c r="S15" s="20"/>
      <c r="T15" s="22"/>
      <c r="U15" s="23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</row>
    <row r="16" ht="22.5" customHeight="1">
      <c r="A16" s="9">
        <f>VLOOKUP(B16,FVM_update!A:B,2,0)</f>
        <v>6046</v>
      </c>
      <c r="B16" s="10" t="s">
        <v>63</v>
      </c>
      <c r="C16" s="11" t="s">
        <v>42</v>
      </c>
      <c r="D16" s="12" t="str">
        <f>VLOOKUP(B16,FVM_update!A:F,6,0)</f>
        <v>Atalanta</v>
      </c>
      <c r="E16" s="13" t="str">
        <f>VLOOKUP(B16,FVM_update!A:E,4,0)</f>
        <v>Dc</v>
      </c>
      <c r="F16" s="11" t="s">
        <v>45</v>
      </c>
      <c r="G16" s="14">
        <v>45839.0</v>
      </c>
      <c r="H16" s="15">
        <f t="shared" si="1"/>
        <v>46204</v>
      </c>
      <c r="I16" s="11" t="s">
        <v>48</v>
      </c>
      <c r="J16" s="16" t="str">
        <f>VLOOKUP(A16,Asteriscati25!B:N,13,0)</f>
        <v>#N/A</v>
      </c>
      <c r="K16" s="17"/>
      <c r="L16" s="18" t="str">
        <f t="shared" si="2"/>
        <v>#REF!</v>
      </c>
      <c r="M16" s="19">
        <f>VLOOKUP(B16,FVM_Asta2526!A:N,14,0)</f>
        <v>34</v>
      </c>
      <c r="N16" s="18">
        <f>VLOOKUP(A16,FVM_update!B:N,13,0)</f>
        <v>21</v>
      </c>
      <c r="O16" s="20">
        <f>VLOOKUP(B16,'FVM_1luglio-31luglio25'!D:Q,14,0)</f>
        <v>20</v>
      </c>
      <c r="P16" s="20">
        <f t="shared" si="6"/>
        <v>21</v>
      </c>
      <c r="Q16" s="21">
        <f t="shared" si="4"/>
        <v>3.5</v>
      </c>
      <c r="R16" s="21">
        <f t="shared" si="5"/>
        <v>3.5</v>
      </c>
      <c r="S16" s="20"/>
      <c r="T16" s="22"/>
      <c r="U16" s="23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</row>
    <row r="17" ht="22.5" customHeight="1">
      <c r="A17" s="9">
        <f>VLOOKUP(B17,FVM_update!A:B,2,0)</f>
        <v>5850</v>
      </c>
      <c r="B17" s="25" t="s">
        <v>64</v>
      </c>
      <c r="C17" s="11" t="s">
        <v>42</v>
      </c>
      <c r="D17" s="12" t="str">
        <f>VLOOKUP(B17,FVM_update!A:F,6,0)</f>
        <v>Verona</v>
      </c>
      <c r="E17" s="13" t="str">
        <f>VLOOKUP(B17,FVM_update!A:E,4,0)</f>
        <v>C</v>
      </c>
      <c r="F17" s="17" t="str">
        <f>VLOOKUP(B17,'situazione contratti estate 24'!A:I,9,0)</f>
        <v>Obbligo 1+2</v>
      </c>
      <c r="G17" s="14">
        <v>45108.0</v>
      </c>
      <c r="H17" s="15">
        <f t="shared" si="1"/>
        <v>46204</v>
      </c>
      <c r="I17" s="11" t="s">
        <v>65</v>
      </c>
      <c r="J17" s="16" t="str">
        <f>VLOOKUP(A17,Asteriscati25!B:N,13,0)</f>
        <v>#N/A</v>
      </c>
      <c r="K17" s="26">
        <v>0.0</v>
      </c>
      <c r="L17" s="18" t="str">
        <f t="shared" si="2"/>
        <v>#REF!</v>
      </c>
      <c r="M17" s="19">
        <f>VLOOKUP(B17,FVM_Asta2324!C:M,11,0)</f>
        <v>53</v>
      </c>
      <c r="N17" s="18">
        <f>VLOOKUP(A17,FVM_update!B:N,13,0)</f>
        <v>12</v>
      </c>
      <c r="O17" s="20">
        <f>VLOOKUP(B17,'FVM_1luglio-31luglio25'!D:Q,14,0)</f>
        <v>22</v>
      </c>
      <c r="P17" s="20">
        <f t="shared" si="6"/>
        <v>12</v>
      </c>
      <c r="Q17" s="21">
        <f t="shared" si="4"/>
        <v>6.5</v>
      </c>
      <c r="R17" s="21">
        <f t="shared" si="5"/>
        <v>6.5</v>
      </c>
      <c r="S17" s="20"/>
      <c r="T17" s="22"/>
      <c r="U17" s="23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</row>
    <row r="18" ht="22.5" customHeight="1">
      <c r="A18" s="9">
        <f>VLOOKUP(B18,FVM_update!A:B,2,0)</f>
        <v>6215</v>
      </c>
      <c r="B18" s="25" t="s">
        <v>66</v>
      </c>
      <c r="C18" s="11" t="s">
        <v>42</v>
      </c>
      <c r="D18" s="12" t="str">
        <f>VLOOKUP(B18,FVM_update!A:F,6,0)</f>
        <v>Napoli</v>
      </c>
      <c r="E18" s="13" t="str">
        <f>VLOOKUP(B18,FVM_update!A:E,4,0)</f>
        <v>Pc</v>
      </c>
      <c r="F18" s="11" t="s">
        <v>67</v>
      </c>
      <c r="G18" s="14">
        <v>45474.0</v>
      </c>
      <c r="H18" s="15">
        <f t="shared" si="1"/>
        <v>46204</v>
      </c>
      <c r="I18" s="11" t="s">
        <v>68</v>
      </c>
      <c r="J18" s="16" t="str">
        <f>VLOOKUP(A18,Asteriscati25!B:N,13,0)</f>
        <v>#N/A</v>
      </c>
      <c r="K18" s="26">
        <v>0.0</v>
      </c>
      <c r="L18" s="19" t="str">
        <f t="shared" si="2"/>
        <v>#REF!</v>
      </c>
      <c r="M18" s="19">
        <f>VLOOKUP(B18,FVM_Asta2425!A:M,13,0)</f>
        <v>68</v>
      </c>
      <c r="N18" s="19" t="str">
        <f>VLOOKUP(A18,#REF!,13,0)</f>
        <v>#REF!</v>
      </c>
      <c r="O18" s="20">
        <f>VLOOKUP(B18,'FVM_1luglio-31luglio25'!D:Q,14,0)</f>
        <v>78</v>
      </c>
      <c r="P18" s="20">
        <f t="shared" si="6"/>
        <v>78</v>
      </c>
      <c r="Q18" s="21">
        <f t="shared" si="4"/>
        <v>8</v>
      </c>
      <c r="R18" s="21">
        <f>IF(OR(I18="asta", I18="Svincolato riconferma anno corrente", I18="vivaio"), Q18,
IF(OR(I18="asta riparazione", I18="Svincolato obbligo anno precedente", I18="Svincolo pausa invernale"), MAX(0.5, CEILING(Q18 / 2, 0.5)),
IF(OR(I18="ceduto in prestito", I18="acquisito in prestito", I18="acquistato tit definitivo", I18="Ceduto tit definitivo"),CEILING(Q18 * K18, 0.5),
IF(I18="asteriscato", "inserire a mano", ""))))
</f>
        <v>4</v>
      </c>
      <c r="S18" s="20"/>
      <c r="T18" s="22"/>
      <c r="U18" s="23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</row>
    <row r="19" ht="22.5" customHeight="1">
      <c r="A19" s="9">
        <f>VLOOKUP(B19,FVM_update!A:B,2,0)</f>
        <v>6042</v>
      </c>
      <c r="B19" s="10" t="s">
        <v>69</v>
      </c>
      <c r="C19" s="11" t="s">
        <v>42</v>
      </c>
      <c r="D19" s="12" t="str">
        <f>VLOOKUP(B19,FVM_update!A:F,6,0)</f>
        <v>Bologna</v>
      </c>
      <c r="E19" s="13" t="str">
        <f>VLOOKUP(B19,FVM_update!A:E,4,0)</f>
        <v>Dc</v>
      </c>
      <c r="F19" s="11" t="s">
        <v>45</v>
      </c>
      <c r="G19" s="14">
        <v>45839.0</v>
      </c>
      <c r="H19" s="15">
        <f t="shared" si="1"/>
        <v>46204</v>
      </c>
      <c r="I19" s="11" t="s">
        <v>48</v>
      </c>
      <c r="J19" s="16" t="str">
        <f>VLOOKUP(A19,Asteriscati25!B:N,13,0)</f>
        <v>#N/A</v>
      </c>
      <c r="K19" s="17"/>
      <c r="L19" s="18" t="str">
        <f t="shared" si="2"/>
        <v>#REF!</v>
      </c>
      <c r="M19" s="19">
        <f>VLOOKUP(B19,FVM_Asta2526!A:N,14,0)</f>
        <v>21</v>
      </c>
      <c r="N19" s="18">
        <f>VLOOKUP(A19,FVM_update!B:N,13,0)</f>
        <v>12</v>
      </c>
      <c r="O19" s="20" t="str">
        <f>VLOOKUP(B19,'FVM_1luglio-31luglio25'!D:Q,14,0)</f>
        <v>#N/A</v>
      </c>
      <c r="P19" s="20">
        <f t="shared" si="6"/>
        <v>12</v>
      </c>
      <c r="Q19" s="21">
        <f t="shared" si="4"/>
        <v>2.5</v>
      </c>
      <c r="R19" s="21">
        <f t="shared" ref="R19:R159" si="7">IF(I19="vivaio", 0.5,
IF(OR(I19="asta", I19="Svincolato riconferma anno corrente", I19="vivaio", I19="promosso da vivaio"), Q19,
IF(OR(I19="asta riparazione", I19="Svincolato obbligo anno precedente", I19="Svincolo pausa invernale"), MAX(0.5, CEILING(Q19 / 2, 0.5)),
IF(OR(I19="ceduto in prestito", I19="acquisito in prestito", I19="acquistato tit definitivo", I19="Ceduto tit definitivo"),CEILING(Q19 * K19, 0.5),
IF(I19="asteriscato", "inserire a mano", ""))))
)</f>
        <v>2.5</v>
      </c>
      <c r="S19" s="20"/>
      <c r="T19" s="22"/>
      <c r="U19" s="23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</row>
    <row r="20" ht="22.5" customHeight="1">
      <c r="A20" s="9">
        <f>VLOOKUP(B20,FVM_update!A:B,2,0)</f>
        <v>2296</v>
      </c>
      <c r="B20" s="25" t="s">
        <v>70</v>
      </c>
      <c r="C20" s="11" t="s">
        <v>42</v>
      </c>
      <c r="D20" s="12" t="str">
        <f>VLOOKUP(B20,FVM_update!A:F,6,0)</f>
        <v>Roma</v>
      </c>
      <c r="E20" s="13" t="str">
        <f>VLOOKUP(B20,FVM_update!A:E,4,0)</f>
        <v>Dc</v>
      </c>
      <c r="F20" s="11" t="s">
        <v>67</v>
      </c>
      <c r="G20" s="14">
        <v>45474.0</v>
      </c>
      <c r="H20" s="15">
        <f t="shared" si="1"/>
        <v>46204</v>
      </c>
      <c r="I20" s="11" t="s">
        <v>71</v>
      </c>
      <c r="J20" s="16" t="str">
        <f>VLOOKUP(A20,Asteriscati25!B:N,13,0)</f>
        <v>#N/A</v>
      </c>
      <c r="K20" s="26">
        <v>0.0</v>
      </c>
      <c r="L20" s="18" t="str">
        <f t="shared" si="2"/>
        <v>#REF!</v>
      </c>
      <c r="M20" s="19">
        <f>VLOOKUP(B20,FVM_Asta2425!A:M,13,0)</f>
        <v>26</v>
      </c>
      <c r="N20" s="18">
        <f>VLOOKUP(A20,FVM_update!B:N,13,0)</f>
        <v>39</v>
      </c>
      <c r="O20" s="20">
        <f>VLOOKUP(B20,'FVM_1luglio-31luglio25'!D:Q,14,0)</f>
        <v>27</v>
      </c>
      <c r="P20" s="20">
        <f t="shared" si="6"/>
        <v>39</v>
      </c>
      <c r="Q20" s="21">
        <f t="shared" si="4"/>
        <v>3</v>
      </c>
      <c r="R20" s="21">
        <f t="shared" si="7"/>
        <v>0</v>
      </c>
      <c r="S20" s="20"/>
      <c r="T20" s="22"/>
      <c r="U20" s="23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</row>
    <row r="21" ht="22.5" customHeight="1">
      <c r="A21" s="9">
        <f>VLOOKUP(B21,FVM_update!A:B,2,0)</f>
        <v>4734</v>
      </c>
      <c r="B21" s="25" t="s">
        <v>72</v>
      </c>
      <c r="C21" s="11" t="s">
        <v>42</v>
      </c>
      <c r="D21" s="12" t="str">
        <f>VLOOKUP(B21,FVM_update!A:F,6,0)</f>
        <v>Bologna</v>
      </c>
      <c r="E21" s="13" t="str">
        <f>VLOOKUP(B21,FVM_update!A:E,4,0)</f>
        <v>Ds;E</v>
      </c>
      <c r="F21" s="11" t="s">
        <v>55</v>
      </c>
      <c r="G21" s="14">
        <v>45474.0</v>
      </c>
      <c r="H21" s="15">
        <f t="shared" si="1"/>
        <v>46204</v>
      </c>
      <c r="I21" s="11" t="s">
        <v>48</v>
      </c>
      <c r="J21" s="16" t="str">
        <f>VLOOKUP(A21,Asteriscati25!B:N,13,0)</f>
        <v>#N/A</v>
      </c>
      <c r="K21" s="26">
        <v>0.0</v>
      </c>
      <c r="L21" s="18" t="str">
        <f t="shared" si="2"/>
        <v>#REF!</v>
      </c>
      <c r="M21" s="19">
        <f>VLOOKUP(B21,FVM_Asta2425!A:M,13,0)</f>
        <v>16</v>
      </c>
      <c r="N21" s="18">
        <f>VLOOKUP(A21,FVM_update!B:N,13,0)</f>
        <v>13</v>
      </c>
      <c r="O21" s="20">
        <f>VLOOKUP(B21,'FVM_1luglio-31luglio25'!D:Q,14,0)</f>
        <v>21</v>
      </c>
      <c r="P21" s="20">
        <f t="shared" si="6"/>
        <v>13</v>
      </c>
      <c r="Q21" s="21">
        <f t="shared" si="4"/>
        <v>2.5</v>
      </c>
      <c r="R21" s="21">
        <f t="shared" si="7"/>
        <v>2.5</v>
      </c>
      <c r="S21" s="20"/>
      <c r="T21" s="22"/>
      <c r="U21" s="23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</row>
    <row r="22" ht="22.5" customHeight="1">
      <c r="A22" s="9">
        <f>VLOOKUP(B22,FVM_update!A:B,2,0)</f>
        <v>2765</v>
      </c>
      <c r="B22" s="25" t="s">
        <v>73</v>
      </c>
      <c r="C22" s="11" t="s">
        <v>42</v>
      </c>
      <c r="D22" s="12" t="str">
        <f>VLOOKUP(B22,FVM_update!A:F,6,0)</f>
        <v>Bologna</v>
      </c>
      <c r="E22" s="13" t="str">
        <f>VLOOKUP(B22,FVM_update!A:E,4,0)</f>
        <v>T;A</v>
      </c>
      <c r="F22" s="11" t="s">
        <v>74</v>
      </c>
      <c r="G22" s="14">
        <v>45689.0</v>
      </c>
      <c r="H22" s="15">
        <f t="shared" si="1"/>
        <v>46600</v>
      </c>
      <c r="I22" s="11" t="s">
        <v>48</v>
      </c>
      <c r="J22" s="16" t="str">
        <f>VLOOKUP(A22,Asteriscati25!B:N,13,0)</f>
        <v>#N/A</v>
      </c>
      <c r="K22" s="26">
        <v>0.0</v>
      </c>
      <c r="L22" s="18" t="str">
        <f t="shared" si="2"/>
        <v>#REF!</v>
      </c>
      <c r="M22" s="19">
        <v>55.0</v>
      </c>
      <c r="N22" s="18">
        <f>VLOOKUP(A22,FVM_update!B:N,13,0)</f>
        <v>30</v>
      </c>
      <c r="O22" s="20">
        <f>VLOOKUP(B22,'FVM_1luglio-31luglio25'!D:Q,14,0)</f>
        <v>28</v>
      </c>
      <c r="P22" s="20">
        <f t="shared" si="6"/>
        <v>30</v>
      </c>
      <c r="Q22" s="21">
        <f t="shared" si="4"/>
        <v>6.5</v>
      </c>
      <c r="R22" s="21">
        <f t="shared" si="7"/>
        <v>6.5</v>
      </c>
      <c r="S22" s="19"/>
      <c r="T22" s="17"/>
      <c r="U22" s="10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</row>
    <row r="23" ht="22.5" customHeight="1">
      <c r="A23" s="9">
        <f>VLOOKUP(B23,FVM_update!A:B,2,0)</f>
        <v>2077</v>
      </c>
      <c r="B23" s="10" t="s">
        <v>75</v>
      </c>
      <c r="C23" s="11" t="s">
        <v>42</v>
      </c>
      <c r="D23" s="12" t="str">
        <f>VLOOKUP(B23,FVM_update!A:F,6,0)</f>
        <v>Atalanta</v>
      </c>
      <c r="E23" s="13" t="str">
        <f>VLOOKUP(B23,FVM_update!A:E,4,0)</f>
        <v>C;T</v>
      </c>
      <c r="F23" s="11" t="s">
        <v>55</v>
      </c>
      <c r="G23" s="14">
        <v>45839.0</v>
      </c>
      <c r="H23" s="15">
        <f t="shared" si="1"/>
        <v>46569</v>
      </c>
      <c r="I23" s="11" t="s">
        <v>48</v>
      </c>
      <c r="J23" s="16" t="str">
        <f>VLOOKUP(A23,Asteriscati25!B:N,13,0)</f>
        <v>#N/A</v>
      </c>
      <c r="K23" s="17"/>
      <c r="L23" s="18" t="str">
        <f t="shared" si="2"/>
        <v>#REF!</v>
      </c>
      <c r="M23" s="19">
        <f>VLOOKUP(B23,FVM_Asta2526!A:N,14,0)</f>
        <v>28</v>
      </c>
      <c r="N23" s="18">
        <f>VLOOKUP(A23,FVM_update!B:N,13,0)</f>
        <v>21</v>
      </c>
      <c r="O23" s="20">
        <f>VLOOKUP(B23,'FVM_1luglio-31luglio25'!D:Q,14,0)</f>
        <v>38</v>
      </c>
      <c r="P23" s="20">
        <f t="shared" si="6"/>
        <v>21</v>
      </c>
      <c r="Q23" s="21">
        <f t="shared" si="4"/>
        <v>4</v>
      </c>
      <c r="R23" s="21">
        <f t="shared" si="7"/>
        <v>4</v>
      </c>
      <c r="S23" s="20"/>
      <c r="T23" s="22"/>
      <c r="U23" s="23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</row>
    <row r="24" ht="22.5" customHeight="1">
      <c r="A24" s="9">
        <f>VLOOKUP(B24,FVM_update!A:B,2,0)</f>
        <v>5603</v>
      </c>
      <c r="B24" s="10" t="s">
        <v>76</v>
      </c>
      <c r="C24" s="11" t="s">
        <v>42</v>
      </c>
      <c r="D24" s="12" t="str">
        <f>VLOOKUP(B24,FVM_update!A:F,6,0)</f>
        <v>Fiorentina</v>
      </c>
      <c r="E24" s="13" t="str">
        <f>VLOOKUP(B24,FVM_update!A:E,4,0)</f>
        <v>Dc</v>
      </c>
      <c r="F24" s="11" t="s">
        <v>45</v>
      </c>
      <c r="G24" s="14">
        <v>45839.0</v>
      </c>
      <c r="H24" s="15">
        <f t="shared" si="1"/>
        <v>46204</v>
      </c>
      <c r="I24" s="11" t="s">
        <v>48</v>
      </c>
      <c r="J24" s="16" t="str">
        <f>VLOOKUP(A24,Asteriscati25!B:N,13,0)</f>
        <v>#N/A</v>
      </c>
      <c r="K24" s="17"/>
      <c r="L24" s="18" t="str">
        <f t="shared" si="2"/>
        <v>#REF!</v>
      </c>
      <c r="M24" s="19">
        <f>VLOOKUP(B24,FVM_Asta2526!A:N,14,0)</f>
        <v>16</v>
      </c>
      <c r="N24" s="18">
        <f>VLOOKUP(A24,FVM_update!B:N,13,0)</f>
        <v>12</v>
      </c>
      <c r="O24" s="20">
        <f>VLOOKUP(B24,'FVM_1luglio-31luglio25'!D:Q,14,0)</f>
        <v>16</v>
      </c>
      <c r="P24" s="20">
        <f t="shared" si="6"/>
        <v>12</v>
      </c>
      <c r="Q24" s="21">
        <f t="shared" si="4"/>
        <v>2</v>
      </c>
      <c r="R24" s="21">
        <f t="shared" si="7"/>
        <v>2</v>
      </c>
      <c r="S24" s="20"/>
      <c r="T24" s="22"/>
      <c r="U24" s="23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</row>
    <row r="25" ht="22.5" customHeight="1">
      <c r="A25" s="9">
        <f>VLOOKUP(B25,FVM_update!A:B,2,0)</f>
        <v>4378</v>
      </c>
      <c r="B25" s="10" t="s">
        <v>77</v>
      </c>
      <c r="C25" s="11" t="s">
        <v>42</v>
      </c>
      <c r="D25" s="12" t="str">
        <f>VLOOKUP(B25,FVM_update!A:F,6,0)</f>
        <v>Fiorentina</v>
      </c>
      <c r="E25" s="13" t="str">
        <f>VLOOKUP(B25,FVM_update!A:E,4,0)</f>
        <v>Ds;Dc</v>
      </c>
      <c r="F25" s="11" t="s">
        <v>45</v>
      </c>
      <c r="G25" s="14">
        <v>45839.0</v>
      </c>
      <c r="H25" s="15">
        <f t="shared" si="1"/>
        <v>46204</v>
      </c>
      <c r="I25" s="11" t="s">
        <v>48</v>
      </c>
      <c r="J25" s="16" t="str">
        <f>VLOOKUP(A25,Asteriscati25!B:N,13,0)</f>
        <v>#N/A</v>
      </c>
      <c r="K25" s="17"/>
      <c r="L25" s="18" t="str">
        <f t="shared" si="2"/>
        <v>#REF!</v>
      </c>
      <c r="M25" s="19">
        <f>VLOOKUP(B25,FVM_Asta2526!A:N,14,0)</f>
        <v>17</v>
      </c>
      <c r="N25" s="18">
        <f>VLOOKUP(A25,FVM_update!B:N,13,0)</f>
        <v>12</v>
      </c>
      <c r="O25" s="20">
        <f>VLOOKUP(B25,'FVM_1luglio-31luglio25'!D:Q,14,0)</f>
        <v>16</v>
      </c>
      <c r="P25" s="20">
        <f t="shared" si="6"/>
        <v>12</v>
      </c>
      <c r="Q25" s="21">
        <f t="shared" si="4"/>
        <v>2</v>
      </c>
      <c r="R25" s="21">
        <f t="shared" si="7"/>
        <v>2</v>
      </c>
      <c r="S25" s="20"/>
      <c r="T25" s="22"/>
      <c r="U25" s="23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</row>
    <row r="26" ht="22.5" customHeight="1">
      <c r="A26" s="9">
        <f>VLOOKUP(B26,FVM_update!A:B,2,0)</f>
        <v>2722</v>
      </c>
      <c r="B26" s="10" t="s">
        <v>78</v>
      </c>
      <c r="C26" s="11" t="s">
        <v>42</v>
      </c>
      <c r="D26" s="12" t="str">
        <f>VLOOKUP(B26,FVM_update!A:F,6,0)</f>
        <v>Bologna</v>
      </c>
      <c r="E26" s="13" t="str">
        <f>VLOOKUP(B26,FVM_update!A:E,4,0)</f>
        <v>Por</v>
      </c>
      <c r="F26" s="11" t="s">
        <v>45</v>
      </c>
      <c r="G26" s="14">
        <v>45839.0</v>
      </c>
      <c r="H26" s="15">
        <f t="shared" si="1"/>
        <v>46204</v>
      </c>
      <c r="I26" s="11" t="s">
        <v>48</v>
      </c>
      <c r="J26" s="16" t="str">
        <f>VLOOKUP(A26,Asteriscati25!B:N,13,0)</f>
        <v>#N/A</v>
      </c>
      <c r="K26" s="29">
        <v>0.0</v>
      </c>
      <c r="L26" s="18" t="str">
        <f t="shared" si="2"/>
        <v>#REF!</v>
      </c>
      <c r="M26" s="19">
        <f>VLOOKUP(B26,FVM_Asta2526!A:N,14,0)</f>
        <v>5</v>
      </c>
      <c r="N26" s="18">
        <f>VLOOKUP(A26,FVM_update!B:N,13,0)</f>
        <v>8</v>
      </c>
      <c r="O26" s="20">
        <f>VLOOKUP(B26,'FVM_1luglio-31luglio25'!D:Q,14,0)</f>
        <v>1</v>
      </c>
      <c r="P26" s="20">
        <f t="shared" si="6"/>
        <v>8</v>
      </c>
      <c r="Q26" s="21">
        <f t="shared" si="4"/>
        <v>0.5</v>
      </c>
      <c r="R26" s="21">
        <f t="shared" si="7"/>
        <v>0.5</v>
      </c>
      <c r="S26" s="20"/>
      <c r="T26" s="22"/>
      <c r="U26" s="23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</row>
    <row r="27" ht="22.5" customHeight="1">
      <c r="A27" s="9">
        <f>VLOOKUP(B27,FVM_update!A:B,2,0)</f>
        <v>5453</v>
      </c>
      <c r="B27" s="25" t="s">
        <v>79</v>
      </c>
      <c r="C27" s="11" t="s">
        <v>42</v>
      </c>
      <c r="D27" s="12" t="str">
        <f>VLOOKUP(B27,FVM_update!A:F,6,0)</f>
        <v>Milan</v>
      </c>
      <c r="E27" s="13" t="str">
        <f>VLOOKUP(B27,FVM_update!A:E,4,0)</f>
        <v>M;C</v>
      </c>
      <c r="F27" s="17" t="str">
        <f>VLOOKUP(B27,'situazione contratti estate 24'!A:I,9,0)</f>
        <v>Obbligo 1+2</v>
      </c>
      <c r="G27" s="14">
        <v>45108.0</v>
      </c>
      <c r="H27" s="15">
        <f t="shared" si="1"/>
        <v>46204</v>
      </c>
      <c r="I27" s="11" t="s">
        <v>48</v>
      </c>
      <c r="J27" s="16" t="str">
        <f>VLOOKUP(A27,Asteriscati25!B:N,13,0)</f>
        <v>#N/A</v>
      </c>
      <c r="K27" s="26">
        <v>0.0</v>
      </c>
      <c r="L27" s="18" t="str">
        <f t="shared" si="2"/>
        <v>#REF!</v>
      </c>
      <c r="M27" s="19">
        <f>VLOOKUP(B27,FVM_Asta2324!C:M,11,0)</f>
        <v>28</v>
      </c>
      <c r="N27" s="18">
        <f>VLOOKUP(A27,FVM_update!B:N,13,0)</f>
        <v>16</v>
      </c>
      <c r="O27" s="20">
        <f>VLOOKUP(B27,'FVM_1luglio-31luglio25'!D:Q,14,0)</f>
        <v>22</v>
      </c>
      <c r="P27" s="20">
        <f t="shared" si="6"/>
        <v>16</v>
      </c>
      <c r="Q27" s="21">
        <f t="shared" si="4"/>
        <v>3.5</v>
      </c>
      <c r="R27" s="21">
        <f t="shared" si="7"/>
        <v>3.5</v>
      </c>
      <c r="S27" s="20"/>
      <c r="T27" s="22"/>
      <c r="U27" s="23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</row>
    <row r="28" ht="22.5" customHeight="1">
      <c r="A28" s="9">
        <f>VLOOKUP(B28,FVM_update!A:B,2,0)</f>
        <v>4892</v>
      </c>
      <c r="B28" s="10" t="s">
        <v>80</v>
      </c>
      <c r="C28" s="11" t="s">
        <v>42</v>
      </c>
      <c r="D28" s="12" t="str">
        <f>VLOOKUP(B28,FVM_update!A:F,6,0)</f>
        <v>Milan</v>
      </c>
      <c r="E28" s="13" t="str">
        <f>VLOOKUP(B28,FVM_update!A:E,4,0)</f>
        <v>E;W</v>
      </c>
      <c r="F28" s="11" t="s">
        <v>55</v>
      </c>
      <c r="G28" s="14">
        <v>45839.0</v>
      </c>
      <c r="H28" s="15">
        <f t="shared" si="1"/>
        <v>46569</v>
      </c>
      <c r="I28" s="11" t="s">
        <v>48</v>
      </c>
      <c r="J28" s="16" t="str">
        <f>VLOOKUP(A28,Asteriscati25!B:N,13,0)</f>
        <v>#N/A</v>
      </c>
      <c r="K28" s="17"/>
      <c r="L28" s="18" t="str">
        <f t="shared" si="2"/>
        <v>#REF!</v>
      </c>
      <c r="M28" s="19">
        <f>VLOOKUP(B28,FVM_Asta2526!A:N,14,0)</f>
        <v>43</v>
      </c>
      <c r="N28" s="18">
        <f>VLOOKUP(A28,FVM_update!B:N,13,0)</f>
        <v>89</v>
      </c>
      <c r="O28" s="20">
        <f>VLOOKUP(B28,'FVM_1luglio-31luglio25'!D:Q,14,0)</f>
        <v>37</v>
      </c>
      <c r="P28" s="20">
        <f t="shared" si="6"/>
        <v>89</v>
      </c>
      <c r="Q28" s="21">
        <f t="shared" si="4"/>
        <v>6</v>
      </c>
      <c r="R28" s="21">
        <f t="shared" si="7"/>
        <v>6</v>
      </c>
      <c r="S28" s="20"/>
      <c r="T28" s="22"/>
      <c r="U28" s="23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</row>
    <row r="29" ht="22.5" customHeight="1">
      <c r="A29" s="9">
        <f>VLOOKUP(B29,FVM_update!A:B,2,0)</f>
        <v>6523</v>
      </c>
      <c r="B29" s="25" t="s">
        <v>81</v>
      </c>
      <c r="C29" s="11" t="s">
        <v>42</v>
      </c>
      <c r="D29" s="12" t="str">
        <f>VLOOKUP(B29,FVM_update!A:F,6,0)</f>
        <v>Lecce</v>
      </c>
      <c r="E29" s="13" t="str">
        <f>VLOOKUP(B29,FVM_update!A:E,4,0)</f>
        <v>Por</v>
      </c>
      <c r="F29" s="11" t="s">
        <v>43</v>
      </c>
      <c r="G29" s="14">
        <v>45474.0</v>
      </c>
      <c r="H29" s="15">
        <f t="shared" si="1"/>
        <v>401768</v>
      </c>
      <c r="I29" s="11" t="s">
        <v>43</v>
      </c>
      <c r="J29" s="16" t="str">
        <f>VLOOKUP(A29,Asteriscati25!B:N,13,0)</f>
        <v>#N/A</v>
      </c>
      <c r="K29" s="26">
        <v>0.0</v>
      </c>
      <c r="L29" s="18" t="str">
        <f t="shared" si="2"/>
        <v>#REF!</v>
      </c>
      <c r="M29" s="19">
        <f>VLOOKUP(B29,FVM_Asta2425!A:M,13,0)</f>
        <v>1</v>
      </c>
      <c r="N29" s="18">
        <f>VLOOKUP(A29,FVM_update!B:N,13,0)</f>
        <v>1</v>
      </c>
      <c r="O29" s="20">
        <f>VLOOKUP(B29,'FVM_1luglio-31luglio25'!D:Q,14,0)</f>
        <v>1</v>
      </c>
      <c r="P29" s="20">
        <f t="shared" si="6"/>
        <v>1</v>
      </c>
      <c r="Q29" s="21">
        <f t="shared" si="4"/>
        <v>0.5</v>
      </c>
      <c r="R29" s="21">
        <f t="shared" si="7"/>
        <v>0.5</v>
      </c>
      <c r="S29" s="20"/>
      <c r="T29" s="22"/>
      <c r="U29" s="23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</row>
    <row r="30" ht="22.5" customHeight="1">
      <c r="A30" s="9">
        <f>VLOOKUP(B30,FVM_update!A:B,2,0)</f>
        <v>133</v>
      </c>
      <c r="B30" s="10" t="s">
        <v>82</v>
      </c>
      <c r="C30" s="11" t="s">
        <v>42</v>
      </c>
      <c r="D30" s="12" t="str">
        <f>VLOOKUP(B30,FVM_update!A:F,6,0)</f>
        <v>Bologna</v>
      </c>
      <c r="E30" s="13" t="str">
        <f>VLOOKUP(B30,FVM_update!A:E,4,0)</f>
        <v>Por</v>
      </c>
      <c r="F30" s="11" t="s">
        <v>59</v>
      </c>
      <c r="G30" s="14">
        <v>45839.0</v>
      </c>
      <c r="H30" s="15">
        <f t="shared" si="1"/>
        <v>46935</v>
      </c>
      <c r="I30" s="11" t="s">
        <v>48</v>
      </c>
      <c r="J30" s="16" t="str">
        <f>VLOOKUP(A30,Asteriscati25!B:N,13,0)</f>
        <v>#N/A</v>
      </c>
      <c r="K30" s="17"/>
      <c r="L30" s="18" t="str">
        <f t="shared" si="2"/>
        <v>#REF!</v>
      </c>
      <c r="M30" s="19">
        <f>VLOOKUP(B30,FVM_Asta2526!A:N,14,0)</f>
        <v>50</v>
      </c>
      <c r="N30" s="18">
        <f>VLOOKUP(A30,FVM_update!B:N,13,0)</f>
        <v>10</v>
      </c>
      <c r="O30" s="20">
        <f>VLOOKUP(B30,'FVM_1luglio-31luglio25'!D:Q,14,0)</f>
        <v>44</v>
      </c>
      <c r="P30" s="20">
        <f t="shared" si="6"/>
        <v>10</v>
      </c>
      <c r="Q30" s="21">
        <f t="shared" si="4"/>
        <v>6</v>
      </c>
      <c r="R30" s="21">
        <f t="shared" si="7"/>
        <v>6</v>
      </c>
      <c r="S30" s="20"/>
      <c r="T30" s="22"/>
      <c r="U30" s="23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</row>
    <row r="31" ht="22.5" customHeight="1">
      <c r="A31" s="9">
        <f>VLOOKUP(B31,FVM_update!A:B,2,0)</f>
        <v>5844</v>
      </c>
      <c r="B31" s="10" t="s">
        <v>83</v>
      </c>
      <c r="C31" s="11" t="s">
        <v>42</v>
      </c>
      <c r="D31" s="12" t="str">
        <f>VLOOKUP(B31,FVM_update!A:F,6,0)</f>
        <v>Sassuolo</v>
      </c>
      <c r="E31" s="13" t="str">
        <f>VLOOKUP(B31,FVM_update!A:E,4,0)</f>
        <v>C;T</v>
      </c>
      <c r="F31" s="11" t="s">
        <v>45</v>
      </c>
      <c r="G31" s="14">
        <v>45839.0</v>
      </c>
      <c r="H31" s="15">
        <f t="shared" si="1"/>
        <v>46204</v>
      </c>
      <c r="I31" s="11" t="s">
        <v>48</v>
      </c>
      <c r="J31" s="16" t="str">
        <f>VLOOKUP(A31,Asteriscati25!B:N,13,0)</f>
        <v>#N/A</v>
      </c>
      <c r="K31" s="17"/>
      <c r="L31" s="18" t="str">
        <f t="shared" si="2"/>
        <v>#REF!</v>
      </c>
      <c r="M31" s="19">
        <f>VLOOKUP(B31,FVM_Asta2526!A:N,14,0)</f>
        <v>22</v>
      </c>
      <c r="N31" s="18">
        <f>VLOOKUP(A31,FVM_update!B:N,13,0)</f>
        <v>25</v>
      </c>
      <c r="O31" s="20" t="str">
        <f>VLOOKUP(B31,'FVM_1luglio-31luglio25'!D:Q,14,0)</f>
        <v>#N/A</v>
      </c>
      <c r="P31" s="20">
        <f t="shared" si="6"/>
        <v>25</v>
      </c>
      <c r="Q31" s="21">
        <f t="shared" si="4"/>
        <v>2.5</v>
      </c>
      <c r="R31" s="21">
        <f t="shared" si="7"/>
        <v>2.5</v>
      </c>
      <c r="S31" s="20"/>
      <c r="T31" s="22"/>
      <c r="U31" s="23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</row>
    <row r="32" ht="22.5" customHeight="1">
      <c r="A32" s="9">
        <f>VLOOKUP(B32,FVM_update!A:B,2,0)</f>
        <v>2841</v>
      </c>
      <c r="B32" s="10" t="s">
        <v>84</v>
      </c>
      <c r="C32" s="11" t="s">
        <v>42</v>
      </c>
      <c r="D32" s="12" t="str">
        <f>VLOOKUP(B32,FVM_update!A:F,6,0)</f>
        <v>Juventus</v>
      </c>
      <c r="E32" s="13" t="str">
        <f>VLOOKUP(B32,FVM_update!A:E,4,0)</f>
        <v>Pc</v>
      </c>
      <c r="F32" s="11" t="s">
        <v>45</v>
      </c>
      <c r="G32" s="14">
        <v>45839.0</v>
      </c>
      <c r="H32" s="15">
        <f t="shared" si="1"/>
        <v>46204</v>
      </c>
      <c r="I32" s="11" t="s">
        <v>46</v>
      </c>
      <c r="J32" s="16" t="str">
        <f>VLOOKUP(A32,Asteriscati25!B:N,13,0)</f>
        <v>#N/A</v>
      </c>
      <c r="K32" s="17"/>
      <c r="L32" s="18" t="str">
        <f t="shared" si="2"/>
        <v>#REF!</v>
      </c>
      <c r="M32" s="19">
        <f>VLOOKUP(B32,FVM_Asta2526!A:N,14,0)</f>
        <v>126</v>
      </c>
      <c r="N32" s="18">
        <f>VLOOKUP(A32,FVM_update!B:N,13,0)</f>
        <v>47</v>
      </c>
      <c r="O32" s="20">
        <f>VLOOKUP(B32,'FVM_1luglio-31luglio25'!D:Q,14,0)</f>
        <v>261</v>
      </c>
      <c r="P32" s="20">
        <f t="shared" si="6"/>
        <v>47</v>
      </c>
      <c r="Q32" s="21">
        <f t="shared" si="4"/>
        <v>13</v>
      </c>
      <c r="R32" s="21">
        <f t="shared" si="7"/>
        <v>6.5</v>
      </c>
      <c r="S32" s="20"/>
      <c r="T32" s="22"/>
      <c r="U32" s="23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</row>
    <row r="33" ht="22.5" customHeight="1">
      <c r="A33" s="9">
        <f>VLOOKUP(B33,FVM_update!A:B,2,0)</f>
        <v>5422</v>
      </c>
      <c r="B33" s="10" t="s">
        <v>85</v>
      </c>
      <c r="C33" s="11" t="s">
        <v>42</v>
      </c>
      <c r="D33" s="12" t="str">
        <f>VLOOKUP(B33,FVM_update!A:F,6,0)</f>
        <v>Atalanta</v>
      </c>
      <c r="E33" s="13" t="str">
        <f>VLOOKUP(B33,FVM_update!A:E,4,0)</f>
        <v>E;W</v>
      </c>
      <c r="F33" s="11" t="s">
        <v>59</v>
      </c>
      <c r="G33" s="14">
        <v>45839.0</v>
      </c>
      <c r="H33" s="15">
        <f t="shared" si="1"/>
        <v>46935</v>
      </c>
      <c r="I33" s="11" t="s">
        <v>48</v>
      </c>
      <c r="J33" s="16" t="str">
        <f>VLOOKUP(A33,Asteriscati25!B:N,13,0)</f>
        <v>#N/A</v>
      </c>
      <c r="K33" s="17"/>
      <c r="L33" s="18" t="str">
        <f t="shared" si="2"/>
        <v>#REF!</v>
      </c>
      <c r="M33" s="19">
        <f>VLOOKUP(B33,FVM_Asta2526!A:N,14,0)</f>
        <v>28</v>
      </c>
      <c r="N33" s="18">
        <f>VLOOKUP(A33,FVM_update!B:N,13,0)</f>
        <v>24</v>
      </c>
      <c r="O33" s="20">
        <f>VLOOKUP(B33,'FVM_1luglio-31luglio25'!D:Q,14,0)</f>
        <v>9</v>
      </c>
      <c r="P33" s="20">
        <f t="shared" si="6"/>
        <v>24</v>
      </c>
      <c r="Q33" s="21">
        <f t="shared" si="4"/>
        <v>3.5</v>
      </c>
      <c r="R33" s="21">
        <f t="shared" si="7"/>
        <v>3.5</v>
      </c>
      <c r="S33" s="20"/>
      <c r="T33" s="22"/>
      <c r="U33" s="23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</row>
    <row r="34" ht="22.5" customHeight="1">
      <c r="A34" s="9">
        <f>VLOOKUP(B34,FVM_update!A:B,2,0)</f>
        <v>4461</v>
      </c>
      <c r="B34" s="10" t="s">
        <v>86</v>
      </c>
      <c r="C34" s="11" t="s">
        <v>42</v>
      </c>
      <c r="D34" s="12" t="str">
        <f>VLOOKUP(B34,FVM_update!A:F,6,0)</f>
        <v>Cagliari</v>
      </c>
      <c r="E34" s="13" t="str">
        <f>VLOOKUP(B34,FVM_update!A:E,4,0)</f>
        <v>B;Dd;E</v>
      </c>
      <c r="F34" s="11" t="s">
        <v>45</v>
      </c>
      <c r="G34" s="14">
        <v>45839.0</v>
      </c>
      <c r="H34" s="15">
        <f t="shared" si="1"/>
        <v>46204</v>
      </c>
      <c r="I34" s="11" t="s">
        <v>48</v>
      </c>
      <c r="J34" s="16" t="str">
        <f>VLOOKUP(A34,Asteriscati25!B:N,13,0)</f>
        <v>#N/A</v>
      </c>
      <c r="K34" s="17"/>
      <c r="L34" s="18" t="str">
        <f t="shared" si="2"/>
        <v>#REF!</v>
      </c>
      <c r="M34" s="19">
        <f>VLOOKUP(B34,FVM_Asta2526!A:N,14,0)</f>
        <v>16</v>
      </c>
      <c r="N34" s="18">
        <f>VLOOKUP(A34,FVM_update!B:N,13,0)</f>
        <v>15</v>
      </c>
      <c r="O34" s="20">
        <f>VLOOKUP(B34,'FVM_1luglio-31luglio25'!D:Q,14,0)</f>
        <v>15</v>
      </c>
      <c r="P34" s="20">
        <f t="shared" si="6"/>
        <v>15</v>
      </c>
      <c r="Q34" s="21">
        <f t="shared" si="4"/>
        <v>2</v>
      </c>
      <c r="R34" s="21">
        <f t="shared" si="7"/>
        <v>2</v>
      </c>
      <c r="S34" s="20"/>
      <c r="T34" s="22"/>
      <c r="U34" s="23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</row>
    <row r="35" ht="22.5" customHeight="1">
      <c r="A35" s="9">
        <f>VLOOKUP(B35,FVM_update!A:B,2,0)</f>
        <v>5998</v>
      </c>
      <c r="B35" s="10" t="s">
        <v>87</v>
      </c>
      <c r="C35" s="11" t="s">
        <v>42</v>
      </c>
      <c r="D35" s="12" t="str">
        <f>VLOOKUP(B35,FVM_update!A:F,6,0)</f>
        <v>Cremonese</v>
      </c>
      <c r="E35" s="13" t="str">
        <f>VLOOKUP(B35,FVM_update!A:E,4,0)</f>
        <v>E;W</v>
      </c>
      <c r="F35" s="11" t="s">
        <v>45</v>
      </c>
      <c r="G35" s="14">
        <v>45839.0</v>
      </c>
      <c r="H35" s="15">
        <f t="shared" si="1"/>
        <v>46204</v>
      </c>
      <c r="I35" s="11" t="s">
        <v>46</v>
      </c>
      <c r="J35" s="16" t="str">
        <f>VLOOKUP(A35,Asteriscati25!B:N,13,0)</f>
        <v>#N/A</v>
      </c>
      <c r="K35" s="17"/>
      <c r="L35" s="18" t="str">
        <f t="shared" si="2"/>
        <v>#REF!</v>
      </c>
      <c r="M35" s="19">
        <f>VLOOKUP(B35,FVM_Asta2526!A:N,14,0)</f>
        <v>31</v>
      </c>
      <c r="N35" s="18">
        <f>VLOOKUP(A35,FVM_update!B:N,13,0)</f>
        <v>13</v>
      </c>
      <c r="O35" s="20">
        <f>VLOOKUP(B35,'FVM_1luglio-31luglio25'!D:Q,14,0)</f>
        <v>12</v>
      </c>
      <c r="P35" s="20">
        <f t="shared" si="6"/>
        <v>13</v>
      </c>
      <c r="Q35" s="21">
        <f t="shared" si="4"/>
        <v>3.5</v>
      </c>
      <c r="R35" s="21">
        <f t="shared" si="7"/>
        <v>2</v>
      </c>
      <c r="S35" s="20"/>
      <c r="T35" s="22"/>
      <c r="U35" s="23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</row>
    <row r="36" ht="22.5" customHeight="1">
      <c r="A36" s="9">
        <f>VLOOKUP(B36,FVM_update!A:B,2,0)</f>
        <v>6151</v>
      </c>
      <c r="B36" s="10" t="s">
        <v>88</v>
      </c>
      <c r="C36" s="11" t="s">
        <v>42</v>
      </c>
      <c r="D36" s="12" t="str">
        <f>VLOOKUP(B36,FVM_update!A:F,6,0)</f>
        <v>Como</v>
      </c>
      <c r="E36" s="13" t="str">
        <f>VLOOKUP(B36,FVM_update!A:E,4,0)</f>
        <v>M;C</v>
      </c>
      <c r="F36" s="11" t="s">
        <v>45</v>
      </c>
      <c r="G36" s="14">
        <v>45839.0</v>
      </c>
      <c r="H36" s="15">
        <f t="shared" si="1"/>
        <v>46204</v>
      </c>
      <c r="I36" s="11" t="s">
        <v>89</v>
      </c>
      <c r="J36" s="16" t="str">
        <f>VLOOKUP(A36,Asteriscati25!B:N,13,0)</f>
        <v>#N/A</v>
      </c>
      <c r="K36" s="29">
        <v>1.0</v>
      </c>
      <c r="L36" s="18" t="str">
        <f t="shared" si="2"/>
        <v>#REF!</v>
      </c>
      <c r="M36" s="19">
        <f>VLOOKUP(B36,FVM_Asta2526!A:N,14,0)</f>
        <v>21</v>
      </c>
      <c r="N36" s="18">
        <f>VLOOKUP(A36,FVM_update!B:N,13,0)</f>
        <v>45</v>
      </c>
      <c r="O36" s="20">
        <f>VLOOKUP(B36,'FVM_1luglio-31luglio25'!D:Q,14,0)</f>
        <v>13</v>
      </c>
      <c r="P36" s="20">
        <f t="shared" si="6"/>
        <v>45</v>
      </c>
      <c r="Q36" s="21">
        <f t="shared" si="4"/>
        <v>2.5</v>
      </c>
      <c r="R36" s="21">
        <f t="shared" si="7"/>
        <v>2.5</v>
      </c>
      <c r="S36" s="20"/>
      <c r="T36" s="11" t="s">
        <v>90</v>
      </c>
      <c r="U36" s="23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</row>
    <row r="37" ht="22.5" customHeight="1">
      <c r="A37" s="9">
        <f>VLOOKUP(B37,FVM_update!A:B,2,0)</f>
        <v>5820</v>
      </c>
      <c r="B37" s="30" t="s">
        <v>91</v>
      </c>
      <c r="C37" s="11" t="s">
        <v>42</v>
      </c>
      <c r="D37" s="12" t="str">
        <f>VLOOKUP(B37,FVM_update!A:F,6,0)</f>
        <v>Udinese</v>
      </c>
      <c r="E37" s="13" t="str">
        <f>VLOOKUP(B37,FVM_update!A:E,4,0)</f>
        <v>Dc</v>
      </c>
      <c r="F37" s="31" t="s">
        <v>92</v>
      </c>
      <c r="G37" s="32">
        <v>46054.0</v>
      </c>
      <c r="H37" s="15">
        <f t="shared" si="1"/>
        <v>46204</v>
      </c>
      <c r="I37" s="33" t="s">
        <v>93</v>
      </c>
      <c r="J37" s="34" t="str">
        <f>VLOOKUP(A37,Asteriscati25!B:N,13,0)</f>
        <v>#N/A</v>
      </c>
      <c r="K37" s="35"/>
      <c r="L37" s="18" t="str">
        <f t="shared" si="2"/>
        <v>#REF!</v>
      </c>
      <c r="M37" s="19">
        <v>13.0</v>
      </c>
      <c r="N37" s="18">
        <f>VLOOKUP(A37,FVM_update!B:N,13,0)</f>
        <v>13</v>
      </c>
      <c r="O37" s="20" t="str">
        <f>VLOOKUP(B37,'FVM_1luglio-31luglio25'!D:Q,14,0)</f>
        <v>#N/A</v>
      </c>
      <c r="P37" s="36">
        <f t="shared" si="6"/>
        <v>13</v>
      </c>
      <c r="Q37" s="21">
        <f t="shared" si="4"/>
        <v>1.5</v>
      </c>
      <c r="R37" s="21">
        <f t="shared" si="7"/>
        <v>1</v>
      </c>
      <c r="S37" s="37"/>
      <c r="T37" s="38"/>
      <c r="U37" s="39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</row>
    <row r="38" ht="22.5" customHeight="1">
      <c r="A38" s="9">
        <f>VLOOKUP(B38,FVM_update!A:B,2,0)</f>
        <v>7255</v>
      </c>
      <c r="B38" s="30" t="s">
        <v>94</v>
      </c>
      <c r="C38" s="11" t="s">
        <v>42</v>
      </c>
      <c r="D38" s="12" t="str">
        <f>VLOOKUP(B38,FVM_update!A:F,6,0)</f>
        <v>Parma</v>
      </c>
      <c r="E38" s="13" t="str">
        <f>VLOOKUP(B38,FVM_update!A:E,4,0)</f>
        <v>Dd;Ds;E</v>
      </c>
      <c r="F38" s="31" t="s">
        <v>92</v>
      </c>
      <c r="G38" s="32">
        <v>46054.0</v>
      </c>
      <c r="H38" s="15">
        <f t="shared" si="1"/>
        <v>46204</v>
      </c>
      <c r="I38" s="33" t="s">
        <v>93</v>
      </c>
      <c r="J38" s="34" t="str">
        <f>VLOOKUP(A38,Asteriscati25!B:N,13,0)</f>
        <v>#N/A</v>
      </c>
      <c r="K38" s="35"/>
      <c r="L38" s="18" t="str">
        <f t="shared" si="2"/>
        <v>#REF!</v>
      </c>
      <c r="M38" s="19">
        <v>15.0</v>
      </c>
      <c r="N38" s="18">
        <f>VLOOKUP(A38,FVM_update!B:N,13,0)</f>
        <v>15</v>
      </c>
      <c r="O38" s="20" t="str">
        <f>VLOOKUP(B38,'FVM_1luglio-31luglio25'!D:Q,14,0)</f>
        <v>#N/A</v>
      </c>
      <c r="P38" s="36">
        <f t="shared" si="6"/>
        <v>15</v>
      </c>
      <c r="Q38" s="21">
        <f t="shared" si="4"/>
        <v>1.5</v>
      </c>
      <c r="R38" s="21">
        <f t="shared" si="7"/>
        <v>1</v>
      </c>
      <c r="S38" s="37"/>
      <c r="T38" s="38"/>
      <c r="U38" s="39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</row>
    <row r="39" ht="22.5" customHeight="1">
      <c r="A39" s="9">
        <f>VLOOKUP(B39,FVM_update!A:B,2,0)</f>
        <v>5036</v>
      </c>
      <c r="B39" s="30" t="s">
        <v>95</v>
      </c>
      <c r="C39" s="11" t="s">
        <v>42</v>
      </c>
      <c r="D39" s="12" t="str">
        <f>VLOOKUP(B39,FVM_update!A:F,6,0)</f>
        <v>Como</v>
      </c>
      <c r="E39" s="13" t="str">
        <f>VLOOKUP(B39,FVM_update!A:E,4,0)</f>
        <v>C;T</v>
      </c>
      <c r="F39" s="31" t="s">
        <v>92</v>
      </c>
      <c r="G39" s="32">
        <v>46054.0</v>
      </c>
      <c r="H39" s="15">
        <f t="shared" si="1"/>
        <v>46204</v>
      </c>
      <c r="I39" s="33" t="s">
        <v>93</v>
      </c>
      <c r="J39" s="34" t="str">
        <f>VLOOKUP(A39,Asteriscati25!B:N,13,0)</f>
        <v>#N/A</v>
      </c>
      <c r="K39" s="35"/>
      <c r="L39" s="18" t="str">
        <f t="shared" si="2"/>
        <v>#REF!</v>
      </c>
      <c r="M39" s="19">
        <v>13.0</v>
      </c>
      <c r="N39" s="18">
        <f>VLOOKUP(A39,FVM_update!B:N,13,0)</f>
        <v>13</v>
      </c>
      <c r="O39" s="20" t="str">
        <f>VLOOKUP(B39,'FVM_1luglio-31luglio25'!D:Q,14,0)</f>
        <v>#N/A</v>
      </c>
      <c r="P39" s="36">
        <f t="shared" si="6"/>
        <v>13</v>
      </c>
      <c r="Q39" s="21">
        <f t="shared" si="4"/>
        <v>1.5</v>
      </c>
      <c r="R39" s="21">
        <f t="shared" si="7"/>
        <v>1</v>
      </c>
      <c r="S39" s="37"/>
      <c r="T39" s="38"/>
      <c r="U39" s="39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</row>
    <row r="40" ht="22.5" customHeight="1">
      <c r="A40" s="9">
        <f>VLOOKUP(B40,FVM_update!A:B,2,0)</f>
        <v>2678</v>
      </c>
      <c r="B40" s="30" t="s">
        <v>96</v>
      </c>
      <c r="C40" s="11" t="s">
        <v>42</v>
      </c>
      <c r="D40" s="12" t="str">
        <f>VLOOKUP(B40,FVM_update!A:F,6,0)</f>
        <v>Milan</v>
      </c>
      <c r="E40" s="13" t="str">
        <f>VLOOKUP(B40,FVM_update!A:E,4,0)</f>
        <v>Pc</v>
      </c>
      <c r="F40" s="31" t="s">
        <v>97</v>
      </c>
      <c r="G40" s="32">
        <v>46054.0</v>
      </c>
      <c r="H40" s="15">
        <f t="shared" si="1"/>
        <v>46600</v>
      </c>
      <c r="I40" s="33" t="s">
        <v>93</v>
      </c>
      <c r="J40" s="34" t="str">
        <f>VLOOKUP(A40,Asteriscati25!B:N,13,0)</f>
        <v>#N/A</v>
      </c>
      <c r="K40" s="35"/>
      <c r="L40" s="18" t="str">
        <f t="shared" si="2"/>
        <v>#REF!</v>
      </c>
      <c r="M40" s="19">
        <v>32.0</v>
      </c>
      <c r="N40" s="18">
        <f>VLOOKUP(A40,FVM_update!B:N,13,0)</f>
        <v>32</v>
      </c>
      <c r="O40" s="20" t="str">
        <f>VLOOKUP(B40,'FVM_1luglio-31luglio25'!D:Q,14,0)</f>
        <v>#N/A</v>
      </c>
      <c r="P40" s="36">
        <f t="shared" si="6"/>
        <v>32</v>
      </c>
      <c r="Q40" s="21">
        <f t="shared" si="4"/>
        <v>4</v>
      </c>
      <c r="R40" s="21">
        <f t="shared" si="7"/>
        <v>2</v>
      </c>
      <c r="S40" s="37"/>
      <c r="T40" s="38"/>
      <c r="U40" s="39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</row>
    <row r="41" ht="22.5" customHeight="1">
      <c r="A41" s="9">
        <f>VLOOKUP(B41,FVM_update!A:B,2,0)</f>
        <v>4159</v>
      </c>
      <c r="B41" s="41" t="s">
        <v>98</v>
      </c>
      <c r="C41" s="42" t="s">
        <v>99</v>
      </c>
      <c r="D41" s="12" t="str">
        <f>VLOOKUP(B41,FVM_update!A:F,6,0)</f>
        <v>Inter</v>
      </c>
      <c r="E41" s="13" t="str">
        <f>VLOOKUP(B41,FVM_update!A:E,4,0)</f>
        <v>Dc</v>
      </c>
      <c r="F41" s="31" t="s">
        <v>45</v>
      </c>
      <c r="G41" s="32">
        <v>45839.0</v>
      </c>
      <c r="H41" s="15">
        <f t="shared" si="1"/>
        <v>46204</v>
      </c>
      <c r="I41" s="33" t="s">
        <v>48</v>
      </c>
      <c r="J41" s="34" t="str">
        <f>VLOOKUP(A41,Asteriscati25!B:N,13,0)</f>
        <v>#N/A</v>
      </c>
      <c r="K41" s="35"/>
      <c r="L41" s="18" t="str">
        <f t="shared" si="2"/>
        <v>#REF!</v>
      </c>
      <c r="M41" s="19">
        <f>VLOOKUP(B41,FVM_Asta2526!A:N,14,0)</f>
        <v>20</v>
      </c>
      <c r="N41" s="18">
        <f>VLOOKUP(A41,FVM_update!B:N,13,0)</f>
        <v>51</v>
      </c>
      <c r="O41" s="20" t="str">
        <f>VLOOKUP(B41,'FVM_1luglio-31luglio25'!D:Q,14,0)</f>
        <v>#N/A</v>
      </c>
      <c r="P41" s="36">
        <f t="shared" si="6"/>
        <v>51</v>
      </c>
      <c r="Q41" s="21">
        <f t="shared" si="4"/>
        <v>2</v>
      </c>
      <c r="R41" s="21">
        <f t="shared" si="7"/>
        <v>2</v>
      </c>
      <c r="S41" s="37"/>
      <c r="T41" s="38"/>
      <c r="U41" s="39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</row>
    <row r="42" ht="22.5" customHeight="1">
      <c r="A42" s="9">
        <f>VLOOKUP(B42,FVM_update!A:B,2,0)</f>
        <v>7143</v>
      </c>
      <c r="B42" s="41" t="s">
        <v>100</v>
      </c>
      <c r="C42" s="42" t="s">
        <v>99</v>
      </c>
      <c r="D42" s="12" t="str">
        <f>VLOOKUP(B42,FVM_update!A:F,6,0)</f>
        <v>Pisa</v>
      </c>
      <c r="E42" s="13" t="str">
        <f>VLOOKUP(B42,FVM_update!A:E,4,0)</f>
        <v>Ds;E</v>
      </c>
      <c r="F42" s="31" t="s">
        <v>45</v>
      </c>
      <c r="G42" s="32">
        <v>45839.0</v>
      </c>
      <c r="H42" s="15">
        <f t="shared" si="1"/>
        <v>46204</v>
      </c>
      <c r="I42" s="33" t="s">
        <v>48</v>
      </c>
      <c r="J42" s="34" t="str">
        <f>VLOOKUP(A42,Asteriscati25!B:N,13,0)</f>
        <v>#N/A</v>
      </c>
      <c r="K42" s="35"/>
      <c r="L42" s="18" t="str">
        <f t="shared" si="2"/>
        <v>#REF!</v>
      </c>
      <c r="M42" s="19">
        <f>VLOOKUP(B42,FVM_Asta2526!A:N,14,0)</f>
        <v>17</v>
      </c>
      <c r="N42" s="18">
        <f>VLOOKUP(A42,FVM_update!B:N,13,0)</f>
        <v>13</v>
      </c>
      <c r="O42" s="20" t="str">
        <f>VLOOKUP(B42,'FVM_1luglio-31luglio25'!D:Q,14,0)</f>
        <v>#N/A</v>
      </c>
      <c r="P42" s="36">
        <f t="shared" si="6"/>
        <v>13</v>
      </c>
      <c r="Q42" s="21">
        <f t="shared" si="4"/>
        <v>2</v>
      </c>
      <c r="R42" s="21">
        <f t="shared" si="7"/>
        <v>2</v>
      </c>
      <c r="S42" s="37"/>
      <c r="T42" s="38"/>
      <c r="U42" s="39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</row>
    <row r="43" ht="22.5" customHeight="1">
      <c r="A43" s="9">
        <f>VLOOKUP(B43,FVM_update!A:B,2,0)</f>
        <v>6013</v>
      </c>
      <c r="B43" s="41" t="s">
        <v>101</v>
      </c>
      <c r="C43" s="42" t="s">
        <v>99</v>
      </c>
      <c r="D43" s="12" t="str">
        <f>VLOOKUP(B43,FVM_update!A:F,6,0)</f>
        <v>Cremonese</v>
      </c>
      <c r="E43" s="13" t="str">
        <f>VLOOKUP(B43,FVM_update!A:E,4,0)</f>
        <v>Dd;Ds;E</v>
      </c>
      <c r="F43" s="31" t="s">
        <v>45</v>
      </c>
      <c r="G43" s="32">
        <v>45839.0</v>
      </c>
      <c r="H43" s="15">
        <f t="shared" si="1"/>
        <v>46204</v>
      </c>
      <c r="I43" s="33" t="s">
        <v>48</v>
      </c>
      <c r="J43" s="34" t="str">
        <f>VLOOKUP(A43,Asteriscati25!B:N,13,0)</f>
        <v>#N/A</v>
      </c>
      <c r="K43" s="35"/>
      <c r="L43" s="18" t="str">
        <f t="shared" si="2"/>
        <v>#REF!</v>
      </c>
      <c r="M43" s="19">
        <f>VLOOKUP(B43,FVM_Asta2526!A:N,14,0)</f>
        <v>9</v>
      </c>
      <c r="N43" s="18">
        <f>VLOOKUP(A43,FVM_update!B:N,13,0)</f>
        <v>16</v>
      </c>
      <c r="O43" s="20" t="str">
        <f>VLOOKUP(B43,'FVM_1luglio-31luglio25'!D:Q,14,0)</f>
        <v>#N/A</v>
      </c>
      <c r="P43" s="36">
        <f t="shared" si="6"/>
        <v>16</v>
      </c>
      <c r="Q43" s="21">
        <f t="shared" si="4"/>
        <v>1</v>
      </c>
      <c r="R43" s="21">
        <f t="shared" si="7"/>
        <v>1</v>
      </c>
      <c r="S43" s="37"/>
      <c r="T43" s="38"/>
      <c r="U43" s="39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</row>
    <row r="44" ht="22.5" customHeight="1">
      <c r="A44" s="9">
        <f>VLOOKUP(B44,FVM_update!A:B,2,0)</f>
        <v>6666</v>
      </c>
      <c r="B44" s="43" t="s">
        <v>102</v>
      </c>
      <c r="C44" s="44" t="s">
        <v>99</v>
      </c>
      <c r="D44" s="12" t="str">
        <f>VLOOKUP(B44,FVM_update!A:F,6,0)</f>
        <v>Parma</v>
      </c>
      <c r="E44" s="13" t="str">
        <f>VLOOKUP(B44,FVM_update!A:E,4,0)</f>
        <v>C</v>
      </c>
      <c r="F44" s="45" t="s">
        <v>45</v>
      </c>
      <c r="G44" s="15">
        <v>45839.0</v>
      </c>
      <c r="H44" s="15">
        <f t="shared" si="1"/>
        <v>46204</v>
      </c>
      <c r="I44" s="44" t="s">
        <v>89</v>
      </c>
      <c r="J44" s="34" t="str">
        <f>VLOOKUP(A44,Asteriscati25!B:N,13,0)</f>
        <v>#N/A</v>
      </c>
      <c r="K44" s="46">
        <v>1.0</v>
      </c>
      <c r="L44" s="47" t="str">
        <f t="shared" si="2"/>
        <v>#REF!</v>
      </c>
      <c r="M44" s="19">
        <f>VLOOKUP(B44,FVM_Asta2526!A:N,14,0)</f>
        <v>36</v>
      </c>
      <c r="N44" s="18">
        <f>VLOOKUP(A44,FVM_update!B:N,13,0)</f>
        <v>32</v>
      </c>
      <c r="O44" s="47" t="str">
        <f>VLOOKUP(B44,'FVM_1luglio-31luglio25'!D:Q,14,0)</f>
        <v>#N/A</v>
      </c>
      <c r="P44" s="48">
        <f t="shared" si="6"/>
        <v>32</v>
      </c>
      <c r="Q44" s="21">
        <f t="shared" si="4"/>
        <v>4</v>
      </c>
      <c r="R44" s="21">
        <f t="shared" si="7"/>
        <v>4</v>
      </c>
      <c r="S44" s="37"/>
      <c r="T44" s="49"/>
      <c r="U44" s="39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</row>
    <row r="45" ht="22.5" customHeight="1">
      <c r="A45" s="9">
        <f>VLOOKUP(B45,FVM_update!A:B,2,0)</f>
        <v>7139</v>
      </c>
      <c r="B45" s="41" t="s">
        <v>103</v>
      </c>
      <c r="C45" s="42" t="s">
        <v>99</v>
      </c>
      <c r="D45" s="12" t="str">
        <f>VLOOKUP(B45,FVM_update!A:F,6,0)</f>
        <v>Pisa</v>
      </c>
      <c r="E45" s="13" t="str">
        <f>VLOOKUP(B45,FVM_update!A:E,4,0)</f>
        <v>Dc</v>
      </c>
      <c r="F45" s="31" t="s">
        <v>45</v>
      </c>
      <c r="G45" s="32">
        <v>45839.0</v>
      </c>
      <c r="H45" s="15">
        <f t="shared" si="1"/>
        <v>46204</v>
      </c>
      <c r="I45" s="33" t="s">
        <v>48</v>
      </c>
      <c r="J45" s="34" t="str">
        <f>VLOOKUP(A45,Asteriscati25!B:N,13,0)</f>
        <v>#N/A</v>
      </c>
      <c r="K45" s="35"/>
      <c r="L45" s="18" t="str">
        <f t="shared" si="2"/>
        <v>#REF!</v>
      </c>
      <c r="M45" s="19">
        <f>VLOOKUP(B45,FVM_Asta2526!A:N,14,0)</f>
        <v>12</v>
      </c>
      <c r="N45" s="18">
        <f>VLOOKUP(A45,FVM_update!B:N,13,0)</f>
        <v>12</v>
      </c>
      <c r="O45" s="20" t="str">
        <f>VLOOKUP(B45,'FVM_1luglio-31luglio25'!D:Q,14,0)</f>
        <v>#N/A</v>
      </c>
      <c r="P45" s="36">
        <f t="shared" si="6"/>
        <v>12</v>
      </c>
      <c r="Q45" s="21">
        <f t="shared" si="4"/>
        <v>1.5</v>
      </c>
      <c r="R45" s="21">
        <f t="shared" si="7"/>
        <v>1.5</v>
      </c>
      <c r="S45" s="37"/>
      <c r="T45" s="38"/>
      <c r="U45" s="39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</row>
    <row r="46" ht="22.5" customHeight="1">
      <c r="A46" s="9">
        <f>VLOOKUP(B46,FVM_update!A:B,2,0)</f>
        <v>5885</v>
      </c>
      <c r="B46" s="41" t="s">
        <v>104</v>
      </c>
      <c r="C46" s="42" t="s">
        <v>99</v>
      </c>
      <c r="D46" s="12" t="str">
        <f>VLOOKUP(B46,FVM_update!A:F,6,0)</f>
        <v>Fiorentina</v>
      </c>
      <c r="E46" s="13" t="str">
        <f>VLOOKUP(B46,FVM_update!A:E,4,0)</f>
        <v>E</v>
      </c>
      <c r="F46" s="31" t="s">
        <v>45</v>
      </c>
      <c r="G46" s="32">
        <v>45839.0</v>
      </c>
      <c r="H46" s="15">
        <f t="shared" si="1"/>
        <v>46204</v>
      </c>
      <c r="I46" s="33" t="s">
        <v>48</v>
      </c>
      <c r="J46" s="34" t="str">
        <f>VLOOKUP(A46,Asteriscati25!B:N,13,0)</f>
        <v>#N/A</v>
      </c>
      <c r="K46" s="35"/>
      <c r="L46" s="18" t="str">
        <f t="shared" si="2"/>
        <v>#REF!</v>
      </c>
      <c r="M46" s="19">
        <f>VLOOKUP(B46,FVM_Asta2526!A:N,14,0)</f>
        <v>44</v>
      </c>
      <c r="N46" s="18">
        <f>VLOOKUP(A46,FVM_update!B:N,13,0)</f>
        <v>33</v>
      </c>
      <c r="O46" s="20" t="str">
        <f>VLOOKUP(B46,'FVM_1luglio-31luglio25'!D:Q,14,0)</f>
        <v>#N/A</v>
      </c>
      <c r="P46" s="36">
        <f t="shared" si="6"/>
        <v>33</v>
      </c>
      <c r="Q46" s="21">
        <f t="shared" si="4"/>
        <v>4.5</v>
      </c>
      <c r="R46" s="21">
        <f t="shared" si="7"/>
        <v>4.5</v>
      </c>
      <c r="S46" s="37"/>
      <c r="T46" s="38"/>
      <c r="U46" s="39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</row>
    <row r="47" ht="22.5" customHeight="1">
      <c r="A47" s="9">
        <f>VLOOKUP(B47,FVM_update!A:B,2,0)</f>
        <v>7017</v>
      </c>
      <c r="B47" s="50" t="s">
        <v>105</v>
      </c>
      <c r="C47" s="11" t="s">
        <v>99</v>
      </c>
      <c r="D47" s="12" t="str">
        <f>VLOOKUP(B47,FVM_update!A:F,6,0)</f>
        <v>Como</v>
      </c>
      <c r="E47" s="13" t="str">
        <f>VLOOKUP(B47,FVM_update!A:E,4,0)</f>
        <v>Pc</v>
      </c>
      <c r="F47" s="11" t="s">
        <v>74</v>
      </c>
      <c r="G47" s="14">
        <v>45689.0</v>
      </c>
      <c r="H47" s="15">
        <f t="shared" si="1"/>
        <v>46600</v>
      </c>
      <c r="I47" s="11" t="s">
        <v>48</v>
      </c>
      <c r="J47" s="16" t="str">
        <f>VLOOKUP(A47,Asteriscati25!B:N,13,0)</f>
        <v>#N/A</v>
      </c>
      <c r="K47" s="26">
        <v>0.0</v>
      </c>
      <c r="L47" s="18" t="str">
        <f t="shared" si="2"/>
        <v>#REF!</v>
      </c>
      <c r="M47" s="19">
        <f>VLOOKUP(B47,FVM_astainv!A:N,14,0)</f>
        <v>20</v>
      </c>
      <c r="N47" s="18">
        <f>VLOOKUP(A47,FVM_update!B:N,13,0)</f>
        <v>68</v>
      </c>
      <c r="O47" s="20">
        <f>VLOOKUP(B47,'FVM_1luglio-31luglio25'!D:Q,14,0)</f>
        <v>20</v>
      </c>
      <c r="P47" s="20">
        <f t="shared" si="6"/>
        <v>68</v>
      </c>
      <c r="Q47" s="21">
        <f t="shared" si="4"/>
        <v>2.5</v>
      </c>
      <c r="R47" s="21">
        <f t="shared" si="7"/>
        <v>2.5</v>
      </c>
      <c r="S47" s="19"/>
      <c r="T47" s="17"/>
      <c r="U47" s="10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</row>
    <row r="48" ht="22.5" customHeight="1">
      <c r="A48" s="9">
        <f>VLOOKUP(B48,FVM_update!A:B,2,0)</f>
        <v>4401</v>
      </c>
      <c r="B48" s="41" t="s">
        <v>106</v>
      </c>
      <c r="C48" s="42" t="s">
        <v>99</v>
      </c>
      <c r="D48" s="12" t="str">
        <f>VLOOKUP(B48,FVM_update!A:F,6,0)</f>
        <v>Milan</v>
      </c>
      <c r="E48" s="13" t="str">
        <f>VLOOKUP(B48,FVM_update!A:E,4,0)</f>
        <v>Dc</v>
      </c>
      <c r="F48" s="31" t="s">
        <v>45</v>
      </c>
      <c r="G48" s="32">
        <v>45839.0</v>
      </c>
      <c r="H48" s="15">
        <f t="shared" si="1"/>
        <v>46204</v>
      </c>
      <c r="I48" s="33" t="s">
        <v>48</v>
      </c>
      <c r="J48" s="34" t="str">
        <f>VLOOKUP(A48,Asteriscati25!B:N,13,0)</f>
        <v>#N/A</v>
      </c>
      <c r="K48" s="35"/>
      <c r="L48" s="18" t="str">
        <f t="shared" si="2"/>
        <v>#REF!</v>
      </c>
      <c r="M48" s="19">
        <f>VLOOKUP(B48,FVM_Asta2526!A:N,14,0)</f>
        <v>16</v>
      </c>
      <c r="N48" s="18">
        <f>VLOOKUP(A48,FVM_update!B:N,13,0)</f>
        <v>22</v>
      </c>
      <c r="O48" s="20">
        <f>VLOOKUP(B48,'FVM_1luglio-31luglio25'!D:Q,14,0)</f>
        <v>10</v>
      </c>
      <c r="P48" s="36">
        <f t="shared" si="6"/>
        <v>22</v>
      </c>
      <c r="Q48" s="21">
        <f t="shared" si="4"/>
        <v>2</v>
      </c>
      <c r="R48" s="21">
        <f t="shared" si="7"/>
        <v>2</v>
      </c>
      <c r="S48" s="37"/>
      <c r="T48" s="38"/>
      <c r="U48" s="39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</row>
    <row r="49" ht="22.5" customHeight="1">
      <c r="A49" s="9">
        <f>VLOOKUP(B49,FVM_update!A:B,2,0)</f>
        <v>7162</v>
      </c>
      <c r="B49" s="41" t="s">
        <v>107</v>
      </c>
      <c r="C49" s="42" t="s">
        <v>99</v>
      </c>
      <c r="D49" s="12" t="str">
        <f>VLOOKUP(B49,FVM_update!A:F,6,0)</f>
        <v>Napoli</v>
      </c>
      <c r="E49" s="13" t="str">
        <f>VLOOKUP(B49,FVM_update!A:E,4,0)</f>
        <v>A</v>
      </c>
      <c r="F49" s="31" t="s">
        <v>45</v>
      </c>
      <c r="G49" s="32">
        <v>45839.0</v>
      </c>
      <c r="H49" s="15">
        <f t="shared" si="1"/>
        <v>46204</v>
      </c>
      <c r="I49" s="33" t="s">
        <v>46</v>
      </c>
      <c r="J49" s="34" t="str">
        <f>VLOOKUP(A49,Asteriscati25!B:N,13,0)</f>
        <v>#N/A</v>
      </c>
      <c r="K49" s="35"/>
      <c r="L49" s="18" t="str">
        <f t="shared" si="2"/>
        <v>#REF!</v>
      </c>
      <c r="M49" s="19">
        <f>VLOOKUP(B49,FVM_Asta2526!A:N,14,0)</f>
        <v>20</v>
      </c>
      <c r="N49" s="18">
        <f>VLOOKUP(A49,FVM_update!B:N,13,0)</f>
        <v>17</v>
      </c>
      <c r="O49" s="20" t="str">
        <f>VLOOKUP(B49,'FVM_1luglio-31luglio25'!D:Q,14,0)</f>
        <v>#N/A</v>
      </c>
      <c r="P49" s="36">
        <f t="shared" si="6"/>
        <v>17</v>
      </c>
      <c r="Q49" s="21">
        <f t="shared" si="4"/>
        <v>2</v>
      </c>
      <c r="R49" s="21">
        <f t="shared" si="7"/>
        <v>1</v>
      </c>
      <c r="S49" s="37"/>
      <c r="T49" s="38"/>
      <c r="U49" s="39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</row>
    <row r="50" ht="22.5" customHeight="1">
      <c r="A50" s="9">
        <f>VLOOKUP(B50,FVM_update!A:B,2,0)</f>
        <v>2097</v>
      </c>
      <c r="B50" s="25" t="s">
        <v>108</v>
      </c>
      <c r="C50" s="11" t="s">
        <v>99</v>
      </c>
      <c r="D50" s="12" t="str">
        <f>VLOOKUP(B50,FVM_update!A:F,6,0)</f>
        <v>Fiorentina</v>
      </c>
      <c r="E50" s="13" t="str">
        <f>VLOOKUP(B50,FVM_update!A:E,4,0)</f>
        <v>Pc</v>
      </c>
      <c r="F50" s="11" t="s">
        <v>55</v>
      </c>
      <c r="G50" s="14">
        <v>45474.0</v>
      </c>
      <c r="H50" s="15">
        <f t="shared" si="1"/>
        <v>46204</v>
      </c>
      <c r="I50" s="11" t="s">
        <v>71</v>
      </c>
      <c r="J50" s="16" t="str">
        <f>VLOOKUP(A50,Asteriscati25!B:N,13,0)</f>
        <v>#N/A</v>
      </c>
      <c r="K50" s="26">
        <v>0.6</v>
      </c>
      <c r="L50" s="18" t="str">
        <f t="shared" si="2"/>
        <v>#REF!</v>
      </c>
      <c r="M50" s="19">
        <f>VLOOKUP(B50,FVM_Asta2425!A:M,13,0)</f>
        <v>97</v>
      </c>
      <c r="N50" s="18">
        <f>VLOOKUP(A50,FVM_update!B:N,13,0)</f>
        <v>127</v>
      </c>
      <c r="O50" s="20">
        <f>VLOOKUP(B50,'FVM_1luglio-31luglio25'!D:Q,14,0)</f>
        <v>241</v>
      </c>
      <c r="P50" s="20">
        <f t="shared" si="6"/>
        <v>127</v>
      </c>
      <c r="Q50" s="21">
        <f t="shared" si="4"/>
        <v>13</v>
      </c>
      <c r="R50" s="21">
        <f t="shared" si="7"/>
        <v>8</v>
      </c>
      <c r="S50" s="19"/>
      <c r="T50" s="22"/>
      <c r="U50" s="10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</row>
    <row r="51" ht="22.5" customHeight="1">
      <c r="A51" s="9">
        <f>VLOOKUP(B51,FVM_update!A:B,2,0)</f>
        <v>6893</v>
      </c>
      <c r="B51" s="41" t="s">
        <v>109</v>
      </c>
      <c r="C51" s="42" t="s">
        <v>99</v>
      </c>
      <c r="D51" s="12" t="str">
        <f>VLOOKUP(B51,FVM_update!A:F,6,0)</f>
        <v>Como</v>
      </c>
      <c r="E51" s="13" t="str">
        <f>VLOOKUP(B51,FVM_update!A:E,4,0)</f>
        <v>Dc</v>
      </c>
      <c r="F51" s="31" t="s">
        <v>45</v>
      </c>
      <c r="G51" s="32">
        <v>45839.0</v>
      </c>
      <c r="H51" s="15">
        <f t="shared" si="1"/>
        <v>46204</v>
      </c>
      <c r="I51" s="33" t="s">
        <v>48</v>
      </c>
      <c r="J51" s="34" t="str">
        <f>VLOOKUP(A51,Asteriscati25!B:N,13,0)</f>
        <v>#N/A</v>
      </c>
      <c r="K51" s="35"/>
      <c r="L51" s="18" t="str">
        <f t="shared" si="2"/>
        <v>#REF!</v>
      </c>
      <c r="M51" s="19">
        <f>VLOOKUP(B51,FVM_Asta2526!A:N,14,0)</f>
        <v>15</v>
      </c>
      <c r="N51" s="18">
        <f>VLOOKUP(A51,FVM_update!B:N,13,0)</f>
        <v>22</v>
      </c>
      <c r="O51" s="20">
        <f>VLOOKUP(B51,'FVM_1luglio-31luglio25'!D:Q,14,0)</f>
        <v>9</v>
      </c>
      <c r="P51" s="36">
        <f t="shared" si="6"/>
        <v>22</v>
      </c>
      <c r="Q51" s="21">
        <f t="shared" si="4"/>
        <v>1.5</v>
      </c>
      <c r="R51" s="21">
        <f t="shared" si="7"/>
        <v>1.5</v>
      </c>
      <c r="S51" s="37"/>
      <c r="T51" s="38"/>
      <c r="U51" s="39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</row>
    <row r="52" ht="22.5" customHeight="1">
      <c r="A52" s="9">
        <f>VLOOKUP(B52,FVM_update!A:B,2,0)</f>
        <v>7199</v>
      </c>
      <c r="B52" s="10" t="s">
        <v>110</v>
      </c>
      <c r="C52" s="42" t="s">
        <v>99</v>
      </c>
      <c r="D52" s="12" t="str">
        <f>VLOOKUP(B52,FVM_update!A:F,6,0)</f>
        <v>Cagliari</v>
      </c>
      <c r="E52" s="13" t="str">
        <f>VLOOKUP(B52,FVM_update!A:E,4,0)</f>
        <v>A</v>
      </c>
      <c r="F52" s="11" t="s">
        <v>43</v>
      </c>
      <c r="G52" s="32">
        <v>45839.0</v>
      </c>
      <c r="H52" s="15">
        <f t="shared" si="1"/>
        <v>401768</v>
      </c>
      <c r="I52" s="11" t="s">
        <v>43</v>
      </c>
      <c r="J52" s="16" t="str">
        <f>VLOOKUP(A52,Asteriscati25!B:N,13,0)</f>
        <v>#N/A</v>
      </c>
      <c r="K52" s="17"/>
      <c r="L52" s="18" t="str">
        <f t="shared" si="2"/>
        <v>#REF!</v>
      </c>
      <c r="M52" s="19">
        <f>VLOOKUP(B52,FVM_Asta2526!A:N,14,0)</f>
        <v>14</v>
      </c>
      <c r="N52" s="18">
        <f>VLOOKUP(A52,FVM_update!B:N,13,0)</f>
        <v>35</v>
      </c>
      <c r="O52" s="20" t="str">
        <f>VLOOKUP(B52,'FVM_1luglio-31luglio25'!D:Q,14,0)</f>
        <v>#N/A</v>
      </c>
      <c r="P52" s="20">
        <f t="shared" si="6"/>
        <v>35</v>
      </c>
      <c r="Q52" s="21">
        <f t="shared" si="4"/>
        <v>2</v>
      </c>
      <c r="R52" s="21">
        <f t="shared" si="7"/>
        <v>0.5</v>
      </c>
      <c r="S52" s="20"/>
      <c r="T52" s="22"/>
      <c r="U52" s="23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</row>
    <row r="53" ht="22.5" customHeight="1">
      <c r="A53" s="9">
        <f>VLOOKUP(B53,FVM_update!A:B,2,0)</f>
        <v>5589</v>
      </c>
      <c r="B53" s="41" t="s">
        <v>111</v>
      </c>
      <c r="C53" s="42" t="s">
        <v>99</v>
      </c>
      <c r="D53" s="12" t="str">
        <f>VLOOKUP(B53,FVM_update!A:F,6,0)</f>
        <v>Roma</v>
      </c>
      <c r="E53" s="13" t="str">
        <f>VLOOKUP(B53,FVM_update!A:E,4,0)</f>
        <v>M;C</v>
      </c>
      <c r="F53" s="31" t="s">
        <v>59</v>
      </c>
      <c r="G53" s="32">
        <v>45839.0</v>
      </c>
      <c r="H53" s="15">
        <f t="shared" si="1"/>
        <v>46935</v>
      </c>
      <c r="I53" s="33" t="s">
        <v>48</v>
      </c>
      <c r="J53" s="34" t="str">
        <f>VLOOKUP(A53,Asteriscati25!B:N,13,0)</f>
        <v>#N/A</v>
      </c>
      <c r="K53" s="35"/>
      <c r="L53" s="18" t="str">
        <f t="shared" si="2"/>
        <v>#REF!</v>
      </c>
      <c r="M53" s="19">
        <f>VLOOKUP(B53,FVM_Asta2526!A:N,14,0)</f>
        <v>46</v>
      </c>
      <c r="N53" s="18">
        <f>VLOOKUP(A53,FVM_update!B:N,13,0)</f>
        <v>50</v>
      </c>
      <c r="O53" s="20" t="str">
        <f>VLOOKUP(B53,'FVM_1luglio-31luglio25'!D:Q,14,0)</f>
        <v>#N/A</v>
      </c>
      <c r="P53" s="36">
        <f t="shared" si="6"/>
        <v>50</v>
      </c>
      <c r="Q53" s="21">
        <f t="shared" si="4"/>
        <v>5.5</v>
      </c>
      <c r="R53" s="21">
        <f t="shared" si="7"/>
        <v>5.5</v>
      </c>
      <c r="S53" s="37"/>
      <c r="T53" s="38"/>
      <c r="U53" s="39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</row>
    <row r="54" ht="22.5" customHeight="1">
      <c r="A54" s="9">
        <f>VLOOKUP(B54,FVM_update!A:B,2,0)</f>
        <v>6060</v>
      </c>
      <c r="B54" s="41" t="s">
        <v>112</v>
      </c>
      <c r="C54" s="42" t="s">
        <v>99</v>
      </c>
      <c r="D54" s="12" t="str">
        <f>VLOOKUP(B54,FVM_update!A:F,6,0)</f>
        <v>Sassuolo</v>
      </c>
      <c r="E54" s="13" t="str">
        <f>VLOOKUP(B54,FVM_update!A:E,4,0)</f>
        <v>A</v>
      </c>
      <c r="F54" s="31" t="s">
        <v>45</v>
      </c>
      <c r="G54" s="32">
        <v>45839.0</v>
      </c>
      <c r="H54" s="15">
        <f t="shared" si="1"/>
        <v>46204</v>
      </c>
      <c r="I54" s="33" t="s">
        <v>48</v>
      </c>
      <c r="J54" s="34" t="str">
        <f>VLOOKUP(A54,Asteriscati25!B:N,13,0)</f>
        <v>#N/A</v>
      </c>
      <c r="K54" s="35"/>
      <c r="L54" s="18" t="str">
        <f t="shared" si="2"/>
        <v>#REF!</v>
      </c>
      <c r="M54" s="19">
        <f>VLOOKUP(B54,FVM_Asta2526!A:N,14,0)</f>
        <v>47</v>
      </c>
      <c r="N54" s="18">
        <f>VLOOKUP(A54,FVM_update!B:N,13,0)</f>
        <v>35</v>
      </c>
      <c r="O54" s="20" t="str">
        <f>VLOOKUP(B54,'FVM_1luglio-31luglio25'!D:Q,14,0)</f>
        <v>#N/A</v>
      </c>
      <c r="P54" s="36">
        <f t="shared" si="6"/>
        <v>35</v>
      </c>
      <c r="Q54" s="21">
        <f t="shared" si="4"/>
        <v>5</v>
      </c>
      <c r="R54" s="21">
        <f t="shared" si="7"/>
        <v>5</v>
      </c>
      <c r="S54" s="37"/>
      <c r="T54" s="38"/>
      <c r="U54" s="39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</row>
    <row r="55" ht="22.5" customHeight="1">
      <c r="A55" s="9">
        <f>VLOOKUP(B55,FVM_update!A:B,2,0)</f>
        <v>4287</v>
      </c>
      <c r="B55" s="41" t="s">
        <v>113</v>
      </c>
      <c r="C55" s="42" t="s">
        <v>99</v>
      </c>
      <c r="D55" s="12" t="str">
        <f>VLOOKUP(B55,FVM_update!A:F,6,0)</f>
        <v>Napoli</v>
      </c>
      <c r="E55" s="13" t="str">
        <f>VLOOKUP(B55,FVM_update!A:E,4,0)</f>
        <v>M;C</v>
      </c>
      <c r="F55" s="31" t="s">
        <v>45</v>
      </c>
      <c r="G55" s="32">
        <v>45839.0</v>
      </c>
      <c r="H55" s="15">
        <f t="shared" si="1"/>
        <v>46204</v>
      </c>
      <c r="I55" s="33" t="s">
        <v>48</v>
      </c>
      <c r="J55" s="34" t="str">
        <f>VLOOKUP(A55,Asteriscati25!B:N,13,0)</f>
        <v>#N/A</v>
      </c>
      <c r="K55" s="35"/>
      <c r="L55" s="18" t="str">
        <f t="shared" si="2"/>
        <v>#REF!</v>
      </c>
      <c r="M55" s="19">
        <f>VLOOKUP(B55,FVM_Asta2526!A:N,14,0)</f>
        <v>29</v>
      </c>
      <c r="N55" s="18">
        <f>VLOOKUP(A55,FVM_update!B:N,13,0)</f>
        <v>30</v>
      </c>
      <c r="O55" s="20">
        <f>VLOOKUP(B55,'FVM_1luglio-31luglio25'!D:Q,14,0)</f>
        <v>21</v>
      </c>
      <c r="P55" s="36">
        <f t="shared" si="6"/>
        <v>30</v>
      </c>
      <c r="Q55" s="21">
        <f t="shared" si="4"/>
        <v>3</v>
      </c>
      <c r="R55" s="21">
        <f t="shared" si="7"/>
        <v>3</v>
      </c>
      <c r="S55" s="37"/>
      <c r="T55" s="38"/>
      <c r="U55" s="39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</row>
    <row r="56" ht="22.5" customHeight="1">
      <c r="A56" s="9">
        <f>VLOOKUP(B56,FVM_update!A:B,2,0)</f>
        <v>1933</v>
      </c>
      <c r="B56" s="41" t="s">
        <v>114</v>
      </c>
      <c r="C56" s="42" t="s">
        <v>99</v>
      </c>
      <c r="D56" s="12" t="str">
        <f>VLOOKUP(B56,FVM_update!A:F,6,0)</f>
        <v>Fiorentina</v>
      </c>
      <c r="E56" s="13" t="str">
        <f>VLOOKUP(B56,FVM_update!A:E,4,0)</f>
        <v>M;C</v>
      </c>
      <c r="F56" s="31" t="s">
        <v>45</v>
      </c>
      <c r="G56" s="32">
        <v>45839.0</v>
      </c>
      <c r="H56" s="15">
        <f t="shared" si="1"/>
        <v>46204</v>
      </c>
      <c r="I56" s="33" t="s">
        <v>48</v>
      </c>
      <c r="J56" s="34" t="str">
        <f>VLOOKUP(A56,Asteriscati25!B:N,13,0)</f>
        <v>#N/A</v>
      </c>
      <c r="K56" s="35"/>
      <c r="L56" s="18" t="str">
        <f t="shared" si="2"/>
        <v>#REF!</v>
      </c>
      <c r="M56" s="19">
        <f>VLOOKUP(B56,FVM_Asta2526!A:N,14,0)</f>
        <v>35</v>
      </c>
      <c r="N56" s="18">
        <f>VLOOKUP(A56,FVM_update!B:N,13,0)</f>
        <v>86</v>
      </c>
      <c r="O56" s="20">
        <f>VLOOKUP(B56,'FVM_1luglio-31luglio25'!D:Q,14,0)</f>
        <v>32</v>
      </c>
      <c r="P56" s="36">
        <f t="shared" si="6"/>
        <v>86</v>
      </c>
      <c r="Q56" s="21">
        <f t="shared" si="4"/>
        <v>3.5</v>
      </c>
      <c r="R56" s="21">
        <f t="shared" si="7"/>
        <v>3.5</v>
      </c>
      <c r="S56" s="37"/>
      <c r="T56" s="38"/>
      <c r="U56" s="39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</row>
    <row r="57" ht="22.5" customHeight="1">
      <c r="A57" s="9">
        <f>VLOOKUP(B57,FVM_update!A:B,2,0)</f>
        <v>4904</v>
      </c>
      <c r="B57" s="51" t="s">
        <v>115</v>
      </c>
      <c r="C57" s="52" t="s">
        <v>99</v>
      </c>
      <c r="D57" s="12" t="str">
        <f>VLOOKUP(B57,FVM_update!A:F,6,0)</f>
        <v>Fiorentina</v>
      </c>
      <c r="E57" s="13" t="str">
        <f>VLOOKUP(B57,FVM_update!A:E,4,0)</f>
        <v>Dc</v>
      </c>
      <c r="F57" s="53" t="s">
        <v>45</v>
      </c>
      <c r="G57" s="54">
        <v>45839.0</v>
      </c>
      <c r="H57" s="15">
        <f t="shared" si="1"/>
        <v>46204</v>
      </c>
      <c r="I57" s="55" t="s">
        <v>46</v>
      </c>
      <c r="J57" s="56" t="str">
        <f>VLOOKUP(A57,Asteriscati25!B:N,13,0)</f>
        <v>#N/A</v>
      </c>
      <c r="K57" s="57"/>
      <c r="L57" s="58" t="str">
        <f t="shared" si="2"/>
        <v>#REF!</v>
      </c>
      <c r="M57" s="19">
        <f>VLOOKUP(B57,FVM_Asta2526!A:N,14,0)</f>
        <v>13</v>
      </c>
      <c r="N57" s="18">
        <f>VLOOKUP(A57,FVM_update!B:N,13,0)</f>
        <v>8</v>
      </c>
      <c r="O57" s="59" t="str">
        <f>VLOOKUP(B57,'FVM_1luglio-31luglio25'!D:Q,14,0)</f>
        <v>#N/A</v>
      </c>
      <c r="P57" s="60">
        <f t="shared" si="6"/>
        <v>8</v>
      </c>
      <c r="Q57" s="21">
        <f t="shared" si="4"/>
        <v>1.5</v>
      </c>
      <c r="R57" s="21">
        <f t="shared" si="7"/>
        <v>1</v>
      </c>
      <c r="S57" s="61"/>
      <c r="T57" s="62"/>
      <c r="U57" s="63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</row>
    <row r="58" ht="22.5" customHeight="1">
      <c r="A58" s="9">
        <f>VLOOKUP(B58,FVM_update!A:B,2,0)</f>
        <v>4210</v>
      </c>
      <c r="B58" s="41" t="s">
        <v>116</v>
      </c>
      <c r="C58" s="42" t="s">
        <v>99</v>
      </c>
      <c r="D58" s="12" t="str">
        <f>VLOOKUP(B58,FVM_update!A:F,6,0)</f>
        <v>Cagliari</v>
      </c>
      <c r="E58" s="13" t="str">
        <f>VLOOKUP(B58,FVM_update!A:E,4,0)</f>
        <v>Dc</v>
      </c>
      <c r="F58" s="31" t="s">
        <v>45</v>
      </c>
      <c r="G58" s="32">
        <v>45839.0</v>
      </c>
      <c r="H58" s="15">
        <f t="shared" si="1"/>
        <v>46204</v>
      </c>
      <c r="I58" s="33" t="s">
        <v>48</v>
      </c>
      <c r="J58" s="34" t="str">
        <f>VLOOKUP(A58,Asteriscati25!B:N,13,0)</f>
        <v>#N/A</v>
      </c>
      <c r="K58" s="35"/>
      <c r="L58" s="18" t="str">
        <f t="shared" si="2"/>
        <v>#REF!</v>
      </c>
      <c r="M58" s="19">
        <f>VLOOKUP(B58,FVM_Asta2526!A:N,14,0)</f>
        <v>21</v>
      </c>
      <c r="N58" s="18">
        <f>VLOOKUP(A58,FVM_update!B:N,13,0)</f>
        <v>14</v>
      </c>
      <c r="O58" s="20">
        <f>VLOOKUP(B58,'FVM_1luglio-31luglio25'!D:Q,14,0)</f>
        <v>17</v>
      </c>
      <c r="P58" s="36">
        <f t="shared" si="6"/>
        <v>14</v>
      </c>
      <c r="Q58" s="21">
        <f t="shared" si="4"/>
        <v>2.5</v>
      </c>
      <c r="R58" s="21">
        <f t="shared" si="7"/>
        <v>2.5</v>
      </c>
      <c r="S58" s="37"/>
      <c r="T58" s="38"/>
      <c r="U58" s="39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</row>
    <row r="59" ht="22.5" customHeight="1">
      <c r="A59" s="9">
        <f>VLOOKUP(B59,FVM_update!A:B,2,0)</f>
        <v>7202</v>
      </c>
      <c r="B59" s="41" t="s">
        <v>117</v>
      </c>
      <c r="C59" s="42" t="s">
        <v>99</v>
      </c>
      <c r="D59" s="12" t="str">
        <f>VLOOKUP(B59,FVM_update!A:F,6,0)</f>
        <v>Parma</v>
      </c>
      <c r="E59" s="13" t="str">
        <f>VLOOKUP(B59,FVM_update!A:E,4,0)</f>
        <v>Dc</v>
      </c>
      <c r="F59" s="31" t="s">
        <v>45</v>
      </c>
      <c r="G59" s="32">
        <v>45839.0</v>
      </c>
      <c r="H59" s="15">
        <f t="shared" si="1"/>
        <v>46204</v>
      </c>
      <c r="I59" s="33" t="s">
        <v>46</v>
      </c>
      <c r="J59" s="34" t="str">
        <f>VLOOKUP(A59,Asteriscati25!B:N,13,0)</f>
        <v>#N/A</v>
      </c>
      <c r="K59" s="35"/>
      <c r="L59" s="18" t="str">
        <f t="shared" si="2"/>
        <v>#REF!</v>
      </c>
      <c r="M59" s="19">
        <f>VLOOKUP(B59,FVM_Asta2526!A:N,14,0)</f>
        <v>10</v>
      </c>
      <c r="N59" s="18">
        <f>VLOOKUP(A59,FVM_update!B:N,13,0)</f>
        <v>8</v>
      </c>
      <c r="O59" s="20" t="str">
        <f>VLOOKUP(B59,'FVM_1luglio-31luglio25'!D:Q,14,0)</f>
        <v>#N/A</v>
      </c>
      <c r="P59" s="36">
        <f t="shared" si="6"/>
        <v>8</v>
      </c>
      <c r="Q59" s="21">
        <f t="shared" si="4"/>
        <v>1</v>
      </c>
      <c r="R59" s="21">
        <f t="shared" si="7"/>
        <v>0.5</v>
      </c>
      <c r="S59" s="37"/>
      <c r="T59" s="38"/>
      <c r="U59" s="39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</row>
    <row r="60" ht="22.5" customHeight="1">
      <c r="A60" s="9">
        <f>VLOOKUP(B60,FVM_update!A:B,2,0)</f>
        <v>4349</v>
      </c>
      <c r="B60" s="41" t="s">
        <v>118</v>
      </c>
      <c r="C60" s="42" t="s">
        <v>99</v>
      </c>
      <c r="D60" s="12" t="str">
        <f>VLOOKUP(B60,FVM_update!A:F,6,0)</f>
        <v>Parma</v>
      </c>
      <c r="E60" s="13" t="str">
        <f>VLOOKUP(B60,FVM_update!A:E,4,0)</f>
        <v>M;C</v>
      </c>
      <c r="F60" s="31" t="s">
        <v>45</v>
      </c>
      <c r="G60" s="32">
        <v>45839.0</v>
      </c>
      <c r="H60" s="15">
        <f t="shared" si="1"/>
        <v>46204</v>
      </c>
      <c r="I60" s="33" t="s">
        <v>71</v>
      </c>
      <c r="J60" s="34" t="str">
        <f>VLOOKUP(A60,Asteriscati25!B:N,13,0)</f>
        <v>#N/A</v>
      </c>
      <c r="K60" s="64">
        <v>0.0</v>
      </c>
      <c r="L60" s="18" t="str">
        <f t="shared" si="2"/>
        <v>#REF!</v>
      </c>
      <c r="M60" s="19">
        <f>VLOOKUP(B60,FVM_Asta2526!A:N,14,0)</f>
        <v>28</v>
      </c>
      <c r="N60" s="18">
        <f>VLOOKUP(A60,FVM_update!B:N,13,0)</f>
        <v>17</v>
      </c>
      <c r="O60" s="20">
        <f>VLOOKUP(B60,'FVM_1luglio-31luglio25'!D:Q,14,0)</f>
        <v>27</v>
      </c>
      <c r="P60" s="36">
        <f t="shared" si="6"/>
        <v>17</v>
      </c>
      <c r="Q60" s="21">
        <f t="shared" si="4"/>
        <v>3</v>
      </c>
      <c r="R60" s="21">
        <f t="shared" si="7"/>
        <v>0</v>
      </c>
      <c r="S60" s="37"/>
      <c r="T60" s="38"/>
      <c r="U60" s="39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</row>
    <row r="61" ht="22.5" customHeight="1">
      <c r="A61" s="9">
        <f>VLOOKUP(B61,FVM_update!A:B,2,0)</f>
        <v>7271</v>
      </c>
      <c r="B61" s="41" t="s">
        <v>119</v>
      </c>
      <c r="C61" s="42" t="s">
        <v>99</v>
      </c>
      <c r="D61" s="12" t="str">
        <f>VLOOKUP(B61,FVM_update!A:F,6,0)</f>
        <v>Milan</v>
      </c>
      <c r="E61" s="13" t="str">
        <f>VLOOKUP(B61,FVM_update!A:E,4,0)</f>
        <v>Dc</v>
      </c>
      <c r="F61" s="31" t="s">
        <v>45</v>
      </c>
      <c r="G61" s="32">
        <v>45839.0</v>
      </c>
      <c r="H61" s="15">
        <f t="shared" si="1"/>
        <v>46204</v>
      </c>
      <c r="I61" s="33" t="s">
        <v>46</v>
      </c>
      <c r="J61" s="34" t="str">
        <f>VLOOKUP(A61,Asteriscati25!B:N,13,0)</f>
        <v>#N/A</v>
      </c>
      <c r="K61" s="35"/>
      <c r="L61" s="18" t="str">
        <f t="shared" si="2"/>
        <v>#REF!</v>
      </c>
      <c r="M61" s="19">
        <f>VLOOKUP(B61,FVM_Asta2526!A:N,14,0)</f>
        <v>5</v>
      </c>
      <c r="N61" s="18">
        <f>VLOOKUP(A61,FVM_update!B:N,13,0)</f>
        <v>5</v>
      </c>
      <c r="O61" s="20" t="str">
        <f>VLOOKUP(B61,'FVM_1luglio-31luglio25'!D:Q,14,0)</f>
        <v>#N/A</v>
      </c>
      <c r="P61" s="36">
        <f t="shared" si="6"/>
        <v>5</v>
      </c>
      <c r="Q61" s="21">
        <f t="shared" si="4"/>
        <v>0.5</v>
      </c>
      <c r="R61" s="21">
        <f t="shared" si="7"/>
        <v>0.5</v>
      </c>
      <c r="S61" s="37"/>
      <c r="T61" s="38"/>
      <c r="U61" s="39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</row>
    <row r="62" ht="22.5" customHeight="1">
      <c r="A62" s="9">
        <f>VLOOKUP(B62,FVM_update!A:B,2,0)</f>
        <v>6218</v>
      </c>
      <c r="B62" s="41" t="s">
        <v>120</v>
      </c>
      <c r="C62" s="42" t="s">
        <v>99</v>
      </c>
      <c r="D62" s="12" t="str">
        <f>VLOOKUP(B62,FVM_update!A:F,6,0)</f>
        <v>Parma</v>
      </c>
      <c r="E62" s="13" t="str">
        <f>VLOOKUP(B62,FVM_update!A:E,4,0)</f>
        <v>W;T;A</v>
      </c>
      <c r="F62" s="31" t="s">
        <v>45</v>
      </c>
      <c r="G62" s="32">
        <v>45839.0</v>
      </c>
      <c r="H62" s="15">
        <f t="shared" si="1"/>
        <v>46204</v>
      </c>
      <c r="I62" s="33" t="s">
        <v>46</v>
      </c>
      <c r="J62" s="34" t="str">
        <f>VLOOKUP(A62,Asteriscati25!B:N,13,0)</f>
        <v>#N/A</v>
      </c>
      <c r="K62" s="35"/>
      <c r="L62" s="18" t="str">
        <f t="shared" si="2"/>
        <v>#REF!</v>
      </c>
      <c r="M62" s="19">
        <f>VLOOKUP(B62,FVM_Asta2526!A:N,14,0)</f>
        <v>38</v>
      </c>
      <c r="N62" s="18">
        <f>VLOOKUP(A62,FVM_update!B:N,13,0)</f>
        <v>15</v>
      </c>
      <c r="O62" s="20">
        <f>VLOOKUP(B62,'FVM_1luglio-31luglio25'!D:Q,14,0)</f>
        <v>26</v>
      </c>
      <c r="P62" s="36">
        <f t="shared" si="6"/>
        <v>15</v>
      </c>
      <c r="Q62" s="21">
        <f t="shared" si="4"/>
        <v>4</v>
      </c>
      <c r="R62" s="21">
        <f t="shared" si="7"/>
        <v>2</v>
      </c>
      <c r="S62" s="37"/>
      <c r="T62" s="38"/>
      <c r="U62" s="39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</row>
    <row r="63" ht="22.5" customHeight="1">
      <c r="A63" s="9">
        <f>VLOOKUP(B63,FVM_update!A:B,2,0)</f>
        <v>2167</v>
      </c>
      <c r="B63" s="41" t="s">
        <v>121</v>
      </c>
      <c r="C63" s="42" t="s">
        <v>99</v>
      </c>
      <c r="D63" s="12" t="str">
        <f>VLOOKUP(B63,FVM_update!A:F,6,0)</f>
        <v>Bologna</v>
      </c>
      <c r="E63" s="13" t="str">
        <f>VLOOKUP(B63,FVM_update!A:E,4,0)</f>
        <v>W;A</v>
      </c>
      <c r="F63" s="31" t="s">
        <v>67</v>
      </c>
      <c r="G63" s="32">
        <v>45839.0</v>
      </c>
      <c r="H63" s="15">
        <f t="shared" si="1"/>
        <v>46569</v>
      </c>
      <c r="I63" s="33" t="s">
        <v>122</v>
      </c>
      <c r="J63" s="34" t="str">
        <f>VLOOKUP(A63,Asteriscati25!B:N,13,0)</f>
        <v>#N/A</v>
      </c>
      <c r="K63" s="64">
        <v>0.6</v>
      </c>
      <c r="L63" s="18" t="str">
        <f t="shared" si="2"/>
        <v>#REF!</v>
      </c>
      <c r="M63" s="19">
        <f>VLOOKUP(B63,FVM_Asta2526!A:N,14,0)</f>
        <v>218</v>
      </c>
      <c r="N63" s="18">
        <f>VLOOKUP(A63,FVM_update!B:N,13,0)</f>
        <v>207</v>
      </c>
      <c r="O63" s="20">
        <f>VLOOKUP(B63,'FVM_1luglio-31luglio25'!D:Q,14,0)</f>
        <v>152</v>
      </c>
      <c r="P63" s="36">
        <f t="shared" si="6"/>
        <v>207</v>
      </c>
      <c r="Q63" s="21">
        <f t="shared" si="4"/>
        <v>25.5</v>
      </c>
      <c r="R63" s="21">
        <f t="shared" si="7"/>
        <v>15.5</v>
      </c>
      <c r="S63" s="37"/>
      <c r="T63" s="38"/>
      <c r="U63" s="39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</row>
    <row r="64" ht="22.5" customHeight="1">
      <c r="A64" s="9">
        <f>VLOOKUP(B64,FVM_update!A:B,2,0)</f>
        <v>770</v>
      </c>
      <c r="B64" s="41" t="s">
        <v>123</v>
      </c>
      <c r="C64" s="42" t="s">
        <v>99</v>
      </c>
      <c r="D64" s="12" t="str">
        <f>VLOOKUP(B64,FVM_update!A:F,6,0)</f>
        <v>Cremonese</v>
      </c>
      <c r="E64" s="13" t="str">
        <f>VLOOKUP(B64,FVM_update!A:E,4,0)</f>
        <v>Ds;E</v>
      </c>
      <c r="F64" s="31" t="s">
        <v>45</v>
      </c>
      <c r="G64" s="32">
        <v>45839.0</v>
      </c>
      <c r="H64" s="15">
        <f t="shared" si="1"/>
        <v>46204</v>
      </c>
      <c r="I64" s="33" t="s">
        <v>46</v>
      </c>
      <c r="J64" s="34" t="str">
        <f>VLOOKUP(A64,Asteriscati25!B:N,13,0)</f>
        <v>#N/A</v>
      </c>
      <c r="K64" s="35"/>
      <c r="L64" s="18" t="str">
        <f t="shared" si="2"/>
        <v>#REF!</v>
      </c>
      <c r="M64" s="19">
        <f>VLOOKUP(B64,FVM_Asta2526!A:N,14,0)</f>
        <v>13</v>
      </c>
      <c r="N64" s="18">
        <f>VLOOKUP(A64,FVM_update!B:N,13,0)</f>
        <v>11</v>
      </c>
      <c r="O64" s="20">
        <f>VLOOKUP(B64,'FVM_1luglio-31luglio25'!D:Q,14,0)</f>
        <v>12</v>
      </c>
      <c r="P64" s="36">
        <f t="shared" si="6"/>
        <v>11</v>
      </c>
      <c r="Q64" s="21">
        <f t="shared" si="4"/>
        <v>1.5</v>
      </c>
      <c r="R64" s="21">
        <f t="shared" si="7"/>
        <v>1</v>
      </c>
      <c r="S64" s="37"/>
      <c r="T64" s="38"/>
      <c r="U64" s="39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</row>
    <row r="65" ht="22.5" customHeight="1">
      <c r="A65" s="9">
        <f>VLOOKUP(B65,FVM_update!A:B,2,0)</f>
        <v>2038</v>
      </c>
      <c r="B65" s="41" t="s">
        <v>124</v>
      </c>
      <c r="C65" s="42" t="s">
        <v>99</v>
      </c>
      <c r="D65" s="12" t="str">
        <f>VLOOKUP(B65,FVM_update!A:F,6,0)</f>
        <v>Sassuolo</v>
      </c>
      <c r="E65" s="13" t="str">
        <f>VLOOKUP(B65,FVM_update!A:E,4,0)</f>
        <v>Pc</v>
      </c>
      <c r="F65" s="31" t="s">
        <v>45</v>
      </c>
      <c r="G65" s="32">
        <v>45839.0</v>
      </c>
      <c r="H65" s="15">
        <f t="shared" si="1"/>
        <v>46204</v>
      </c>
      <c r="I65" s="33" t="s">
        <v>71</v>
      </c>
      <c r="J65" s="34" t="str">
        <f>VLOOKUP(A65,Asteriscati25!B:N,13,0)</f>
        <v>#N/A</v>
      </c>
      <c r="K65" s="64">
        <v>0.6</v>
      </c>
      <c r="L65" s="18" t="str">
        <f t="shared" si="2"/>
        <v>#REF!</v>
      </c>
      <c r="M65" s="19">
        <f>VLOOKUP(B65,FVM_Asta2526!A:N,14,0)</f>
        <v>79</v>
      </c>
      <c r="N65" s="18">
        <f>VLOOKUP(A65,FVM_update!B:N,13,0)</f>
        <v>43</v>
      </c>
      <c r="O65" s="20">
        <f>VLOOKUP(B65,'FVM_1luglio-31luglio25'!D:Q,14,0)</f>
        <v>83</v>
      </c>
      <c r="P65" s="36">
        <f t="shared" si="6"/>
        <v>43</v>
      </c>
      <c r="Q65" s="21">
        <f t="shared" si="4"/>
        <v>8</v>
      </c>
      <c r="R65" s="21">
        <f t="shared" si="7"/>
        <v>5</v>
      </c>
      <c r="S65" s="37"/>
      <c r="T65" s="38"/>
      <c r="U65" s="39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</row>
    <row r="66" ht="22.5" customHeight="1">
      <c r="A66" s="9">
        <f>VLOOKUP(B66,FVM_update!A:B,2,0)</f>
        <v>2423</v>
      </c>
      <c r="B66" s="43" t="s">
        <v>125</v>
      </c>
      <c r="C66" s="42" t="s">
        <v>99</v>
      </c>
      <c r="D66" s="12" t="str">
        <f>VLOOKUP(B66,FVM_update!A:F,6,0)</f>
        <v>Milan</v>
      </c>
      <c r="E66" s="13" t="str">
        <f>VLOOKUP(B66,FVM_update!A:E,4,0)</f>
        <v>T;A</v>
      </c>
      <c r="F66" s="65" t="str">
        <f>VLOOKUP(B66,'situazione contratti estate 24'!A:I,9,0)</f>
        <v>Obbligo 1+2</v>
      </c>
      <c r="G66" s="66">
        <v>45108.0</v>
      </c>
      <c r="H66" s="15">
        <f t="shared" si="1"/>
        <v>46204</v>
      </c>
      <c r="I66" s="33" t="s">
        <v>126</v>
      </c>
      <c r="J66" s="34" t="str">
        <f>VLOOKUP(A66,Asteriscati25!B:N,13,0)</f>
        <v>#N/A</v>
      </c>
      <c r="K66" s="67">
        <v>1.0</v>
      </c>
      <c r="L66" s="18" t="str">
        <f t="shared" si="2"/>
        <v>#REF!</v>
      </c>
      <c r="M66" s="47">
        <f>VLOOKUP(B66,FVM_Asta2324!C:M,11,0)</f>
        <v>120</v>
      </c>
      <c r="N66" s="18">
        <f>VLOOKUP(A66,FVM_update!B:N,13,0)</f>
        <v>255</v>
      </c>
      <c r="O66" s="20">
        <f>VLOOKUP(B66,'FVM_1luglio-31luglio25'!D:Q,14,0)</f>
        <v>191</v>
      </c>
      <c r="P66" s="36">
        <f t="shared" si="6"/>
        <v>255</v>
      </c>
      <c r="Q66" s="21">
        <f t="shared" si="4"/>
        <v>14</v>
      </c>
      <c r="R66" s="21">
        <f t="shared" si="7"/>
        <v>14</v>
      </c>
      <c r="S66" s="37"/>
      <c r="T66" s="38" t="s">
        <v>127</v>
      </c>
      <c r="U66" s="39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</row>
    <row r="67" ht="22.5" customHeight="1">
      <c r="A67" s="9">
        <f>VLOOKUP(B67,FVM_update!A:B,2,0)</f>
        <v>2379</v>
      </c>
      <c r="B67" s="41" t="s">
        <v>128</v>
      </c>
      <c r="C67" s="42" t="s">
        <v>99</v>
      </c>
      <c r="D67" s="12" t="str">
        <f>VLOOKUP(B67,FVM_update!A:F,6,0)</f>
        <v>Milan</v>
      </c>
      <c r="E67" s="13" t="str">
        <f>VLOOKUP(B67,FVM_update!A:E,4,0)</f>
        <v>C;T</v>
      </c>
      <c r="F67" s="65" t="str">
        <f>VLOOKUP(B67,'situazione contratti estate 24'!A:I,9,0)</f>
        <v>Obbligo 1+2</v>
      </c>
      <c r="G67" s="32">
        <v>45839.0</v>
      </c>
      <c r="H67" s="15">
        <f t="shared" si="1"/>
        <v>46935</v>
      </c>
      <c r="I67" s="33" t="s">
        <v>48</v>
      </c>
      <c r="J67" s="34" t="str">
        <f>VLOOKUP(A67,Asteriscati25!B:N,13,0)</f>
        <v>#N/A</v>
      </c>
      <c r="K67" s="35"/>
      <c r="L67" s="18" t="str">
        <f t="shared" si="2"/>
        <v>#REF!</v>
      </c>
      <c r="M67" s="19">
        <f>VLOOKUP(B67,FVM_Asta2526!A:N,14,0)</f>
        <v>145</v>
      </c>
      <c r="N67" s="18">
        <f>VLOOKUP(A67,FVM_update!B:N,13,0)</f>
        <v>144</v>
      </c>
      <c r="O67" s="20" t="str">
        <f>VLOOKUP(B67,'FVM_1luglio-31luglio25'!D:Q,14,0)</f>
        <v>#N/A</v>
      </c>
      <c r="P67" s="36">
        <f t="shared" si="6"/>
        <v>144</v>
      </c>
      <c r="Q67" s="21">
        <f t="shared" si="4"/>
        <v>17</v>
      </c>
      <c r="R67" s="21">
        <f t="shared" si="7"/>
        <v>17</v>
      </c>
      <c r="S67" s="37"/>
      <c r="T67" s="38"/>
      <c r="U67" s="39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</row>
    <row r="68" ht="22.5" customHeight="1">
      <c r="A68" s="9">
        <f>VLOOKUP(B68,FVM_update!A:B,2,0)</f>
        <v>5119</v>
      </c>
      <c r="B68" s="41" t="s">
        <v>129</v>
      </c>
      <c r="C68" s="42" t="s">
        <v>99</v>
      </c>
      <c r="D68" s="12" t="str">
        <f>VLOOKUP(B68,FVM_update!A:F,6,0)</f>
        <v>Atalanta</v>
      </c>
      <c r="E68" s="13" t="str">
        <f>VLOOKUP(B68,FVM_update!A:E,4,0)</f>
        <v>T</v>
      </c>
      <c r="F68" s="31" t="s">
        <v>45</v>
      </c>
      <c r="G68" s="32">
        <v>45839.0</v>
      </c>
      <c r="H68" s="15">
        <f t="shared" si="1"/>
        <v>46204</v>
      </c>
      <c r="I68" s="33" t="s">
        <v>46</v>
      </c>
      <c r="J68" s="34" t="str">
        <f>VLOOKUP(A68,Asteriscati25!B:N,13,0)</f>
        <v>#N/A</v>
      </c>
      <c r="K68" s="35"/>
      <c r="L68" s="18" t="str">
        <f t="shared" si="2"/>
        <v>#REF!</v>
      </c>
      <c r="M68" s="19">
        <f>VLOOKUP(B68,FVM_Asta2526!A:N,14,0)</f>
        <v>22</v>
      </c>
      <c r="N68" s="18">
        <f>VLOOKUP(A68,FVM_update!B:N,13,0)</f>
        <v>10</v>
      </c>
      <c r="O68" s="20">
        <f>VLOOKUP(B68,'FVM_1luglio-31luglio25'!D:Q,14,0)</f>
        <v>28</v>
      </c>
      <c r="P68" s="36">
        <f t="shared" si="6"/>
        <v>10</v>
      </c>
      <c r="Q68" s="21">
        <f t="shared" si="4"/>
        <v>2.5</v>
      </c>
      <c r="R68" s="21">
        <f t="shared" si="7"/>
        <v>1.5</v>
      </c>
      <c r="S68" s="37"/>
      <c r="T68" s="38"/>
      <c r="U68" s="39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</row>
    <row r="69" ht="22.5" customHeight="1">
      <c r="A69" s="9">
        <f>VLOOKUP(B69,FVM_update!A:B,2,0)</f>
        <v>6641</v>
      </c>
      <c r="B69" s="41" t="s">
        <v>130</v>
      </c>
      <c r="C69" s="42" t="s">
        <v>99</v>
      </c>
      <c r="D69" s="12" t="str">
        <f>VLOOKUP(B69,FVM_update!A:F,6,0)</f>
        <v>Parma</v>
      </c>
      <c r="E69" s="13" t="str">
        <f>VLOOKUP(B69,FVM_update!A:E,4,0)</f>
        <v>Por</v>
      </c>
      <c r="F69" s="31" t="s">
        <v>45</v>
      </c>
      <c r="G69" s="32">
        <v>45839.0</v>
      </c>
      <c r="H69" s="15">
        <f t="shared" si="1"/>
        <v>46204</v>
      </c>
      <c r="I69" s="33" t="s">
        <v>46</v>
      </c>
      <c r="J69" s="34" t="str">
        <f>VLOOKUP(A69,Asteriscati25!B:N,13,0)</f>
        <v>#N/A</v>
      </c>
      <c r="K69" s="35"/>
      <c r="L69" s="18" t="str">
        <f t="shared" si="2"/>
        <v>#REF!</v>
      </c>
      <c r="M69" s="19">
        <f>VLOOKUP(B69,FVM_Asta2526!A:N,14,0)</f>
        <v>14</v>
      </c>
      <c r="N69" s="18">
        <f>VLOOKUP(A69,FVM_update!B:N,13,0)</f>
        <v>10</v>
      </c>
      <c r="O69" s="20">
        <f>VLOOKUP(B69,'FVM_1luglio-31luglio25'!D:Q,14,0)</f>
        <v>25</v>
      </c>
      <c r="P69" s="36">
        <f t="shared" si="6"/>
        <v>10</v>
      </c>
      <c r="Q69" s="21">
        <f t="shared" si="4"/>
        <v>1.5</v>
      </c>
      <c r="R69" s="21">
        <f t="shared" si="7"/>
        <v>1</v>
      </c>
      <c r="S69" s="37"/>
      <c r="T69" s="38"/>
      <c r="U69" s="39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</row>
    <row r="70" ht="22.5" customHeight="1">
      <c r="A70" s="9">
        <f>VLOOKUP(B70,FVM_update!A:B,2,0)</f>
        <v>5841</v>
      </c>
      <c r="B70" s="41" t="s">
        <v>131</v>
      </c>
      <c r="C70" s="42" t="s">
        <v>99</v>
      </c>
      <c r="D70" s="12" t="str">
        <f>VLOOKUP(B70,FVM_update!A:F,6,0)</f>
        <v>Roma</v>
      </c>
      <c r="E70" s="13" t="str">
        <f>VLOOKUP(B70,FVM_update!A:E,4,0)</f>
        <v>Por</v>
      </c>
      <c r="F70" s="31" t="s">
        <v>59</v>
      </c>
      <c r="G70" s="32">
        <v>45839.0</v>
      </c>
      <c r="H70" s="15">
        <f t="shared" si="1"/>
        <v>46935</v>
      </c>
      <c r="I70" s="33" t="s">
        <v>48</v>
      </c>
      <c r="J70" s="34" t="str">
        <f>VLOOKUP(A70,Asteriscati25!B:N,13,0)</f>
        <v>#N/A</v>
      </c>
      <c r="K70" s="35"/>
      <c r="L70" s="18" t="str">
        <f t="shared" si="2"/>
        <v>#REF!</v>
      </c>
      <c r="M70" s="19">
        <f>VLOOKUP(B70,FVM_Asta2526!A:N,14,0)</f>
        <v>85</v>
      </c>
      <c r="N70" s="18">
        <f>VLOOKUP(A70,FVM_update!B:N,13,0)</f>
        <v>101</v>
      </c>
      <c r="O70" s="20">
        <f>VLOOKUP(B70,'FVM_1luglio-31luglio25'!D:Q,14,0)</f>
        <v>76</v>
      </c>
      <c r="P70" s="36">
        <f t="shared" si="6"/>
        <v>101</v>
      </c>
      <c r="Q70" s="21">
        <f t="shared" si="4"/>
        <v>10</v>
      </c>
      <c r="R70" s="21">
        <f t="shared" si="7"/>
        <v>10</v>
      </c>
      <c r="S70" s="37"/>
      <c r="T70" s="38"/>
      <c r="U70" s="39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</row>
    <row r="71" ht="22.5" customHeight="1">
      <c r="A71" s="9">
        <f>VLOOKUP(B71,FVM_update!A:B,2,0)</f>
        <v>6125</v>
      </c>
      <c r="B71" s="41" t="s">
        <v>132</v>
      </c>
      <c r="C71" s="42" t="s">
        <v>99</v>
      </c>
      <c r="D71" s="12" t="str">
        <f>VLOOKUP(B71,FVM_update!A:F,6,0)</f>
        <v>Roma</v>
      </c>
      <c r="E71" s="13" t="str">
        <f>VLOOKUP(B71,FVM_update!A:E,4,0)</f>
        <v>Por</v>
      </c>
      <c r="F71" s="31" t="s">
        <v>45</v>
      </c>
      <c r="G71" s="32">
        <v>45839.0</v>
      </c>
      <c r="H71" s="15">
        <f t="shared" si="1"/>
        <v>46204</v>
      </c>
      <c r="I71" s="33" t="s">
        <v>48</v>
      </c>
      <c r="J71" s="34" t="str">
        <f>VLOOKUP(A71,Asteriscati25!B:N,13,0)</f>
        <v>#N/A</v>
      </c>
      <c r="K71" s="35"/>
      <c r="L71" s="18" t="str">
        <f t="shared" si="2"/>
        <v>#REF!</v>
      </c>
      <c r="M71" s="19">
        <f>VLOOKUP(B71,FVM_Asta2526!A:N,14,0)</f>
        <v>1</v>
      </c>
      <c r="N71" s="18">
        <f>VLOOKUP(A71,FVM_update!B:N,13,0)</f>
        <v>1</v>
      </c>
      <c r="O71" s="20">
        <f>VLOOKUP(B71,'FVM_1luglio-31luglio25'!D:Q,14,0)</f>
        <v>11</v>
      </c>
      <c r="P71" s="36">
        <f t="shared" si="6"/>
        <v>1</v>
      </c>
      <c r="Q71" s="21">
        <f t="shared" si="4"/>
        <v>0.5</v>
      </c>
      <c r="R71" s="21">
        <f t="shared" si="7"/>
        <v>0.5</v>
      </c>
      <c r="S71" s="37"/>
      <c r="T71" s="38"/>
      <c r="U71" s="39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</row>
    <row r="72" ht="22.5" customHeight="1">
      <c r="A72" s="9">
        <f>VLOOKUP(B72,FVM_update!A:B,2,0)</f>
        <v>7181</v>
      </c>
      <c r="B72" s="41" t="s">
        <v>133</v>
      </c>
      <c r="C72" s="42" t="s">
        <v>99</v>
      </c>
      <c r="D72" s="12" t="str">
        <f>VLOOKUP(B72,FVM_update!A:F,6,0)</f>
        <v>Roma</v>
      </c>
      <c r="E72" s="13" t="str">
        <f>VLOOKUP(B72,FVM_update!A:E,4,0)</f>
        <v>E</v>
      </c>
      <c r="F72" s="31" t="s">
        <v>45</v>
      </c>
      <c r="G72" s="32">
        <v>45839.0</v>
      </c>
      <c r="H72" s="15">
        <f t="shared" si="1"/>
        <v>46204</v>
      </c>
      <c r="I72" s="33" t="s">
        <v>48</v>
      </c>
      <c r="J72" s="34" t="str">
        <f>VLOOKUP(A72,Asteriscati25!B:N,13,0)</f>
        <v>#N/A</v>
      </c>
      <c r="K72" s="35"/>
      <c r="L72" s="18" t="str">
        <f t="shared" si="2"/>
        <v>#REF!</v>
      </c>
      <c r="M72" s="19">
        <f>VLOOKUP(B72,FVM_Asta2526!A:N,14,0)</f>
        <v>52</v>
      </c>
      <c r="N72" s="18">
        <f>VLOOKUP(A72,FVM_update!B:N,13,0)</f>
        <v>45</v>
      </c>
      <c r="O72" s="20" t="str">
        <f>VLOOKUP(B72,'FVM_1luglio-31luglio25'!D:Q,14,0)</f>
        <v>#N/A</v>
      </c>
      <c r="P72" s="36">
        <f t="shared" si="6"/>
        <v>45</v>
      </c>
      <c r="Q72" s="21">
        <f t="shared" si="4"/>
        <v>5.5</v>
      </c>
      <c r="R72" s="21">
        <f t="shared" si="7"/>
        <v>5.5</v>
      </c>
      <c r="S72" s="37"/>
      <c r="T72" s="38"/>
      <c r="U72" s="39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</row>
    <row r="73" ht="22.5" customHeight="1">
      <c r="A73" s="9">
        <f>VLOOKUP(B73,FVM_update!A:B,2,0)</f>
        <v>7169</v>
      </c>
      <c r="B73" s="68" t="s">
        <v>134</v>
      </c>
      <c r="C73" s="42" t="s">
        <v>99</v>
      </c>
      <c r="D73" s="12" t="str">
        <f>VLOOKUP(B73,FVM_update!A:F,6,0)</f>
        <v>Roma</v>
      </c>
      <c r="E73" s="13" t="str">
        <f>VLOOKUP(B73,FVM_update!A:E,4,0)</f>
        <v>Por</v>
      </c>
      <c r="F73" s="11" t="s">
        <v>43</v>
      </c>
      <c r="G73" s="32">
        <v>45839.0</v>
      </c>
      <c r="H73" s="15">
        <f t="shared" si="1"/>
        <v>401768</v>
      </c>
      <c r="I73" s="11" t="s">
        <v>43</v>
      </c>
      <c r="J73" s="16" t="str">
        <f>VLOOKUP(A73,Asteriscati25!B:N,13,0)</f>
        <v>#N/A</v>
      </c>
      <c r="K73" s="17"/>
      <c r="L73" s="18" t="str">
        <f t="shared" si="2"/>
        <v>#REF!</v>
      </c>
      <c r="M73" s="19">
        <f>VLOOKUP(B73,FVM_Asta2526!A:N,14,0)</f>
        <v>1</v>
      </c>
      <c r="N73" s="18">
        <f>VLOOKUP(A73,FVM_update!B:N,13,0)</f>
        <v>1</v>
      </c>
      <c r="O73" s="20" t="str">
        <f>VLOOKUP(B73,'FVM_1luglio-31luglio25'!D:Q,14,0)</f>
        <v>#N/A</v>
      </c>
      <c r="P73" s="20">
        <f t="shared" si="6"/>
        <v>1</v>
      </c>
      <c r="Q73" s="21">
        <f t="shared" si="4"/>
        <v>0.5</v>
      </c>
      <c r="R73" s="21">
        <f t="shared" si="7"/>
        <v>0.5</v>
      </c>
      <c r="S73" s="20"/>
      <c r="T73" s="22"/>
      <c r="U73" s="23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</row>
    <row r="74" ht="22.5" customHeight="1">
      <c r="A74" s="9">
        <f>VLOOKUP(B74,FVM_update!A:B,2,0)</f>
        <v>610</v>
      </c>
      <c r="B74" s="25" t="s">
        <v>135</v>
      </c>
      <c r="C74" s="42" t="s">
        <v>99</v>
      </c>
      <c r="D74" s="12" t="str">
        <f>VLOOKUP(B74,FVM_update!A:F,6,0)</f>
        <v>Roma</v>
      </c>
      <c r="E74" s="13" t="str">
        <f>VLOOKUP(B74,FVM_update!A:E,4,0)</f>
        <v>Por</v>
      </c>
      <c r="F74" s="11" t="s">
        <v>92</v>
      </c>
      <c r="G74" s="14">
        <v>46054.0</v>
      </c>
      <c r="H74" s="15">
        <f t="shared" si="1"/>
        <v>46204</v>
      </c>
      <c r="I74" s="11" t="s">
        <v>93</v>
      </c>
      <c r="J74" s="16" t="str">
        <f>VLOOKUP(A74,Asteriscati25!B:N,13,0)</f>
        <v>#N/A</v>
      </c>
      <c r="K74" s="17"/>
      <c r="L74" s="18" t="str">
        <f t="shared" si="2"/>
        <v>#REF!</v>
      </c>
      <c r="M74" s="19">
        <v>1.0</v>
      </c>
      <c r="N74" s="18">
        <f>VLOOKUP(A74,FVM_update!B:N,13,0)</f>
        <v>1</v>
      </c>
      <c r="O74" s="20">
        <f>VLOOKUP(B74,'FVM_1luglio-31luglio25'!D:Q,14,0)</f>
        <v>19</v>
      </c>
      <c r="P74" s="20">
        <f t="shared" si="6"/>
        <v>1</v>
      </c>
      <c r="Q74" s="21">
        <f t="shared" si="4"/>
        <v>0.5</v>
      </c>
      <c r="R74" s="21">
        <f t="shared" si="7"/>
        <v>0.5</v>
      </c>
      <c r="S74" s="20"/>
      <c r="T74" s="17"/>
      <c r="U74" s="10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</row>
    <row r="75" ht="22.5" customHeight="1">
      <c r="A75" s="9">
        <f>VLOOKUP(B75,FVM_update!A:B,2,0)</f>
        <v>7356</v>
      </c>
      <c r="B75" s="25" t="s">
        <v>136</v>
      </c>
      <c r="C75" s="42" t="s">
        <v>99</v>
      </c>
      <c r="D75" s="12" t="str">
        <f>VLOOKUP(B75,FVM_update!A:F,6,0)</f>
        <v>Udinese</v>
      </c>
      <c r="E75" s="13" t="str">
        <f>VLOOKUP(B75,FVM_update!A:E,4,0)</f>
        <v>Dc</v>
      </c>
      <c r="F75" s="11" t="s">
        <v>92</v>
      </c>
      <c r="G75" s="14">
        <v>46054.0</v>
      </c>
      <c r="H75" s="15">
        <f t="shared" si="1"/>
        <v>46204</v>
      </c>
      <c r="I75" s="11" t="s">
        <v>93</v>
      </c>
      <c r="J75" s="16" t="str">
        <f>VLOOKUP(A75,Asteriscati25!B:N,13,0)</f>
        <v>#N/A</v>
      </c>
      <c r="K75" s="17"/>
      <c r="L75" s="18" t="str">
        <f t="shared" si="2"/>
        <v>#REF!</v>
      </c>
      <c r="M75" s="19">
        <v>8.0</v>
      </c>
      <c r="N75" s="18">
        <f>VLOOKUP(A75,FVM_update!B:N,13,0)</f>
        <v>8</v>
      </c>
      <c r="O75" s="20" t="str">
        <f>VLOOKUP(B75,'FVM_1luglio-31luglio25'!D:Q,14,0)</f>
        <v>#N/A</v>
      </c>
      <c r="P75" s="20">
        <f t="shared" si="6"/>
        <v>8</v>
      </c>
      <c r="Q75" s="21">
        <f t="shared" si="4"/>
        <v>1</v>
      </c>
      <c r="R75" s="21">
        <f t="shared" si="7"/>
        <v>0.5</v>
      </c>
      <c r="S75" s="20"/>
      <c r="T75" s="17"/>
      <c r="U75" s="10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</row>
    <row r="76" ht="22.5" customHeight="1">
      <c r="A76" s="9">
        <f>VLOOKUP(B76,FVM_update!A:B,2,0)</f>
        <v>4137</v>
      </c>
      <c r="B76" s="25" t="s">
        <v>137</v>
      </c>
      <c r="C76" s="42" t="s">
        <v>99</v>
      </c>
      <c r="D76" s="12" t="str">
        <f>VLOOKUP(B76,FVM_update!A:F,6,0)</f>
        <v>Como</v>
      </c>
      <c r="E76" s="13" t="str">
        <f>VLOOKUP(B76,FVM_update!A:E,4,0)</f>
        <v>Dc</v>
      </c>
      <c r="F76" s="11" t="s">
        <v>92</v>
      </c>
      <c r="G76" s="14">
        <v>46054.0</v>
      </c>
      <c r="H76" s="15">
        <f t="shared" si="1"/>
        <v>46204</v>
      </c>
      <c r="I76" s="11" t="s">
        <v>93</v>
      </c>
      <c r="J76" s="16" t="str">
        <f>VLOOKUP(A76,Asteriscati25!B:N,13,0)</f>
        <v>#N/A</v>
      </c>
      <c r="K76" s="17"/>
      <c r="L76" s="18" t="str">
        <f t="shared" si="2"/>
        <v>#REF!</v>
      </c>
      <c r="M76" s="19">
        <v>21.0</v>
      </c>
      <c r="N76" s="18">
        <f>VLOOKUP(A76,FVM_update!B:N,13,0)</f>
        <v>21</v>
      </c>
      <c r="O76" s="20" t="str">
        <f>VLOOKUP(B76,'FVM_1luglio-31luglio25'!D:Q,14,0)</f>
        <v>#N/A</v>
      </c>
      <c r="P76" s="20">
        <f t="shared" si="6"/>
        <v>21</v>
      </c>
      <c r="Q76" s="21">
        <f t="shared" si="4"/>
        <v>2.5</v>
      </c>
      <c r="R76" s="21">
        <f t="shared" si="7"/>
        <v>1.5</v>
      </c>
      <c r="S76" s="20"/>
      <c r="T76" s="17"/>
      <c r="U76" s="10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</row>
    <row r="77" ht="22.5" customHeight="1">
      <c r="A77" s="9">
        <f>VLOOKUP(B77,FVM_update!A:B,2,0)</f>
        <v>554</v>
      </c>
      <c r="B77" s="25" t="s">
        <v>138</v>
      </c>
      <c r="C77" s="42" t="s">
        <v>99</v>
      </c>
      <c r="D77" s="12" t="str">
        <f>VLOOKUP(B77,FVM_update!A:F,6,0)</f>
        <v>Atalanta</v>
      </c>
      <c r="E77" s="13" t="str">
        <f>VLOOKUP(B77,FVM_update!A:E,4,0)</f>
        <v>E</v>
      </c>
      <c r="F77" s="11" t="s">
        <v>92</v>
      </c>
      <c r="G77" s="14">
        <v>46054.0</v>
      </c>
      <c r="H77" s="15">
        <f t="shared" si="1"/>
        <v>46204</v>
      </c>
      <c r="I77" s="11" t="s">
        <v>93</v>
      </c>
      <c r="J77" s="16" t="str">
        <f>VLOOKUP(A77,Asteriscati25!B:N,13,0)</f>
        <v>#N/A</v>
      </c>
      <c r="K77" s="17"/>
      <c r="L77" s="18" t="str">
        <f t="shared" si="2"/>
        <v>#REF!</v>
      </c>
      <c r="M77" s="19">
        <v>20.0</v>
      </c>
      <c r="N77" s="18">
        <f>VLOOKUP(A77,FVM_update!B:N,13,0)</f>
        <v>20</v>
      </c>
      <c r="O77" s="20">
        <f>VLOOKUP(B77,'FVM_1luglio-31luglio25'!D:Q,14,0)</f>
        <v>29</v>
      </c>
      <c r="P77" s="20">
        <f t="shared" si="6"/>
        <v>20</v>
      </c>
      <c r="Q77" s="21">
        <f t="shared" si="4"/>
        <v>2</v>
      </c>
      <c r="R77" s="21">
        <f t="shared" si="7"/>
        <v>1</v>
      </c>
      <c r="S77" s="20"/>
      <c r="T77" s="17"/>
      <c r="U77" s="10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</row>
    <row r="78" ht="22.5" customHeight="1">
      <c r="A78" s="9">
        <f>VLOOKUP(B78,FVM_update!A:B,2,0)</f>
        <v>4947</v>
      </c>
      <c r="B78" s="25" t="s">
        <v>139</v>
      </c>
      <c r="C78" s="42" t="s">
        <v>99</v>
      </c>
      <c r="D78" s="12" t="str">
        <f>VLOOKUP(B78,FVM_update!A:F,6,0)</f>
        <v>Fiorentina</v>
      </c>
      <c r="E78" s="13" t="str">
        <f>VLOOKUP(B78,FVM_update!A:E,4,0)</f>
        <v>C;T</v>
      </c>
      <c r="F78" s="11" t="s">
        <v>92</v>
      </c>
      <c r="G78" s="14">
        <v>46054.0</v>
      </c>
      <c r="H78" s="15">
        <f t="shared" si="1"/>
        <v>46204</v>
      </c>
      <c r="I78" s="11" t="s">
        <v>93</v>
      </c>
      <c r="J78" s="16" t="str">
        <f>VLOOKUP(A78,Asteriscati25!B:N,13,0)</f>
        <v>#N/A</v>
      </c>
      <c r="K78" s="17"/>
      <c r="L78" s="18" t="str">
        <f t="shared" si="2"/>
        <v>#REF!</v>
      </c>
      <c r="M78" s="19">
        <v>28.0</v>
      </c>
      <c r="N78" s="18">
        <f>VLOOKUP(A78,FVM_update!B:N,13,0)</f>
        <v>28</v>
      </c>
      <c r="O78" s="20">
        <f>VLOOKUP(B78,'FVM_1luglio-31luglio25'!D:Q,14,0)</f>
        <v>36</v>
      </c>
      <c r="P78" s="20">
        <f t="shared" si="6"/>
        <v>28</v>
      </c>
      <c r="Q78" s="21">
        <f t="shared" si="4"/>
        <v>3</v>
      </c>
      <c r="R78" s="21">
        <f t="shared" si="7"/>
        <v>1.5</v>
      </c>
      <c r="S78" s="20"/>
      <c r="T78" s="17"/>
      <c r="U78" s="10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</row>
    <row r="79" ht="22.5" customHeight="1">
      <c r="A79" s="9">
        <f>VLOOKUP(B79,FVM_update!A:B,2,0)</f>
        <v>7223</v>
      </c>
      <c r="B79" s="25" t="s">
        <v>140</v>
      </c>
      <c r="C79" s="42" t="s">
        <v>99</v>
      </c>
      <c r="D79" s="12" t="str">
        <f>VLOOKUP(B79,FVM_update!A:F,6,0)</f>
        <v>Napoli</v>
      </c>
      <c r="E79" s="13" t="str">
        <f>VLOOKUP(B79,FVM_update!A:E,4,0)</f>
        <v>W;T</v>
      </c>
      <c r="F79" s="11" t="s">
        <v>141</v>
      </c>
      <c r="G79" s="14">
        <v>46054.0</v>
      </c>
      <c r="H79" s="15">
        <f t="shared" si="1"/>
        <v>46600</v>
      </c>
      <c r="I79" s="11" t="s">
        <v>93</v>
      </c>
      <c r="J79" s="16" t="str">
        <f>VLOOKUP(A79,Asteriscati25!B:N,13,0)</f>
        <v>#N/A</v>
      </c>
      <c r="K79" s="17"/>
      <c r="L79" s="18" t="str">
        <f t="shared" si="2"/>
        <v>#REF!</v>
      </c>
      <c r="M79" s="19">
        <v>23.0</v>
      </c>
      <c r="N79" s="18">
        <f>VLOOKUP(A79,FVM_update!B:N,13,0)</f>
        <v>23</v>
      </c>
      <c r="O79" s="20" t="str">
        <f>VLOOKUP(B79,'FVM_1luglio-31luglio25'!D:Q,14,0)</f>
        <v>#N/A</v>
      </c>
      <c r="P79" s="20">
        <f t="shared" si="6"/>
        <v>23</v>
      </c>
      <c r="Q79" s="21">
        <f t="shared" si="4"/>
        <v>3</v>
      </c>
      <c r="R79" s="21">
        <f t="shared" si="7"/>
        <v>1.5</v>
      </c>
      <c r="S79" s="20"/>
      <c r="T79" s="17"/>
      <c r="U79" s="10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</row>
    <row r="80" ht="22.5" customHeight="1">
      <c r="A80" s="9">
        <f>VLOOKUP(B80,FVM_update!A:B,2,0)</f>
        <v>6575</v>
      </c>
      <c r="B80" s="25" t="s">
        <v>142</v>
      </c>
      <c r="C80" s="42" t="s">
        <v>99</v>
      </c>
      <c r="D80" s="12" t="str">
        <f>VLOOKUP(B80,FVM_update!A:F,6,0)</f>
        <v>Roma</v>
      </c>
      <c r="E80" s="13" t="str">
        <f>VLOOKUP(B80,FVM_update!A:E,4,0)</f>
        <v>W;A</v>
      </c>
      <c r="F80" s="11" t="s">
        <v>141</v>
      </c>
      <c r="G80" s="14">
        <v>46054.0</v>
      </c>
      <c r="H80" s="15">
        <f t="shared" si="1"/>
        <v>46600</v>
      </c>
      <c r="I80" s="11" t="s">
        <v>93</v>
      </c>
      <c r="J80" s="16" t="str">
        <f>VLOOKUP(A80,Asteriscati25!B:N,13,0)</f>
        <v>#N/A</v>
      </c>
      <c r="K80" s="17"/>
      <c r="L80" s="18" t="str">
        <f t="shared" si="2"/>
        <v>#REF!</v>
      </c>
      <c r="M80" s="19">
        <v>15.0</v>
      </c>
      <c r="N80" s="18">
        <f>VLOOKUP(A80,FVM_update!B:N,13,0)</f>
        <v>15</v>
      </c>
      <c r="O80" s="20" t="str">
        <f>VLOOKUP(B80,'FVM_1luglio-31luglio25'!D:Q,14,0)</f>
        <v>#N/A</v>
      </c>
      <c r="P80" s="20">
        <f t="shared" si="6"/>
        <v>15</v>
      </c>
      <c r="Q80" s="21">
        <f t="shared" si="4"/>
        <v>2</v>
      </c>
      <c r="R80" s="21">
        <f t="shared" si="7"/>
        <v>1</v>
      </c>
      <c r="S80" s="20"/>
      <c r="T80" s="17"/>
      <c r="U80" s="10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</row>
    <row r="81" ht="22.5" customHeight="1">
      <c r="A81" s="9">
        <f>VLOOKUP(B81,FVM_update!A:B,2,0)</f>
        <v>6380</v>
      </c>
      <c r="B81" s="25" t="s">
        <v>143</v>
      </c>
      <c r="C81" s="42" t="s">
        <v>99</v>
      </c>
      <c r="D81" s="12" t="str">
        <f>VLOOKUP(B81,FVM_update!A:F,6,0)</f>
        <v>Fiorentina</v>
      </c>
      <c r="E81" s="13" t="str">
        <f>VLOOKUP(B81,FVM_update!A:E,4,0)</f>
        <v>W;A</v>
      </c>
      <c r="F81" s="11" t="s">
        <v>92</v>
      </c>
      <c r="G81" s="14">
        <v>46054.0</v>
      </c>
      <c r="H81" s="15">
        <f t="shared" si="1"/>
        <v>46204</v>
      </c>
      <c r="I81" s="11" t="s">
        <v>93</v>
      </c>
      <c r="J81" s="16" t="str">
        <f>VLOOKUP(A81,Asteriscati25!B:N,13,0)</f>
        <v>#N/A</v>
      </c>
      <c r="K81" s="17"/>
      <c r="L81" s="18" t="str">
        <f t="shared" si="2"/>
        <v>#REF!</v>
      </c>
      <c r="M81" s="19">
        <v>20.0</v>
      </c>
      <c r="N81" s="18">
        <f>VLOOKUP(A81,FVM_update!B:N,13,0)</f>
        <v>20</v>
      </c>
      <c r="O81" s="20" t="str">
        <f>VLOOKUP(B81,'FVM_1luglio-31luglio25'!D:Q,14,0)</f>
        <v>#N/A</v>
      </c>
      <c r="P81" s="20">
        <f t="shared" si="6"/>
        <v>20</v>
      </c>
      <c r="Q81" s="21">
        <f t="shared" si="4"/>
        <v>2</v>
      </c>
      <c r="R81" s="21">
        <f t="shared" si="7"/>
        <v>1</v>
      </c>
      <c r="S81" s="20"/>
      <c r="T81" s="17"/>
      <c r="U81" s="10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</row>
    <row r="82" ht="22.5" customHeight="1">
      <c r="A82" s="9">
        <f>VLOOKUP(B82,FVM_update!A:B,2,0)</f>
        <v>7254</v>
      </c>
      <c r="B82" s="25" t="s">
        <v>144</v>
      </c>
      <c r="C82" s="11" t="s">
        <v>99</v>
      </c>
      <c r="D82" s="12" t="str">
        <f>VLOOKUP(B82,FVM_update!A:F,6,0)</f>
        <v>Pisa</v>
      </c>
      <c r="E82" s="13" t="str">
        <f>VLOOKUP(B82,FVM_update!A:E,4,0)</f>
        <v>T</v>
      </c>
      <c r="F82" s="11" t="s">
        <v>43</v>
      </c>
      <c r="G82" s="14">
        <v>45839.0</v>
      </c>
      <c r="H82" s="15">
        <f t="shared" si="1"/>
        <v>401768</v>
      </c>
      <c r="I82" s="11" t="s">
        <v>46</v>
      </c>
      <c r="J82" s="16" t="str">
        <f>VLOOKUP(A82,Asteriscati25!B:N,13,0)</f>
        <v>#N/A</v>
      </c>
      <c r="K82" s="29">
        <v>0.4</v>
      </c>
      <c r="L82" s="18" t="str">
        <f t="shared" si="2"/>
        <v>#REF!</v>
      </c>
      <c r="M82" s="19">
        <f>VLOOKUP(B82,FVM_Asta2526!A:N,14,0)</f>
        <v>13</v>
      </c>
      <c r="N82" s="18">
        <f>VLOOKUP(A82,FVM_update!B:N,13,0)</f>
        <v>10</v>
      </c>
      <c r="O82" s="20" t="str">
        <f>VLOOKUP(B82,'FVM_1luglio-31luglio25'!D:Q,14,0)</f>
        <v>#N/A</v>
      </c>
      <c r="P82" s="20">
        <f t="shared" si="6"/>
        <v>10</v>
      </c>
      <c r="Q82" s="21">
        <f t="shared" si="4"/>
        <v>1.5</v>
      </c>
      <c r="R82" s="21">
        <f t="shared" si="7"/>
        <v>1</v>
      </c>
      <c r="S82" s="20"/>
      <c r="T82" s="22"/>
      <c r="U82" s="23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</row>
    <row r="83" ht="22.5" customHeight="1">
      <c r="A83" s="9">
        <f>VLOOKUP(B83,FVM_update!A:B,2,0)</f>
        <v>2764</v>
      </c>
      <c r="B83" s="25" t="s">
        <v>145</v>
      </c>
      <c r="C83" s="11" t="s">
        <v>99</v>
      </c>
      <c r="D83" s="12" t="str">
        <f>VLOOKUP(B83,FVM_update!A:F,6,0)</f>
        <v>Inter</v>
      </c>
      <c r="E83" s="13" t="str">
        <f>VLOOKUP(B83,FVM_update!A:E,4,0)</f>
        <v>Pc</v>
      </c>
      <c r="F83" s="17" t="str">
        <f>VLOOKUP(B83,'situazione contratti estate 24'!A:I,9,0)</f>
        <v>Obbligo 1+2</v>
      </c>
      <c r="G83" s="14">
        <v>45108.0</v>
      </c>
      <c r="H83" s="15">
        <f t="shared" si="1"/>
        <v>46204</v>
      </c>
      <c r="I83" s="11" t="s">
        <v>89</v>
      </c>
      <c r="J83" s="16" t="str">
        <f>VLOOKUP(A83,Asteriscati25!B:N,13,0)</f>
        <v>#N/A</v>
      </c>
      <c r="K83" s="26">
        <v>0.4</v>
      </c>
      <c r="L83" s="18" t="str">
        <f t="shared" si="2"/>
        <v>#REF!</v>
      </c>
      <c r="M83" s="19">
        <f>VLOOKUP(B83,FVM_Asta2324!C:M,11,0)</f>
        <v>436</v>
      </c>
      <c r="N83" s="18">
        <f>VLOOKUP(A83,FVM_update!B:N,13,0)</f>
        <v>370</v>
      </c>
      <c r="O83" s="20">
        <f>VLOOKUP(B83,'FVM_1luglio-31luglio25'!D:Q,14,0)</f>
        <v>358</v>
      </c>
      <c r="P83" s="20">
        <f t="shared" si="6"/>
        <v>370</v>
      </c>
      <c r="Q83" s="21">
        <f t="shared" si="4"/>
        <v>50.5</v>
      </c>
      <c r="R83" s="21">
        <f t="shared" si="7"/>
        <v>20.5</v>
      </c>
      <c r="S83" s="20"/>
      <c r="T83" s="22"/>
      <c r="U83" s="23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</row>
    <row r="84" ht="22.5" customHeight="1">
      <c r="A84" s="9">
        <f>VLOOKUP(B84,FVM_update!A:B,2,0)</f>
        <v>1852</v>
      </c>
      <c r="B84" s="10" t="s">
        <v>146</v>
      </c>
      <c r="C84" s="11" t="s">
        <v>99</v>
      </c>
      <c r="D84" s="12" t="str">
        <f>VLOOKUP(B84,FVM_update!A:F,6,0)</f>
        <v>Napoli</v>
      </c>
      <c r="E84" s="13" t="str">
        <f>VLOOKUP(B84,FVM_update!A:E,4,0)</f>
        <v>Ds;E</v>
      </c>
      <c r="F84" s="11" t="s">
        <v>45</v>
      </c>
      <c r="G84" s="14">
        <v>45839.0</v>
      </c>
      <c r="H84" s="15">
        <f t="shared" si="1"/>
        <v>46204</v>
      </c>
      <c r="I84" s="11" t="s">
        <v>89</v>
      </c>
      <c r="J84" s="16" t="str">
        <f>VLOOKUP(A84,Asteriscati25!B:N,13,0)</f>
        <v>#N/A</v>
      </c>
      <c r="K84" s="29">
        <v>0.4</v>
      </c>
      <c r="L84" s="18" t="str">
        <f t="shared" si="2"/>
        <v>#REF!</v>
      </c>
      <c r="M84" s="19">
        <f>VLOOKUP(B84,FVM_Asta2526!A:N,14,0)</f>
        <v>18</v>
      </c>
      <c r="N84" s="18">
        <f>VLOOKUP(A84,FVM_update!B:N,13,0)</f>
        <v>48</v>
      </c>
      <c r="O84" s="20">
        <f>VLOOKUP(B84,'FVM_1luglio-31luglio25'!D:Q,14,0)</f>
        <v>30</v>
      </c>
      <c r="P84" s="20">
        <f t="shared" si="6"/>
        <v>48</v>
      </c>
      <c r="Q84" s="21">
        <f t="shared" si="4"/>
        <v>2</v>
      </c>
      <c r="R84" s="21">
        <f t="shared" si="7"/>
        <v>1</v>
      </c>
      <c r="S84" s="20"/>
      <c r="T84" s="22"/>
      <c r="U84" s="23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</row>
    <row r="85" ht="22.5" customHeight="1">
      <c r="A85" s="9">
        <f>VLOOKUP(B85,FVM_update!A:B,2,0)</f>
        <v>388</v>
      </c>
      <c r="B85" s="10" t="s">
        <v>147</v>
      </c>
      <c r="C85" s="11" t="s">
        <v>148</v>
      </c>
      <c r="D85" s="12" t="str">
        <f>VLOOKUP(B85,FVM_update!A:F,6,0)</f>
        <v>Pisa</v>
      </c>
      <c r="E85" s="13" t="str">
        <f>VLOOKUP(B85,FVM_update!A:E,4,0)</f>
        <v>Dc</v>
      </c>
      <c r="F85" s="11" t="s">
        <v>45</v>
      </c>
      <c r="G85" s="14">
        <v>45839.0</v>
      </c>
      <c r="H85" s="15">
        <f t="shared" si="1"/>
        <v>46204</v>
      </c>
      <c r="I85" s="11" t="s">
        <v>46</v>
      </c>
      <c r="J85" s="16" t="str">
        <f>VLOOKUP(A85,Asteriscati25!B:N,13,0)</f>
        <v>#N/A</v>
      </c>
      <c r="K85" s="17"/>
      <c r="L85" s="18" t="str">
        <f t="shared" si="2"/>
        <v>#REF!</v>
      </c>
      <c r="M85" s="19">
        <f>VLOOKUP(B85,FVM_Asta2526!A:N,14,0)</f>
        <v>10</v>
      </c>
      <c r="N85" s="18">
        <f>VLOOKUP(A85,FVM_update!B:N,13,0)</f>
        <v>9</v>
      </c>
      <c r="O85" s="20" t="str">
        <f>VLOOKUP(B85,'FVM_1luglio-31luglio25'!D:Q,14,0)</f>
        <v>#N/A</v>
      </c>
      <c r="P85" s="20">
        <f t="shared" si="6"/>
        <v>9</v>
      </c>
      <c r="Q85" s="21">
        <f t="shared" si="4"/>
        <v>1</v>
      </c>
      <c r="R85" s="21">
        <f t="shared" si="7"/>
        <v>0.5</v>
      </c>
      <c r="S85" s="20"/>
      <c r="T85" s="17"/>
      <c r="U85" s="10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</row>
    <row r="86" ht="22.5" customHeight="1">
      <c r="A86" s="9">
        <f>VLOOKUP(B86,FVM_update!A:B,2,0)</f>
        <v>4436</v>
      </c>
      <c r="B86" s="10" t="s">
        <v>149</v>
      </c>
      <c r="C86" s="11" t="s">
        <v>148</v>
      </c>
      <c r="D86" s="12" t="str">
        <f>VLOOKUP(B86,FVM_update!A:F,6,0)</f>
        <v>Bologna</v>
      </c>
      <c r="E86" s="13" t="str">
        <f>VLOOKUP(B86,FVM_update!A:E,4,0)</f>
        <v>A</v>
      </c>
      <c r="F86" s="11" t="s">
        <v>55</v>
      </c>
      <c r="G86" s="14">
        <v>45839.0</v>
      </c>
      <c r="H86" s="15">
        <f t="shared" si="1"/>
        <v>46569</v>
      </c>
      <c r="I86" s="11" t="s">
        <v>122</v>
      </c>
      <c r="J86" s="16" t="str">
        <f>VLOOKUP(A86,Asteriscati25!B:N,13,0)</f>
        <v>#N/A</v>
      </c>
      <c r="K86" s="29">
        <v>0.6</v>
      </c>
      <c r="L86" s="18" t="str">
        <f t="shared" si="2"/>
        <v>#REF!</v>
      </c>
      <c r="M86" s="19">
        <f>VLOOKUP(B86,FVM_Asta2526!A:N,14,0)</f>
        <v>25</v>
      </c>
      <c r="N86" s="18">
        <f>VLOOKUP(A86,FVM_update!B:N,13,0)</f>
        <v>28</v>
      </c>
      <c r="O86" s="20">
        <f>VLOOKUP(B86,'FVM_1luglio-31luglio25'!D:Q,14,0)</f>
        <v>20</v>
      </c>
      <c r="P86" s="20">
        <f t="shared" si="6"/>
        <v>28</v>
      </c>
      <c r="Q86" s="21">
        <f t="shared" si="4"/>
        <v>3.5</v>
      </c>
      <c r="R86" s="21">
        <f t="shared" si="7"/>
        <v>2.5</v>
      </c>
      <c r="S86" s="20"/>
      <c r="T86" s="17"/>
      <c r="U86" s="10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</row>
    <row r="87" ht="22.5" customHeight="1">
      <c r="A87" s="9">
        <f>VLOOKUP(B87,FVM_update!A:B,2,0)</f>
        <v>5888</v>
      </c>
      <c r="B87" s="25" t="s">
        <v>150</v>
      </c>
      <c r="C87" s="11" t="s">
        <v>148</v>
      </c>
      <c r="D87" s="12" t="str">
        <f>VLOOKUP(B87,FVM_update!A:F,6,0)</f>
        <v>Torino</v>
      </c>
      <c r="E87" s="13" t="str">
        <f>VLOOKUP(B87,FVM_update!A:E,4,0)</f>
        <v>C;T</v>
      </c>
      <c r="F87" s="11" t="s">
        <v>141</v>
      </c>
      <c r="G87" s="14">
        <v>45689.0</v>
      </c>
      <c r="H87" s="15">
        <f t="shared" si="1"/>
        <v>46235</v>
      </c>
      <c r="I87" s="11" t="s">
        <v>48</v>
      </c>
      <c r="J87" s="16" t="str">
        <f>VLOOKUP(A87,Asteriscati25!B:N,13,0)</f>
        <v>#N/A</v>
      </c>
      <c r="K87" s="29">
        <v>0.0</v>
      </c>
      <c r="L87" s="18" t="str">
        <f t="shared" si="2"/>
        <v>#REF!</v>
      </c>
      <c r="M87" s="19">
        <f>VLOOKUP(B87,FVM_astainv!A:N,14,0)</f>
        <v>26</v>
      </c>
      <c r="N87" s="18">
        <f>VLOOKUP(A87,FVM_update!B:N,13,0)</f>
        <v>21</v>
      </c>
      <c r="O87" s="20" t="str">
        <f>VLOOKUP(B87,'FVM_1luglio-31luglio25'!D:Q,14,0)</f>
        <v>#N/A</v>
      </c>
      <c r="P87" s="20">
        <f t="shared" si="6"/>
        <v>21</v>
      </c>
      <c r="Q87" s="21">
        <f t="shared" si="4"/>
        <v>3</v>
      </c>
      <c r="R87" s="21">
        <f t="shared" si="7"/>
        <v>3</v>
      </c>
      <c r="S87" s="20"/>
      <c r="T87" s="22"/>
      <c r="U87" s="23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</row>
    <row r="88" ht="22.5" customHeight="1">
      <c r="A88" s="9">
        <f>VLOOKUP(B88,FVM_update!A:B,2,0)</f>
        <v>4856</v>
      </c>
      <c r="B88" s="25" t="s">
        <v>151</v>
      </c>
      <c r="C88" s="11" t="s">
        <v>148</v>
      </c>
      <c r="D88" s="12" t="str">
        <f>VLOOKUP(B88,FVM_update!A:F,6,0)</f>
        <v>Milan</v>
      </c>
      <c r="E88" s="13" t="str">
        <f>VLOOKUP(B88,FVM_update!A:E,4,0)</f>
        <v>W</v>
      </c>
      <c r="F88" s="17" t="str">
        <f>VLOOKUP(B88,'situazione contratti estate 24'!A:I,9,0)</f>
        <v>Obbligo 1+2</v>
      </c>
      <c r="G88" s="14">
        <v>45108.0</v>
      </c>
      <c r="H88" s="15">
        <f t="shared" si="1"/>
        <v>46204</v>
      </c>
      <c r="I88" s="11" t="s">
        <v>68</v>
      </c>
      <c r="J88" s="16" t="str">
        <f>VLOOKUP(A88,Asteriscati25!B:N,13,0)</f>
        <v>#N/A</v>
      </c>
      <c r="K88" s="26">
        <v>0.0</v>
      </c>
      <c r="L88" s="18" t="str">
        <f t="shared" si="2"/>
        <v>#REF!</v>
      </c>
      <c r="M88" s="19">
        <f>VLOOKUP(B88,FVM_Asta2324!C:M,11,0)</f>
        <v>75</v>
      </c>
      <c r="N88" s="18">
        <f>VLOOKUP(A88,FVM_update!B:N,13,0)</f>
        <v>9</v>
      </c>
      <c r="O88" s="20">
        <f>VLOOKUP(B88,'FVM_1luglio-31luglio25'!D:Q,14,0)</f>
        <v>22</v>
      </c>
      <c r="P88" s="20">
        <f t="shared" si="6"/>
        <v>9</v>
      </c>
      <c r="Q88" s="21">
        <f t="shared" si="4"/>
        <v>9</v>
      </c>
      <c r="R88" s="21">
        <f t="shared" si="7"/>
        <v>4.5</v>
      </c>
      <c r="S88" s="20"/>
      <c r="T88" s="22"/>
      <c r="U88" s="23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</row>
    <row r="89" ht="22.5" customHeight="1">
      <c r="A89" s="9">
        <f>VLOOKUP(B89,FVM_update!A:B,2,0)</f>
        <v>6642</v>
      </c>
      <c r="B89" s="25" t="s">
        <v>152</v>
      </c>
      <c r="C89" s="11" t="s">
        <v>148</v>
      </c>
      <c r="D89" s="12" t="str">
        <f>VLOOKUP(B89,FVM_update!A:F,6,0)</f>
        <v>Torino</v>
      </c>
      <c r="E89" s="13" t="str">
        <f>VLOOKUP(B89,FVM_update!A:E,4,0)</f>
        <v>Dc</v>
      </c>
      <c r="F89" s="11" t="s">
        <v>55</v>
      </c>
      <c r="G89" s="14">
        <v>45474.0</v>
      </c>
      <c r="H89" s="15">
        <f t="shared" si="1"/>
        <v>46204</v>
      </c>
      <c r="I89" s="11" t="s">
        <v>48</v>
      </c>
      <c r="J89" s="16" t="str">
        <f>VLOOKUP(A89,Asteriscati25!B:N,13,0)</f>
        <v>#N/A</v>
      </c>
      <c r="K89" s="17"/>
      <c r="L89" s="18" t="str">
        <f t="shared" si="2"/>
        <v>#REF!</v>
      </c>
      <c r="M89" s="19">
        <f>VLOOKUP(B89,FVM_Asta2425!A:M,13,0)</f>
        <v>22</v>
      </c>
      <c r="N89" s="18">
        <f>VLOOKUP(A89,FVM_update!B:N,13,0)</f>
        <v>15</v>
      </c>
      <c r="O89" s="20">
        <f>VLOOKUP(B89,'FVM_1luglio-31luglio25'!D:Q,14,0)</f>
        <v>20</v>
      </c>
      <c r="P89" s="20">
        <f t="shared" si="6"/>
        <v>15</v>
      </c>
      <c r="Q89" s="21">
        <f t="shared" si="4"/>
        <v>3</v>
      </c>
      <c r="R89" s="21">
        <f t="shared" si="7"/>
        <v>3</v>
      </c>
      <c r="S89" s="20"/>
      <c r="T89" s="22"/>
      <c r="U89" s="23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</row>
    <row r="90" ht="22.5" customHeight="1">
      <c r="A90" s="9">
        <f>VLOOKUP(B90,FVM_update!A:B,2,0)</f>
        <v>6665</v>
      </c>
      <c r="B90" s="10" t="s">
        <v>153</v>
      </c>
      <c r="C90" s="11" t="s">
        <v>148</v>
      </c>
      <c r="D90" s="12" t="str">
        <f>VLOOKUP(B90,FVM_update!A:F,6,0)</f>
        <v>Sassuolo</v>
      </c>
      <c r="E90" s="13" t="str">
        <f>VLOOKUP(B90,FVM_update!A:E,4,0)</f>
        <v>Dd;Ds;E</v>
      </c>
      <c r="F90" s="11" t="s">
        <v>45</v>
      </c>
      <c r="G90" s="14">
        <v>45839.0</v>
      </c>
      <c r="H90" s="15">
        <f t="shared" si="1"/>
        <v>46204</v>
      </c>
      <c r="I90" s="11" t="s">
        <v>46</v>
      </c>
      <c r="J90" s="16">
        <f>VLOOKUP(A90,Asteriscati25!B:N,13,0)</f>
        <v>13</v>
      </c>
      <c r="K90" s="17"/>
      <c r="L90" s="18" t="str">
        <f t="shared" si="2"/>
        <v>#REF!</v>
      </c>
      <c r="M90" s="19">
        <f>VLOOKUP(B90,FVM_Asta2526!A:N,14,0)</f>
        <v>8</v>
      </c>
      <c r="N90" s="18">
        <f>VLOOKUP(A90,FVM_update!B:N,13,0)</f>
        <v>6</v>
      </c>
      <c r="O90" s="20" t="str">
        <f>VLOOKUP(B90,'FVM_1luglio-31luglio25'!D:Q,14,0)</f>
        <v>#N/A</v>
      </c>
      <c r="P90" s="20">
        <f t="shared" si="6"/>
        <v>6</v>
      </c>
      <c r="Q90" s="21">
        <f t="shared" si="4"/>
        <v>1</v>
      </c>
      <c r="R90" s="21">
        <f t="shared" si="7"/>
        <v>0.5</v>
      </c>
      <c r="S90" s="20"/>
      <c r="T90" s="17"/>
      <c r="U90" s="10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</row>
    <row r="91" ht="22.5" customHeight="1">
      <c r="A91" s="9">
        <f>VLOOKUP(B91,FVM_update!A:B,2,0)</f>
        <v>7276</v>
      </c>
      <c r="B91" s="25" t="s">
        <v>154</v>
      </c>
      <c r="C91" s="11" t="s">
        <v>148</v>
      </c>
      <c r="D91" s="12" t="str">
        <f>VLOOKUP(B91,FVM_update!A:F,6,0)</f>
        <v>Parma</v>
      </c>
      <c r="E91" s="13" t="str">
        <f>VLOOKUP(B91,FVM_update!A:E,4,0)</f>
        <v>C</v>
      </c>
      <c r="F91" s="11" t="s">
        <v>43</v>
      </c>
      <c r="G91" s="32">
        <v>45839.0</v>
      </c>
      <c r="H91" s="15">
        <f t="shared" si="1"/>
        <v>401768</v>
      </c>
      <c r="I91" s="11" t="s">
        <v>43</v>
      </c>
      <c r="J91" s="16" t="str">
        <f>VLOOKUP(A91,Asteriscati25!B:N,13,0)</f>
        <v>#N/A</v>
      </c>
      <c r="K91" s="17"/>
      <c r="L91" s="18" t="str">
        <f t="shared" si="2"/>
        <v>#REF!</v>
      </c>
      <c r="M91" s="19">
        <f>VLOOKUP(B91,FVM_Asta2526!A:N,14,0)</f>
        <v>10</v>
      </c>
      <c r="N91" s="18">
        <f>VLOOKUP(A91,FVM_update!B:N,13,0)</f>
        <v>8</v>
      </c>
      <c r="O91" s="20" t="str">
        <f>VLOOKUP(B91,'FVM_1luglio-31luglio25'!D:Q,14,0)</f>
        <v>#N/A</v>
      </c>
      <c r="P91" s="20">
        <f t="shared" si="6"/>
        <v>8</v>
      </c>
      <c r="Q91" s="21">
        <f t="shared" si="4"/>
        <v>1.5</v>
      </c>
      <c r="R91" s="21">
        <f t="shared" si="7"/>
        <v>0.5</v>
      </c>
      <c r="S91" s="20"/>
      <c r="T91" s="22"/>
      <c r="U91" s="23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</row>
    <row r="92" ht="22.5" customHeight="1">
      <c r="A92" s="9">
        <f>VLOOKUP(B92,FVM_update!A:B,2,0)</f>
        <v>5559</v>
      </c>
      <c r="B92" s="10" t="s">
        <v>155</v>
      </c>
      <c r="C92" s="11" t="s">
        <v>148</v>
      </c>
      <c r="D92" s="12" t="str">
        <f>VLOOKUP(B92,FVM_update!A:F,6,0)</f>
        <v>Como</v>
      </c>
      <c r="E92" s="13" t="str">
        <f>VLOOKUP(B92,FVM_update!A:E,4,0)</f>
        <v>C;W;T</v>
      </c>
      <c r="F92" s="11" t="s">
        <v>45</v>
      </c>
      <c r="G92" s="14">
        <v>45839.0</v>
      </c>
      <c r="H92" s="15">
        <f t="shared" si="1"/>
        <v>46204</v>
      </c>
      <c r="I92" s="11" t="s">
        <v>48</v>
      </c>
      <c r="J92" s="16" t="str">
        <f>VLOOKUP(A92,Asteriscati25!B:N,13,0)</f>
        <v>#N/A</v>
      </c>
      <c r="K92" s="17"/>
      <c r="L92" s="18" t="str">
        <f t="shared" si="2"/>
        <v>#REF!</v>
      </c>
      <c r="M92" s="19">
        <f>VLOOKUP(B92,FVM_Asta2526!A:N,14,0)</f>
        <v>36</v>
      </c>
      <c r="N92" s="18">
        <f>VLOOKUP(A92,FVM_update!B:N,13,0)</f>
        <v>28</v>
      </c>
      <c r="O92" s="20">
        <f>VLOOKUP(B92,'FVM_1luglio-31luglio25'!D:Q,14,0)</f>
        <v>33</v>
      </c>
      <c r="P92" s="20">
        <f t="shared" si="6"/>
        <v>28</v>
      </c>
      <c r="Q92" s="21">
        <f t="shared" si="4"/>
        <v>4</v>
      </c>
      <c r="R92" s="21">
        <f t="shared" si="7"/>
        <v>4</v>
      </c>
      <c r="S92" s="20"/>
      <c r="T92" s="17"/>
      <c r="U92" s="10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</row>
    <row r="93" ht="22.5" customHeight="1">
      <c r="A93" s="9">
        <f>VLOOKUP(B93,FVM_update!A:B,2,0)</f>
        <v>6967</v>
      </c>
      <c r="B93" s="25" t="s">
        <v>156</v>
      </c>
      <c r="C93" s="11" t="s">
        <v>148</v>
      </c>
      <c r="D93" s="12" t="str">
        <f>VLOOKUP(B93,FVM_update!A:F,6,0)</f>
        <v>Como</v>
      </c>
      <c r="E93" s="13" t="str">
        <f>VLOOKUP(B93,FVM_update!A:E,4,0)</f>
        <v>W;A</v>
      </c>
      <c r="F93" s="11" t="s">
        <v>141</v>
      </c>
      <c r="G93" s="14">
        <v>45689.0</v>
      </c>
      <c r="H93" s="15">
        <f t="shared" si="1"/>
        <v>46235</v>
      </c>
      <c r="I93" s="11" t="s">
        <v>48</v>
      </c>
      <c r="J93" s="16" t="str">
        <f>VLOOKUP(A93,Asteriscati25!B:N,13,0)</f>
        <v>#N/A</v>
      </c>
      <c r="K93" s="29">
        <v>0.0</v>
      </c>
      <c r="L93" s="18" t="str">
        <f t="shared" si="2"/>
        <v>#REF!</v>
      </c>
      <c r="M93" s="19">
        <f>VLOOKUP(B93,FVM_astainv!A:N,14,0)</f>
        <v>38</v>
      </c>
      <c r="N93" s="18">
        <f>VLOOKUP(A93,FVM_update!B:N,13,0)</f>
        <v>17</v>
      </c>
      <c r="O93" s="20">
        <f>VLOOKUP(B93,'FVM_1luglio-31luglio25'!D:Q,14,0)</f>
        <v>64</v>
      </c>
      <c r="P93" s="20">
        <f t="shared" si="6"/>
        <v>17</v>
      </c>
      <c r="Q93" s="21">
        <f t="shared" si="4"/>
        <v>4.5</v>
      </c>
      <c r="R93" s="21">
        <f t="shared" si="7"/>
        <v>4.5</v>
      </c>
      <c r="S93" s="20"/>
      <c r="T93" s="22"/>
      <c r="U93" s="23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</row>
    <row r="94" ht="22.5" customHeight="1">
      <c r="A94" s="9">
        <f>VLOOKUP(B94,FVM_update!A:B,2,0)</f>
        <v>787</v>
      </c>
      <c r="B94" s="10" t="s">
        <v>157</v>
      </c>
      <c r="C94" s="11" t="s">
        <v>148</v>
      </c>
      <c r="D94" s="12" t="str">
        <f>VLOOKUP(B94,FVM_update!A:F,6,0)</f>
        <v>Atalanta</v>
      </c>
      <c r="E94" s="13" t="str">
        <f>VLOOKUP(B94,FVM_update!A:E,4,0)</f>
        <v>Dc</v>
      </c>
      <c r="F94" s="11" t="s">
        <v>45</v>
      </c>
      <c r="G94" s="14">
        <v>45839.0</v>
      </c>
      <c r="H94" s="15">
        <f t="shared" si="1"/>
        <v>46204</v>
      </c>
      <c r="I94" s="11" t="s">
        <v>48</v>
      </c>
      <c r="J94" s="16" t="str">
        <f>VLOOKUP(A94,Asteriscati25!B:N,13,0)</f>
        <v>#N/A</v>
      </c>
      <c r="K94" s="17"/>
      <c r="L94" s="18" t="str">
        <f t="shared" si="2"/>
        <v>#REF!</v>
      </c>
      <c r="M94" s="19">
        <f>VLOOKUP(B94,FVM_Asta2526!A:N,14,0)</f>
        <v>15</v>
      </c>
      <c r="N94" s="18">
        <f>VLOOKUP(A94,FVM_update!B:N,13,0)</f>
        <v>15</v>
      </c>
      <c r="O94" s="20">
        <f>VLOOKUP(B94,'FVM_1luglio-31luglio25'!D:Q,14,0)</f>
        <v>19</v>
      </c>
      <c r="P94" s="20">
        <f t="shared" si="6"/>
        <v>15</v>
      </c>
      <c r="Q94" s="21">
        <f t="shared" si="4"/>
        <v>1.5</v>
      </c>
      <c r="R94" s="21">
        <f t="shared" si="7"/>
        <v>1.5</v>
      </c>
      <c r="S94" s="20"/>
      <c r="T94" s="17"/>
      <c r="U94" s="10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</row>
    <row r="95" ht="22.5" customHeight="1">
      <c r="A95" s="9">
        <f>VLOOKUP(B95,FVM_update!A:B,2,0)</f>
        <v>5471</v>
      </c>
      <c r="B95" s="10" t="s">
        <v>158</v>
      </c>
      <c r="C95" s="11" t="s">
        <v>148</v>
      </c>
      <c r="D95" s="12" t="str">
        <f>VLOOKUP(B95,FVM_update!A:F,6,0)</f>
        <v>Cremonese</v>
      </c>
      <c r="E95" s="13" t="str">
        <f>VLOOKUP(B95,FVM_update!A:E,4,0)</f>
        <v>Pc</v>
      </c>
      <c r="F95" s="11" t="s">
        <v>45</v>
      </c>
      <c r="G95" s="14">
        <v>45839.0</v>
      </c>
      <c r="H95" s="15">
        <f t="shared" si="1"/>
        <v>46204</v>
      </c>
      <c r="I95" s="11" t="s">
        <v>46</v>
      </c>
      <c r="J95" s="16" t="str">
        <f>VLOOKUP(A95,Asteriscati25!B:N,13,0)</f>
        <v>#N/A</v>
      </c>
      <c r="K95" s="17"/>
      <c r="L95" s="18" t="str">
        <f t="shared" si="2"/>
        <v>#REF!</v>
      </c>
      <c r="M95" s="19">
        <f>VLOOKUP(B95,FVM_Asta2526!A:N,14,0)</f>
        <v>11</v>
      </c>
      <c r="N95" s="18">
        <f>VLOOKUP(A95,FVM_update!B:N,13,0)</f>
        <v>10</v>
      </c>
      <c r="O95" s="20">
        <f>VLOOKUP(B95,'FVM_1luglio-31luglio25'!D:Q,14,0)</f>
        <v>20</v>
      </c>
      <c r="P95" s="20">
        <f t="shared" si="6"/>
        <v>10</v>
      </c>
      <c r="Q95" s="21">
        <f t="shared" si="4"/>
        <v>1.5</v>
      </c>
      <c r="R95" s="21">
        <f t="shared" si="7"/>
        <v>1</v>
      </c>
      <c r="S95" s="20"/>
      <c r="T95" s="17"/>
      <c r="U95" s="10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</row>
    <row r="96" ht="22.5" customHeight="1">
      <c r="A96" s="9">
        <f>VLOOKUP(B96,FVM_update!A:B,2,0)</f>
        <v>4502</v>
      </c>
      <c r="B96" s="10" t="s">
        <v>159</v>
      </c>
      <c r="C96" s="11" t="s">
        <v>148</v>
      </c>
      <c r="D96" s="12" t="str">
        <f>VLOOKUP(B96,FVM_update!A:F,6,0)</f>
        <v>Lecce</v>
      </c>
      <c r="E96" s="13" t="str">
        <f>VLOOKUP(B96,FVM_update!A:E,4,0)</f>
        <v>Ds;E</v>
      </c>
      <c r="F96" s="11" t="s">
        <v>45</v>
      </c>
      <c r="G96" s="14">
        <v>45839.0</v>
      </c>
      <c r="H96" s="15">
        <f t="shared" si="1"/>
        <v>46204</v>
      </c>
      <c r="I96" s="11" t="s">
        <v>48</v>
      </c>
      <c r="J96" s="16" t="str">
        <f>VLOOKUP(A96,Asteriscati25!B:N,13,0)</f>
        <v>#N/A</v>
      </c>
      <c r="K96" s="17"/>
      <c r="L96" s="18" t="str">
        <f t="shared" si="2"/>
        <v>#REF!</v>
      </c>
      <c r="M96" s="19">
        <f>VLOOKUP(B96,FVM_Asta2526!A:N,14,0)</f>
        <v>15</v>
      </c>
      <c r="N96" s="18">
        <f>VLOOKUP(A96,FVM_update!B:N,13,0)</f>
        <v>13</v>
      </c>
      <c r="O96" s="20">
        <f>VLOOKUP(B96,'FVM_1luglio-31luglio25'!D:Q,14,0)</f>
        <v>11</v>
      </c>
      <c r="P96" s="20">
        <f t="shared" si="6"/>
        <v>13</v>
      </c>
      <c r="Q96" s="21">
        <f t="shared" si="4"/>
        <v>1.5</v>
      </c>
      <c r="R96" s="21">
        <f t="shared" si="7"/>
        <v>1.5</v>
      </c>
      <c r="S96" s="20"/>
      <c r="T96" s="17"/>
      <c r="U96" s="10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</row>
    <row r="97" ht="22.5" customHeight="1">
      <c r="A97" s="9">
        <f>VLOOKUP(B97,FVM_update!A:B,2,0)</f>
        <v>6170</v>
      </c>
      <c r="B97" s="25" t="s">
        <v>160</v>
      </c>
      <c r="C97" s="11" t="s">
        <v>148</v>
      </c>
      <c r="D97" s="12" t="str">
        <f>VLOOKUP(B97,FVM_update!A:F,6,0)</f>
        <v>Torino</v>
      </c>
      <c r="E97" s="13" t="str">
        <f>VLOOKUP(B97,FVM_update!A:E,4,0)</f>
        <v>C</v>
      </c>
      <c r="F97" s="11" t="s">
        <v>59</v>
      </c>
      <c r="G97" s="14">
        <v>45474.0</v>
      </c>
      <c r="H97" s="15">
        <f t="shared" si="1"/>
        <v>46569</v>
      </c>
      <c r="I97" s="11" t="s">
        <v>65</v>
      </c>
      <c r="J97" s="16" t="str">
        <f>VLOOKUP(A97,Asteriscati25!B:N,13,0)</f>
        <v>#N/A</v>
      </c>
      <c r="K97" s="17"/>
      <c r="L97" s="18" t="str">
        <f t="shared" si="2"/>
        <v>#REF!</v>
      </c>
      <c r="M97" s="19">
        <f>VLOOKUP(B97,FVM_Asta2425!A:M,13,0)</f>
        <v>10</v>
      </c>
      <c r="N97" s="18">
        <f>VLOOKUP(A97,FVM_update!B:N,13,0)</f>
        <v>11</v>
      </c>
      <c r="O97" s="20">
        <f>VLOOKUP(B97,'FVM_1luglio-31luglio25'!D:Q,14,0)</f>
        <v>12</v>
      </c>
      <c r="P97" s="20">
        <f t="shared" si="6"/>
        <v>11</v>
      </c>
      <c r="Q97" s="21">
        <f t="shared" si="4"/>
        <v>1.5</v>
      </c>
      <c r="R97" s="21">
        <f t="shared" si="7"/>
        <v>1.5</v>
      </c>
      <c r="S97" s="20"/>
      <c r="T97" s="22"/>
      <c r="U97" s="23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</row>
    <row r="98" ht="22.5" customHeight="1">
      <c r="A98" s="9">
        <f>VLOOKUP(B98,FVM_update!A:B,2,0)</f>
        <v>7179</v>
      </c>
      <c r="B98" s="10" t="s">
        <v>161</v>
      </c>
      <c r="C98" s="11" t="s">
        <v>148</v>
      </c>
      <c r="D98" s="12" t="str">
        <f>VLOOKUP(B98,FVM_update!A:F,6,0)</f>
        <v>Torino</v>
      </c>
      <c r="E98" s="13" t="str">
        <f>VLOOKUP(B98,FVM_update!A:E,4,0)</f>
        <v>Por</v>
      </c>
      <c r="F98" s="11" t="s">
        <v>45</v>
      </c>
      <c r="G98" s="14">
        <v>45839.0</v>
      </c>
      <c r="H98" s="15">
        <f t="shared" si="1"/>
        <v>46204</v>
      </c>
      <c r="I98" s="11" t="s">
        <v>48</v>
      </c>
      <c r="J98" s="16" t="str">
        <f>VLOOKUP(A98,Asteriscati25!B:N,13,0)</f>
        <v>#N/A</v>
      </c>
      <c r="K98" s="17"/>
      <c r="L98" s="18" t="str">
        <f t="shared" si="2"/>
        <v>#REF!</v>
      </c>
      <c r="M98" s="19">
        <f>VLOOKUP(B98,FVM_Asta2526!A:N,14,0)</f>
        <v>33</v>
      </c>
      <c r="N98" s="18">
        <f>VLOOKUP(A98,FVM_update!B:N,13,0)</f>
        <v>1</v>
      </c>
      <c r="O98" s="20" t="str">
        <f>VLOOKUP(B98,'FVM_1luglio-31luglio25'!D:Q,14,0)</f>
        <v>#N/A</v>
      </c>
      <c r="P98" s="20">
        <f t="shared" si="6"/>
        <v>1</v>
      </c>
      <c r="Q98" s="21">
        <f t="shared" si="4"/>
        <v>3.5</v>
      </c>
      <c r="R98" s="21">
        <f t="shared" si="7"/>
        <v>3.5</v>
      </c>
      <c r="S98" s="20"/>
      <c r="T98" s="17"/>
      <c r="U98" s="10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</row>
    <row r="99" ht="22.5" customHeight="1">
      <c r="A99" s="9" t="str">
        <f>VLOOKUP(B99,FVM_update!A:B,2,0)</f>
        <v>#N/A</v>
      </c>
      <c r="B99" s="25" t="s">
        <v>162</v>
      </c>
      <c r="C99" s="11" t="s">
        <v>148</v>
      </c>
      <c r="D99" s="12" t="str">
        <f>VLOOKUP(B99,FVM_update!A:F,6,0)</f>
        <v>#N/A</v>
      </c>
      <c r="E99" s="13" t="str">
        <f>VLOOKUP(B99,FVM_update!A:E,4,0)</f>
        <v>#N/A</v>
      </c>
      <c r="F99" s="11" t="s">
        <v>43</v>
      </c>
      <c r="G99" s="14">
        <v>45474.0</v>
      </c>
      <c r="H99" s="15">
        <f t="shared" si="1"/>
        <v>401768</v>
      </c>
      <c r="I99" s="11" t="s">
        <v>43</v>
      </c>
      <c r="J99" s="16" t="str">
        <f>VLOOKUP(A99,Asteriscati25!B:N,13,0)</f>
        <v>#N/A</v>
      </c>
      <c r="K99" s="29">
        <v>0.0</v>
      </c>
      <c r="L99" s="18" t="str">
        <f t="shared" si="2"/>
        <v>#REF!</v>
      </c>
      <c r="M99" s="19">
        <f>VLOOKUP(B99,FVM_Asta2425!A:M,13,0)</f>
        <v>1</v>
      </c>
      <c r="N99" s="18" t="str">
        <f>VLOOKUP(A99,FVM_update!B:N,13,0)</f>
        <v>#N/A</v>
      </c>
      <c r="O99" s="20" t="str">
        <f>VLOOKUP(B99,'FVM_1luglio-31luglio25'!D:Q,14,0)</f>
        <v>#N/A</v>
      </c>
      <c r="P99" s="9">
        <v>0.0</v>
      </c>
      <c r="Q99" s="21">
        <f t="shared" si="4"/>
        <v>0.5</v>
      </c>
      <c r="R99" s="21">
        <f t="shared" si="7"/>
        <v>0.5</v>
      </c>
      <c r="S99" s="20"/>
      <c r="T99" s="11" t="s">
        <v>99</v>
      </c>
      <c r="U99" s="10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</row>
    <row r="100" ht="22.5" customHeight="1">
      <c r="A100" s="9">
        <f>VLOOKUP(B100,FVM_update!A:B,2,0)</f>
        <v>7128</v>
      </c>
      <c r="B100" s="10" t="s">
        <v>163</v>
      </c>
      <c r="C100" s="11" t="s">
        <v>148</v>
      </c>
      <c r="D100" s="12" t="str">
        <f>VLOOKUP(B100,FVM_update!A:F,6,0)</f>
        <v>Como</v>
      </c>
      <c r="E100" s="13" t="str">
        <f>VLOOKUP(B100,FVM_update!A:E,4,0)</f>
        <v>W;A</v>
      </c>
      <c r="F100" s="11" t="s">
        <v>45</v>
      </c>
      <c r="G100" s="14">
        <v>45839.0</v>
      </c>
      <c r="H100" s="15">
        <f t="shared" si="1"/>
        <v>46204</v>
      </c>
      <c r="I100" s="11" t="s">
        <v>122</v>
      </c>
      <c r="J100" s="16" t="str">
        <f>VLOOKUP(A100,Asteriscati25!B:N,13,0)</f>
        <v>#N/A</v>
      </c>
      <c r="K100" s="29">
        <v>0.6</v>
      </c>
      <c r="L100" s="18" t="str">
        <f t="shared" si="2"/>
        <v>#REF!</v>
      </c>
      <c r="M100" s="19">
        <f>VLOOKUP(B100,FVM_Asta2526!A:N,14,0)</f>
        <v>38</v>
      </c>
      <c r="N100" s="18">
        <f>VLOOKUP(A100,FVM_update!B:N,13,0)</f>
        <v>14</v>
      </c>
      <c r="O100" s="20" t="str">
        <f>VLOOKUP(B100,'FVM_1luglio-31luglio25'!D:Q,14,0)</f>
        <v>#N/A</v>
      </c>
      <c r="P100" s="20">
        <f t="shared" ref="P100:P142" si="8">IFERROR(N100,O100)</f>
        <v>14</v>
      </c>
      <c r="Q100" s="21">
        <f t="shared" si="4"/>
        <v>4</v>
      </c>
      <c r="R100" s="21">
        <f t="shared" si="7"/>
        <v>2.5</v>
      </c>
      <c r="S100" s="20"/>
      <c r="T100" s="17"/>
      <c r="U100" s="10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</row>
    <row r="101" ht="22.5" customHeight="1">
      <c r="A101" s="9">
        <f>VLOOKUP(B101,FVM_update!A:B,2,0)</f>
        <v>6215</v>
      </c>
      <c r="B101" s="10" t="s">
        <v>164</v>
      </c>
      <c r="C101" s="11" t="s">
        <v>148</v>
      </c>
      <c r="D101" s="12" t="str">
        <f>VLOOKUP(B101,FVM_update!A:F,6,0)</f>
        <v>Napoli</v>
      </c>
      <c r="E101" s="13" t="str">
        <f>VLOOKUP(B101,FVM_update!A:E,4,0)</f>
        <v>Pc</v>
      </c>
      <c r="F101" s="11" t="s">
        <v>45</v>
      </c>
      <c r="G101" s="14">
        <v>45839.0</v>
      </c>
      <c r="H101" s="15">
        <f t="shared" si="1"/>
        <v>46204</v>
      </c>
      <c r="I101" s="11" t="s">
        <v>46</v>
      </c>
      <c r="J101" s="16" t="str">
        <f>VLOOKUP(A101,Asteriscati25!B:N,13,0)</f>
        <v>#N/A</v>
      </c>
      <c r="K101" s="17"/>
      <c r="L101" s="18" t="str">
        <f t="shared" si="2"/>
        <v>#REF!</v>
      </c>
      <c r="M101" s="19">
        <f>VLOOKUP(B101,FVM_Asta2526!A:N,14,0)</f>
        <v>72</v>
      </c>
      <c r="N101" s="18">
        <f>VLOOKUP(A101,FVM_update!B:N,13,0)</f>
        <v>10</v>
      </c>
      <c r="O101" s="20">
        <f>VLOOKUP(B101,'FVM_1luglio-31luglio25'!D:Q,14,0)</f>
        <v>78</v>
      </c>
      <c r="P101" s="20">
        <f t="shared" si="8"/>
        <v>10</v>
      </c>
      <c r="Q101" s="21">
        <f t="shared" si="4"/>
        <v>7.5</v>
      </c>
      <c r="R101" s="21">
        <f t="shared" si="7"/>
        <v>4</v>
      </c>
      <c r="S101" s="20"/>
      <c r="T101" s="17"/>
      <c r="U101" s="10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</row>
    <row r="102" ht="22.5" customHeight="1">
      <c r="A102" s="9">
        <f>VLOOKUP(B102,FVM_update!A:B,2,0)</f>
        <v>2531</v>
      </c>
      <c r="B102" s="10" t="s">
        <v>165</v>
      </c>
      <c r="C102" s="11" t="s">
        <v>148</v>
      </c>
      <c r="D102" s="12" t="str">
        <f>VLOOKUP(B102,FVM_update!A:F,6,0)</f>
        <v>Napoli</v>
      </c>
      <c r="E102" s="13" t="str">
        <f>VLOOKUP(B102,FVM_update!A:E,4,0)</f>
        <v>Pc</v>
      </c>
      <c r="F102" s="11" t="s">
        <v>45</v>
      </c>
      <c r="G102" s="14">
        <v>45839.0</v>
      </c>
      <c r="H102" s="15">
        <f t="shared" si="1"/>
        <v>46204</v>
      </c>
      <c r="I102" s="11" t="s">
        <v>48</v>
      </c>
      <c r="J102" s="16" t="str">
        <f>VLOOKUP(A102,Asteriscati25!B:N,13,0)</f>
        <v>#N/A</v>
      </c>
      <c r="K102" s="17"/>
      <c r="L102" s="18" t="str">
        <f t="shared" si="2"/>
        <v>#REF!</v>
      </c>
      <c r="M102" s="19">
        <f>VLOOKUP(B102,FVM_Asta2526!A:N,14,0)</f>
        <v>120</v>
      </c>
      <c r="N102" s="18">
        <f>VLOOKUP(A102,FVM_update!B:N,13,0)</f>
        <v>52</v>
      </c>
      <c r="O102" s="20">
        <f>VLOOKUP(B102,'FVM_1luglio-31luglio25'!D:Q,14,0)</f>
        <v>356</v>
      </c>
      <c r="P102" s="20">
        <f t="shared" si="8"/>
        <v>52</v>
      </c>
      <c r="Q102" s="21">
        <f t="shared" si="4"/>
        <v>12</v>
      </c>
      <c r="R102" s="21">
        <f t="shared" si="7"/>
        <v>12</v>
      </c>
      <c r="S102" s="20"/>
      <c r="T102" s="17"/>
      <c r="U102" s="10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</row>
    <row r="103" ht="22.5" customHeight="1">
      <c r="A103" s="9">
        <f>VLOOKUP(B103,FVM_update!A:B,2,0)</f>
        <v>2606</v>
      </c>
      <c r="B103" s="10" t="s">
        <v>166</v>
      </c>
      <c r="C103" s="11" t="s">
        <v>148</v>
      </c>
      <c r="D103" s="12" t="str">
        <f>VLOOKUP(B103,FVM_update!A:F,6,0)</f>
        <v>Milan</v>
      </c>
      <c r="E103" s="13" t="str">
        <f>VLOOKUP(B103,FVM_update!A:E,4,0)</f>
        <v>C</v>
      </c>
      <c r="F103" s="11" t="s">
        <v>45</v>
      </c>
      <c r="G103" s="14">
        <v>45839.0</v>
      </c>
      <c r="H103" s="15">
        <f t="shared" si="1"/>
        <v>46204</v>
      </c>
      <c r="I103" s="11" t="s">
        <v>48</v>
      </c>
      <c r="J103" s="16" t="str">
        <f>VLOOKUP(A103,Asteriscati25!B:N,13,0)</f>
        <v>#N/A</v>
      </c>
      <c r="K103" s="17"/>
      <c r="L103" s="18" t="str">
        <f t="shared" si="2"/>
        <v>#REF!</v>
      </c>
      <c r="M103" s="19">
        <f>VLOOKUP(B103,FVM_Asta2526!A:N,14,0)</f>
        <v>42</v>
      </c>
      <c r="N103" s="18">
        <f>VLOOKUP(A103,FVM_update!B:N,13,0)</f>
        <v>78</v>
      </c>
      <c r="O103" s="20" t="str">
        <f>VLOOKUP(B103,'FVM_1luglio-31luglio25'!D:Q,14,0)</f>
        <v>#N/A</v>
      </c>
      <c r="P103" s="20">
        <f t="shared" si="8"/>
        <v>78</v>
      </c>
      <c r="Q103" s="21">
        <f t="shared" si="4"/>
        <v>4.5</v>
      </c>
      <c r="R103" s="21">
        <f t="shared" si="7"/>
        <v>4.5</v>
      </c>
      <c r="S103" s="20"/>
      <c r="T103" s="17"/>
      <c r="U103" s="10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</row>
    <row r="104" ht="22.5" customHeight="1">
      <c r="A104" s="9">
        <f>VLOOKUP(B104,FVM_update!A:B,2,0)</f>
        <v>7155</v>
      </c>
      <c r="B104" s="10" t="s">
        <v>167</v>
      </c>
      <c r="C104" s="11" t="s">
        <v>148</v>
      </c>
      <c r="D104" s="12" t="str">
        <f>VLOOKUP(B104,FVM_update!A:F,6,0)</f>
        <v>Sassuolo</v>
      </c>
      <c r="E104" s="13" t="str">
        <f>VLOOKUP(B104,FVM_update!A:E,4,0)</f>
        <v>Dc</v>
      </c>
      <c r="F104" s="11" t="s">
        <v>59</v>
      </c>
      <c r="G104" s="14">
        <v>45839.0</v>
      </c>
      <c r="H104" s="15">
        <f t="shared" si="1"/>
        <v>46935</v>
      </c>
      <c r="I104" s="11" t="s">
        <v>48</v>
      </c>
      <c r="J104" s="16" t="str">
        <f>VLOOKUP(A104,Asteriscati25!B:N,13,0)</f>
        <v>#N/A</v>
      </c>
      <c r="K104" s="17"/>
      <c r="L104" s="18" t="str">
        <f t="shared" si="2"/>
        <v>#REF!</v>
      </c>
      <c r="M104" s="19">
        <f>VLOOKUP(B104,FVM_Asta2526!A:N,14,0)</f>
        <v>12</v>
      </c>
      <c r="N104" s="18">
        <f>VLOOKUP(A104,FVM_update!B:N,13,0)</f>
        <v>20</v>
      </c>
      <c r="O104" s="20" t="str">
        <f>VLOOKUP(B104,'FVM_1luglio-31luglio25'!D:Q,14,0)</f>
        <v>#N/A</v>
      </c>
      <c r="P104" s="20">
        <f t="shared" si="8"/>
        <v>20</v>
      </c>
      <c r="Q104" s="21">
        <f t="shared" si="4"/>
        <v>1.5</v>
      </c>
      <c r="R104" s="21">
        <f t="shared" si="7"/>
        <v>1.5</v>
      </c>
      <c r="S104" s="20"/>
      <c r="T104" s="17"/>
      <c r="U104" s="10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</row>
    <row r="105" ht="22.5" customHeight="1">
      <c r="A105" s="9">
        <f>VLOOKUP(B105,FVM_update!A:B,2,0)</f>
        <v>6814</v>
      </c>
      <c r="B105" s="10" t="s">
        <v>168</v>
      </c>
      <c r="C105" s="11" t="s">
        <v>148</v>
      </c>
      <c r="D105" s="12" t="str">
        <f>VLOOKUP(B105,FVM_update!A:F,6,0)</f>
        <v>Genoa</v>
      </c>
      <c r="E105" s="13" t="str">
        <f>VLOOKUP(B105,FVM_update!A:E,4,0)</f>
        <v>Dd;E</v>
      </c>
      <c r="F105" s="11" t="s">
        <v>45</v>
      </c>
      <c r="G105" s="14">
        <v>45839.0</v>
      </c>
      <c r="H105" s="15">
        <f t="shared" si="1"/>
        <v>46204</v>
      </c>
      <c r="I105" s="11" t="s">
        <v>48</v>
      </c>
      <c r="J105" s="16" t="str">
        <f>VLOOKUP(A105,Asteriscati25!B:N,13,0)</f>
        <v>#N/A</v>
      </c>
      <c r="K105" s="17"/>
      <c r="L105" s="18" t="str">
        <f t="shared" si="2"/>
        <v>#REF!</v>
      </c>
      <c r="M105" s="19">
        <f>VLOOKUP(B105,FVM_Asta2526!A:N,14,0)</f>
        <v>11</v>
      </c>
      <c r="N105" s="18">
        <f>VLOOKUP(A105,FVM_update!B:N,13,0)</f>
        <v>16</v>
      </c>
      <c r="O105" s="20">
        <f>VLOOKUP(B105,'FVM_1luglio-31luglio25'!D:Q,14,0)</f>
        <v>5</v>
      </c>
      <c r="P105" s="20">
        <f t="shared" si="8"/>
        <v>16</v>
      </c>
      <c r="Q105" s="21">
        <f t="shared" si="4"/>
        <v>1.5</v>
      </c>
      <c r="R105" s="21">
        <f t="shared" si="7"/>
        <v>1.5</v>
      </c>
      <c r="S105" s="20"/>
      <c r="T105" s="17"/>
      <c r="U105" s="10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</row>
    <row r="106" ht="22.5" customHeight="1">
      <c r="A106" s="9">
        <f>VLOOKUP(B106,FVM_update!A:B,2,0)</f>
        <v>7023</v>
      </c>
      <c r="B106" s="10" t="s">
        <v>169</v>
      </c>
      <c r="C106" s="11" t="s">
        <v>148</v>
      </c>
      <c r="D106" s="12" t="str">
        <f>VLOOKUP(B106,FVM_update!A:F,6,0)</f>
        <v>Parma</v>
      </c>
      <c r="E106" s="13" t="str">
        <f>VLOOKUP(B106,FVM_update!A:E,4,0)</f>
        <v>Pc</v>
      </c>
      <c r="F106" s="11" t="s">
        <v>59</v>
      </c>
      <c r="G106" s="14">
        <v>45839.0</v>
      </c>
      <c r="H106" s="15">
        <f t="shared" si="1"/>
        <v>46935</v>
      </c>
      <c r="I106" s="11" t="s">
        <v>48</v>
      </c>
      <c r="J106" s="16" t="str">
        <f>VLOOKUP(A106,Asteriscati25!B:N,13,0)</f>
        <v>#N/A</v>
      </c>
      <c r="K106" s="17"/>
      <c r="L106" s="18" t="str">
        <f t="shared" si="2"/>
        <v>#REF!</v>
      </c>
      <c r="M106" s="19">
        <f>VLOOKUP(B106,FVM_Asta2526!A:N,14,0)</f>
        <v>67</v>
      </c>
      <c r="N106" s="18">
        <f>VLOOKUP(A106,FVM_update!B:N,13,0)</f>
        <v>69</v>
      </c>
      <c r="O106" s="20">
        <f>VLOOKUP(B106,'FVM_1luglio-31luglio25'!D:Q,14,0)</f>
        <v>12</v>
      </c>
      <c r="P106" s="20">
        <f t="shared" si="8"/>
        <v>69</v>
      </c>
      <c r="Q106" s="21">
        <f t="shared" si="4"/>
        <v>8</v>
      </c>
      <c r="R106" s="21">
        <f t="shared" si="7"/>
        <v>8</v>
      </c>
      <c r="S106" s="20"/>
      <c r="T106" s="17"/>
      <c r="U106" s="10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</row>
    <row r="107" ht="22.5" customHeight="1">
      <c r="A107" s="9">
        <f>VLOOKUP(B107,FVM_update!A:B,2,0)</f>
        <v>6424</v>
      </c>
      <c r="B107" s="10" t="s">
        <v>170</v>
      </c>
      <c r="C107" s="11" t="s">
        <v>148</v>
      </c>
      <c r="D107" s="12" t="str">
        <f>VLOOKUP(B107,FVM_update!A:F,6,0)</f>
        <v>Torino</v>
      </c>
      <c r="E107" s="13" t="str">
        <f>VLOOKUP(B107,FVM_update!A:E,4,0)</f>
        <v>M;C</v>
      </c>
      <c r="F107" s="11" t="s">
        <v>45</v>
      </c>
      <c r="G107" s="14">
        <v>45839.0</v>
      </c>
      <c r="H107" s="15">
        <f t="shared" si="1"/>
        <v>46204</v>
      </c>
      <c r="I107" s="11" t="s">
        <v>48</v>
      </c>
      <c r="J107" s="16" t="str">
        <f>VLOOKUP(A107,Asteriscati25!B:N,13,0)</f>
        <v>#N/A</v>
      </c>
      <c r="K107" s="17"/>
      <c r="L107" s="18" t="str">
        <f t="shared" si="2"/>
        <v>#REF!</v>
      </c>
      <c r="M107" s="19">
        <f>VLOOKUP(B107,FVM_Asta2526!A:N,14,0)</f>
        <v>16</v>
      </c>
      <c r="N107" s="18">
        <f>VLOOKUP(A107,FVM_update!B:N,13,0)</f>
        <v>15</v>
      </c>
      <c r="O107" s="20">
        <f>VLOOKUP(B107,'FVM_1luglio-31luglio25'!D:Q,14,0)</f>
        <v>14</v>
      </c>
      <c r="P107" s="20">
        <f t="shared" si="8"/>
        <v>15</v>
      </c>
      <c r="Q107" s="21">
        <f t="shared" si="4"/>
        <v>2</v>
      </c>
      <c r="R107" s="21">
        <f t="shared" si="7"/>
        <v>2</v>
      </c>
      <c r="S107" s="20"/>
      <c r="T107" s="17"/>
      <c r="U107" s="10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</row>
    <row r="108" ht="22.5" customHeight="1">
      <c r="A108" s="9">
        <f>VLOOKUP(B108,FVM_update!A:B,2,0)</f>
        <v>6869</v>
      </c>
      <c r="B108" s="10" t="s">
        <v>171</v>
      </c>
      <c r="C108" s="11" t="s">
        <v>148</v>
      </c>
      <c r="D108" s="12" t="str">
        <f>VLOOKUP(B108,FVM_update!A:F,6,0)</f>
        <v>Como</v>
      </c>
      <c r="E108" s="13" t="str">
        <f>VLOOKUP(B108,FVM_update!A:E,4,0)</f>
        <v>Dc</v>
      </c>
      <c r="F108" s="11" t="s">
        <v>59</v>
      </c>
      <c r="G108" s="14">
        <v>45839.0</v>
      </c>
      <c r="H108" s="15">
        <f t="shared" si="1"/>
        <v>46935</v>
      </c>
      <c r="I108" s="11" t="s">
        <v>126</v>
      </c>
      <c r="J108" s="16" t="str">
        <f>VLOOKUP(A108,Asteriscati25!B:N,13,0)</f>
        <v>#N/A</v>
      </c>
      <c r="K108" s="67">
        <v>1.0</v>
      </c>
      <c r="L108" s="18" t="str">
        <f t="shared" si="2"/>
        <v>#REF!</v>
      </c>
      <c r="M108" s="19">
        <f>VLOOKUP(B108,FVM_Asta2526!A:N,14,0)</f>
        <v>13</v>
      </c>
      <c r="N108" s="18">
        <f>VLOOKUP(A108,FVM_update!B:N,13,0)</f>
        <v>28</v>
      </c>
      <c r="O108" s="20" t="str">
        <f>VLOOKUP(B108,'FVM_1luglio-31luglio25'!D:Q,14,0)</f>
        <v>#N/A</v>
      </c>
      <c r="P108" s="20">
        <f t="shared" si="8"/>
        <v>28</v>
      </c>
      <c r="Q108" s="21">
        <f t="shared" si="4"/>
        <v>1.5</v>
      </c>
      <c r="R108" s="21">
        <f t="shared" si="7"/>
        <v>1.5</v>
      </c>
      <c r="S108" s="20"/>
      <c r="T108" s="11" t="s">
        <v>172</v>
      </c>
      <c r="U108" s="23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</row>
    <row r="109" ht="22.5" customHeight="1">
      <c r="A109" s="9">
        <f>VLOOKUP(B109,FVM_update!A:B,2,0)</f>
        <v>7129</v>
      </c>
      <c r="B109" s="10" t="s">
        <v>173</v>
      </c>
      <c r="C109" s="11" t="s">
        <v>148</v>
      </c>
      <c r="D109" s="12" t="str">
        <f>VLOOKUP(B109,FVM_update!A:F,6,0)</f>
        <v>Como</v>
      </c>
      <c r="E109" s="13" t="str">
        <f>VLOOKUP(B109,FVM_update!A:E,4,0)</f>
        <v>W;A</v>
      </c>
      <c r="F109" s="11" t="s">
        <v>59</v>
      </c>
      <c r="G109" s="14">
        <v>45839.0</v>
      </c>
      <c r="H109" s="15">
        <f t="shared" si="1"/>
        <v>46935</v>
      </c>
      <c r="I109" s="11" t="s">
        <v>48</v>
      </c>
      <c r="J109" s="16" t="str">
        <f>VLOOKUP(A109,Asteriscati25!B:N,13,0)</f>
        <v>#N/A</v>
      </c>
      <c r="K109" s="17"/>
      <c r="L109" s="18" t="str">
        <f t="shared" si="2"/>
        <v>#REF!</v>
      </c>
      <c r="M109" s="19">
        <f>VLOOKUP(B109,FVM_Asta2526!A:N,14,0)</f>
        <v>21</v>
      </c>
      <c r="N109" s="18">
        <f>VLOOKUP(A109,FVM_update!B:N,13,0)</f>
        <v>25</v>
      </c>
      <c r="O109" s="20" t="str">
        <f>VLOOKUP(B109,'FVM_1luglio-31luglio25'!D:Q,14,0)</f>
        <v>#N/A</v>
      </c>
      <c r="P109" s="20">
        <f t="shared" si="8"/>
        <v>25</v>
      </c>
      <c r="Q109" s="21">
        <f t="shared" si="4"/>
        <v>2.5</v>
      </c>
      <c r="R109" s="21">
        <f t="shared" si="7"/>
        <v>2.5</v>
      </c>
      <c r="S109" s="20"/>
      <c r="T109" s="17"/>
      <c r="U109" s="10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</row>
    <row r="110" ht="22.5" customHeight="1">
      <c r="A110" s="9">
        <f>VLOOKUP(B110,FVM_update!A:B,2,0)</f>
        <v>6803</v>
      </c>
      <c r="B110" s="25" t="s">
        <v>174</v>
      </c>
      <c r="C110" s="11" t="s">
        <v>148</v>
      </c>
      <c r="D110" s="12" t="str">
        <f>VLOOKUP(B110,FVM_update!A:F,6,0)</f>
        <v>Juventus</v>
      </c>
      <c r="E110" s="13" t="str">
        <f>VLOOKUP(B110,FVM_update!A:E,4,0)</f>
        <v>Ds;E</v>
      </c>
      <c r="F110" s="11" t="s">
        <v>43</v>
      </c>
      <c r="G110" s="14">
        <v>45474.0</v>
      </c>
      <c r="H110" s="15">
        <f t="shared" si="1"/>
        <v>401768</v>
      </c>
      <c r="I110" s="11" t="s">
        <v>43</v>
      </c>
      <c r="J110" s="16" t="str">
        <f>VLOOKUP(A110,Asteriscati25!B:N,13,0)</f>
        <v>#N/A</v>
      </c>
      <c r="K110" s="29">
        <v>0.0</v>
      </c>
      <c r="L110" s="18" t="str">
        <f t="shared" si="2"/>
        <v>#REF!</v>
      </c>
      <c r="M110" s="19">
        <f>VLOOKUP(B110,FVM_Asta2425!A:M,13,0)</f>
        <v>1</v>
      </c>
      <c r="N110" s="18">
        <f>VLOOKUP(A110,FVM_update!B:N,13,0)</f>
        <v>4</v>
      </c>
      <c r="O110" s="20">
        <f>VLOOKUP(B110,'FVM_1luglio-31luglio25'!D:Q,14,0)</f>
        <v>3</v>
      </c>
      <c r="P110" s="20">
        <f t="shared" si="8"/>
        <v>4</v>
      </c>
      <c r="Q110" s="21">
        <f t="shared" si="4"/>
        <v>0.5</v>
      </c>
      <c r="R110" s="21">
        <f t="shared" si="7"/>
        <v>0.5</v>
      </c>
      <c r="S110" s="20"/>
      <c r="T110" s="22"/>
      <c r="U110" s="23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</row>
    <row r="111" ht="22.5" customHeight="1">
      <c r="A111" s="9">
        <f>VLOOKUP(B111,FVM_update!A:B,2,0)</f>
        <v>6842</v>
      </c>
      <c r="B111" s="10" t="s">
        <v>175</v>
      </c>
      <c r="C111" s="11" t="s">
        <v>148</v>
      </c>
      <c r="D111" s="12" t="str">
        <f>VLOOKUP(B111,FVM_update!A:F,6,0)</f>
        <v>Udinese</v>
      </c>
      <c r="E111" s="13" t="str">
        <f>VLOOKUP(B111,FVM_update!A:E,4,0)</f>
        <v>Por</v>
      </c>
      <c r="F111" s="11" t="s">
        <v>45</v>
      </c>
      <c r="G111" s="14">
        <v>45839.0</v>
      </c>
      <c r="H111" s="15">
        <f t="shared" si="1"/>
        <v>46204</v>
      </c>
      <c r="I111" s="11" t="s">
        <v>46</v>
      </c>
      <c r="J111" s="16" t="str">
        <f>VLOOKUP(A111,Asteriscati25!B:N,13,0)</f>
        <v>#N/A</v>
      </c>
      <c r="K111" s="17"/>
      <c r="L111" s="18" t="str">
        <f t="shared" si="2"/>
        <v>#REF!</v>
      </c>
      <c r="M111" s="19">
        <f>VLOOKUP(B111,FVM_Asta2526!A:N,14,0)</f>
        <v>11</v>
      </c>
      <c r="N111" s="18">
        <f>VLOOKUP(A111,FVM_update!B:N,13,0)</f>
        <v>1</v>
      </c>
      <c r="O111" s="20">
        <f>VLOOKUP(B111,'FVM_1luglio-31luglio25'!D:Q,14,0)</f>
        <v>1</v>
      </c>
      <c r="P111" s="20">
        <f t="shared" si="8"/>
        <v>1</v>
      </c>
      <c r="Q111" s="21">
        <f t="shared" si="4"/>
        <v>1.5</v>
      </c>
      <c r="R111" s="21">
        <f t="shared" si="7"/>
        <v>1</v>
      </c>
      <c r="S111" s="20"/>
      <c r="T111" s="17"/>
      <c r="U111" s="10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</row>
    <row r="112" ht="22.5" customHeight="1">
      <c r="A112" s="9">
        <f>VLOOKUP(B112,FVM_update!A:B,2,0)</f>
        <v>2861</v>
      </c>
      <c r="B112" s="10" t="s">
        <v>176</v>
      </c>
      <c r="C112" s="11" t="s">
        <v>148</v>
      </c>
      <c r="D112" s="12" t="str">
        <f>VLOOKUP(B112,FVM_update!A:F,6,0)</f>
        <v>Pisa</v>
      </c>
      <c r="E112" s="13" t="str">
        <f>VLOOKUP(B112,FVM_update!A:E,4,0)</f>
        <v>Por</v>
      </c>
      <c r="F112" s="11" t="s">
        <v>45</v>
      </c>
      <c r="G112" s="14">
        <v>45839.0</v>
      </c>
      <c r="H112" s="15">
        <f t="shared" si="1"/>
        <v>46204</v>
      </c>
      <c r="I112" s="11" t="s">
        <v>48</v>
      </c>
      <c r="J112" s="16" t="str">
        <f>VLOOKUP(A112,Asteriscati25!B:N,13,0)</f>
        <v>#N/A</v>
      </c>
      <c r="K112" s="17"/>
      <c r="L112" s="18" t="str">
        <f t="shared" si="2"/>
        <v>#REF!</v>
      </c>
      <c r="M112" s="19">
        <f>VLOOKUP(B112,FVM_Asta2526!A:N,14,0)</f>
        <v>12</v>
      </c>
      <c r="N112" s="18">
        <f>VLOOKUP(A112,FVM_update!B:N,13,0)</f>
        <v>2</v>
      </c>
      <c r="O112" s="20" t="str">
        <f>VLOOKUP(B112,'FVM_1luglio-31luglio25'!D:Q,14,0)</f>
        <v>#N/A</v>
      </c>
      <c r="P112" s="20">
        <f t="shared" si="8"/>
        <v>2</v>
      </c>
      <c r="Q112" s="21">
        <f t="shared" si="4"/>
        <v>1.5</v>
      </c>
      <c r="R112" s="21">
        <f t="shared" si="7"/>
        <v>1.5</v>
      </c>
      <c r="S112" s="20"/>
      <c r="T112" s="17"/>
      <c r="U112" s="10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</row>
    <row r="113" ht="22.5" customHeight="1">
      <c r="A113" s="9">
        <f>VLOOKUP(B113,FVM_update!A:B,2,0)</f>
        <v>5620</v>
      </c>
      <c r="B113" s="25" t="s">
        <v>177</v>
      </c>
      <c r="C113" s="11" t="s">
        <v>148</v>
      </c>
      <c r="D113" s="12" t="str">
        <f>VLOOKUP(B113,FVM_update!A:F,6,0)</f>
        <v>Lazio</v>
      </c>
      <c r="E113" s="13" t="str">
        <f>VLOOKUP(B113,FVM_update!A:E,4,0)</f>
        <v>Ds;E</v>
      </c>
      <c r="F113" s="11" t="s">
        <v>55</v>
      </c>
      <c r="G113" s="14">
        <v>45474.0</v>
      </c>
      <c r="H113" s="15">
        <f t="shared" si="1"/>
        <v>46204</v>
      </c>
      <c r="I113" s="11" t="s">
        <v>126</v>
      </c>
      <c r="J113" s="16" t="str">
        <f>VLOOKUP(A113,Asteriscati25!B:N,13,0)</f>
        <v>#N/A</v>
      </c>
      <c r="K113" s="67">
        <v>1.0</v>
      </c>
      <c r="L113" s="18" t="str">
        <f t="shared" si="2"/>
        <v>#REF!</v>
      </c>
      <c r="M113" s="19">
        <f>VLOOKUP(B113,FVM_Asta2425!A:M,13,0)</f>
        <v>10</v>
      </c>
      <c r="N113" s="18">
        <f>VLOOKUP(A113,FVM_update!B:N,13,0)</f>
        <v>10</v>
      </c>
      <c r="O113" s="20">
        <f>VLOOKUP(B113,'FVM_1luglio-31luglio25'!D:Q,14,0)</f>
        <v>21</v>
      </c>
      <c r="P113" s="20">
        <f t="shared" si="8"/>
        <v>10</v>
      </c>
      <c r="Q113" s="21">
        <f t="shared" si="4"/>
        <v>1.5</v>
      </c>
      <c r="R113" s="21">
        <f t="shared" si="7"/>
        <v>1.5</v>
      </c>
      <c r="S113" s="20"/>
      <c r="T113" s="11" t="s">
        <v>90</v>
      </c>
      <c r="U113" s="10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</row>
    <row r="114" ht="22.5" customHeight="1">
      <c r="A114" s="9">
        <f>VLOOKUP(B114,FVM_update!A:B,2,0)</f>
        <v>5307</v>
      </c>
      <c r="B114" s="10" t="s">
        <v>178</v>
      </c>
      <c r="C114" s="11" t="s">
        <v>148</v>
      </c>
      <c r="D114" s="12" t="str">
        <f>VLOOKUP(B114,FVM_update!A:F,6,0)</f>
        <v>Parma</v>
      </c>
      <c r="E114" s="13" t="str">
        <f>VLOOKUP(B114,FVM_update!A:E,4,0)</f>
        <v>Dc</v>
      </c>
      <c r="F114" s="11" t="s">
        <v>45</v>
      </c>
      <c r="G114" s="14">
        <v>45839.0</v>
      </c>
      <c r="H114" s="15">
        <f t="shared" si="1"/>
        <v>46204</v>
      </c>
      <c r="I114" s="11" t="s">
        <v>48</v>
      </c>
      <c r="J114" s="16" t="str">
        <f>VLOOKUP(A114,Asteriscati25!B:N,13,0)</f>
        <v>#N/A</v>
      </c>
      <c r="K114" s="17"/>
      <c r="L114" s="18" t="str">
        <f t="shared" si="2"/>
        <v>#REF!</v>
      </c>
      <c r="M114" s="19">
        <f>VLOOKUP(B114,FVM_Asta2526!A:N,14,0)</f>
        <v>11</v>
      </c>
      <c r="N114" s="18">
        <f>VLOOKUP(A114,FVM_update!B:N,13,0)</f>
        <v>14</v>
      </c>
      <c r="O114" s="20">
        <f>VLOOKUP(B114,'FVM_1luglio-31luglio25'!D:Q,14,0)</f>
        <v>8</v>
      </c>
      <c r="P114" s="20">
        <f t="shared" si="8"/>
        <v>14</v>
      </c>
      <c r="Q114" s="21">
        <f t="shared" si="4"/>
        <v>1.5</v>
      </c>
      <c r="R114" s="21">
        <f t="shared" si="7"/>
        <v>1.5</v>
      </c>
      <c r="S114" s="20"/>
      <c r="T114" s="17"/>
      <c r="U114" s="10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</row>
    <row r="115" ht="22.5" customHeight="1">
      <c r="A115" s="9">
        <f>VLOOKUP(B115,FVM_update!A:B,2,0)</f>
        <v>7133</v>
      </c>
      <c r="B115" s="10" t="s">
        <v>179</v>
      </c>
      <c r="C115" s="11" t="s">
        <v>148</v>
      </c>
      <c r="D115" s="12" t="str">
        <f>VLOOKUP(B115,FVM_update!A:F,6,0)</f>
        <v>Cremonese</v>
      </c>
      <c r="E115" s="13" t="str">
        <f>VLOOKUP(B115,FVM_update!A:E,4,0)</f>
        <v>W;T</v>
      </c>
      <c r="F115" s="11" t="s">
        <v>45</v>
      </c>
      <c r="G115" s="14">
        <v>45839.0</v>
      </c>
      <c r="H115" s="15">
        <f t="shared" si="1"/>
        <v>46204</v>
      </c>
      <c r="I115" s="11" t="s">
        <v>46</v>
      </c>
      <c r="J115" s="16" t="str">
        <f>VLOOKUP(A115,Asteriscati25!B:N,13,0)</f>
        <v>#N/A</v>
      </c>
      <c r="K115" s="17"/>
      <c r="L115" s="18" t="str">
        <f t="shared" si="2"/>
        <v>#REF!</v>
      </c>
      <c r="M115" s="19">
        <f>VLOOKUP(B115,FVM_Asta2526!A:N,14,0)</f>
        <v>36</v>
      </c>
      <c r="N115" s="18">
        <f>VLOOKUP(A115,FVM_update!B:N,13,0)</f>
        <v>22</v>
      </c>
      <c r="O115" s="20" t="str">
        <f>VLOOKUP(B115,'FVM_1luglio-31luglio25'!D:Q,14,0)</f>
        <v>#N/A</v>
      </c>
      <c r="P115" s="20">
        <f t="shared" si="8"/>
        <v>22</v>
      </c>
      <c r="Q115" s="21">
        <f t="shared" si="4"/>
        <v>4</v>
      </c>
      <c r="R115" s="21">
        <f t="shared" si="7"/>
        <v>2</v>
      </c>
      <c r="S115" s="20"/>
      <c r="T115" s="17"/>
      <c r="U115" s="10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</row>
    <row r="116" ht="22.5" customHeight="1">
      <c r="A116" s="9">
        <f>VLOOKUP(B116,FVM_update!A:B,2,0)</f>
        <v>2499</v>
      </c>
      <c r="B116" s="69" t="s">
        <v>180</v>
      </c>
      <c r="C116" s="70" t="s">
        <v>148</v>
      </c>
      <c r="D116" s="12" t="str">
        <f>VLOOKUP(B116,FVM_update!A:F,6,0)</f>
        <v>Cremonese</v>
      </c>
      <c r="E116" s="13" t="str">
        <f>VLOOKUP(B116,FVM_update!A:E,4,0)</f>
        <v>Pc</v>
      </c>
      <c r="F116" s="70" t="s">
        <v>45</v>
      </c>
      <c r="G116" s="14">
        <v>45839.0</v>
      </c>
      <c r="H116" s="15">
        <f t="shared" si="1"/>
        <v>46204</v>
      </c>
      <c r="I116" s="11" t="s">
        <v>48</v>
      </c>
      <c r="J116" s="71" t="str">
        <f>VLOOKUP(A116,Asteriscati25!B:N,13,0)</f>
        <v>#N/A</v>
      </c>
      <c r="K116" s="72"/>
      <c r="L116" s="18" t="str">
        <f t="shared" si="2"/>
        <v>#REF!</v>
      </c>
      <c r="M116" s="19">
        <f>VLOOKUP(B116,FVM_Asta2526!A:N,14,0)</f>
        <v>55</v>
      </c>
      <c r="N116" s="18">
        <f>VLOOKUP(A116,FVM_update!B:N,13,0)</f>
        <v>48</v>
      </c>
      <c r="O116" s="20" t="str">
        <f>VLOOKUP(B116,'FVM_1luglio-31luglio25'!D:Q,14,0)</f>
        <v>#N/A</v>
      </c>
      <c r="P116" s="20">
        <f t="shared" si="8"/>
        <v>48</v>
      </c>
      <c r="Q116" s="21">
        <f t="shared" si="4"/>
        <v>5.5</v>
      </c>
      <c r="R116" s="21">
        <f t="shared" si="7"/>
        <v>5.5</v>
      </c>
      <c r="S116" s="73"/>
      <c r="T116" s="72"/>
      <c r="U116" s="74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</row>
    <row r="117" ht="22.5" customHeight="1">
      <c r="A117" s="9">
        <f>VLOOKUP(B117,FVM_update!A:B,2,0)</f>
        <v>4994</v>
      </c>
      <c r="B117" s="10" t="s">
        <v>181</v>
      </c>
      <c r="C117" s="11" t="s">
        <v>148</v>
      </c>
      <c r="D117" s="12" t="str">
        <f>VLOOKUP(B117,FVM_update!A:F,6,0)</f>
        <v>Como</v>
      </c>
      <c r="E117" s="13" t="str">
        <f>VLOOKUP(B117,FVM_update!A:E,4,0)</f>
        <v>Dd;E</v>
      </c>
      <c r="F117" s="11" t="s">
        <v>45</v>
      </c>
      <c r="G117" s="14">
        <v>45839.0</v>
      </c>
      <c r="H117" s="15">
        <f t="shared" si="1"/>
        <v>46204</v>
      </c>
      <c r="I117" s="11" t="s">
        <v>48</v>
      </c>
      <c r="J117" s="16" t="str">
        <f>VLOOKUP(A117,Asteriscati25!B:N,13,0)</f>
        <v>#N/A</v>
      </c>
      <c r="K117" s="17"/>
      <c r="L117" s="18" t="str">
        <f t="shared" si="2"/>
        <v>#REF!</v>
      </c>
      <c r="M117" s="19">
        <f>VLOOKUP(B117,FVM_Asta2526!A:N,14,0)</f>
        <v>13</v>
      </c>
      <c r="N117" s="18">
        <f>VLOOKUP(A117,FVM_update!B:N,13,0)</f>
        <v>12</v>
      </c>
      <c r="O117" s="20">
        <f>VLOOKUP(B117,'FVM_1luglio-31luglio25'!D:Q,14,0)</f>
        <v>17</v>
      </c>
      <c r="P117" s="20">
        <f t="shared" si="8"/>
        <v>12</v>
      </c>
      <c r="Q117" s="21">
        <f t="shared" si="4"/>
        <v>1.5</v>
      </c>
      <c r="R117" s="21">
        <f t="shared" si="7"/>
        <v>1.5</v>
      </c>
      <c r="S117" s="20"/>
      <c r="T117" s="17"/>
      <c r="U117" s="10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</row>
    <row r="118" ht="22.5" customHeight="1">
      <c r="A118" s="9">
        <f>VLOOKUP(B118,FVM_update!A:B,2,0)</f>
        <v>4220</v>
      </c>
      <c r="B118" s="10" t="s">
        <v>182</v>
      </c>
      <c r="C118" s="11" t="s">
        <v>148</v>
      </c>
      <c r="D118" s="12" t="str">
        <f>VLOOKUP(B118,FVM_update!A:F,6,0)</f>
        <v>Napoli</v>
      </c>
      <c r="E118" s="13" t="str">
        <f>VLOOKUP(B118,FVM_update!A:E,4,0)</f>
        <v>M;C</v>
      </c>
      <c r="F118" s="11" t="s">
        <v>59</v>
      </c>
      <c r="G118" s="14">
        <v>45839.0</v>
      </c>
      <c r="H118" s="15">
        <f t="shared" si="1"/>
        <v>46935</v>
      </c>
      <c r="I118" s="11" t="s">
        <v>48</v>
      </c>
      <c r="J118" s="16" t="str">
        <f>VLOOKUP(A118,Asteriscati25!B:N,13,0)</f>
        <v>#N/A</v>
      </c>
      <c r="K118" s="17"/>
      <c r="L118" s="18" t="str">
        <f t="shared" si="2"/>
        <v>#REF!</v>
      </c>
      <c r="M118" s="19">
        <f>VLOOKUP(B118,FVM_Asta2526!A:N,14,0)</f>
        <v>73</v>
      </c>
      <c r="N118" s="18">
        <f>VLOOKUP(A118,FVM_update!B:N,13,0)</f>
        <v>77</v>
      </c>
      <c r="O118" s="20">
        <f>VLOOKUP(B118,'FVM_1luglio-31luglio25'!D:Q,14,0)</f>
        <v>56</v>
      </c>
      <c r="P118" s="20">
        <f t="shared" si="8"/>
        <v>77</v>
      </c>
      <c r="Q118" s="21">
        <f t="shared" si="4"/>
        <v>8.5</v>
      </c>
      <c r="R118" s="21">
        <f t="shared" si="7"/>
        <v>8.5</v>
      </c>
      <c r="S118" s="20"/>
      <c r="T118" s="17"/>
      <c r="U118" s="10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</row>
    <row r="119" ht="22.5" customHeight="1">
      <c r="A119" s="9">
        <f>VLOOKUP(B119,FVM_update!A:B,2,0)</f>
        <v>4360</v>
      </c>
      <c r="B119" s="25" t="s">
        <v>183</v>
      </c>
      <c r="C119" s="11" t="s">
        <v>148</v>
      </c>
      <c r="D119" s="12" t="str">
        <f>VLOOKUP(B119,FVM_update!A:F,6,0)</f>
        <v>Cagliari</v>
      </c>
      <c r="E119" s="13" t="str">
        <f>VLOOKUP(B119,FVM_update!A:E,4,0)</f>
        <v>Por</v>
      </c>
      <c r="F119" s="11" t="s">
        <v>97</v>
      </c>
      <c r="G119" s="14">
        <v>46054.0</v>
      </c>
      <c r="H119" s="15">
        <f t="shared" si="1"/>
        <v>46600</v>
      </c>
      <c r="I119" s="11" t="s">
        <v>93</v>
      </c>
      <c r="J119" s="16" t="str">
        <f>VLOOKUP(A119,Asteriscati25!B:N,13,0)</f>
        <v>#N/A</v>
      </c>
      <c r="K119" s="17"/>
      <c r="L119" s="18" t="str">
        <f t="shared" si="2"/>
        <v>#REF!</v>
      </c>
      <c r="M119" s="19">
        <v>28.0</v>
      </c>
      <c r="N119" s="18">
        <f>VLOOKUP(A119,FVM_update!B:N,13,0)</f>
        <v>28</v>
      </c>
      <c r="O119" s="20">
        <f>VLOOKUP(B119,'FVM_1luglio-31luglio25'!D:Q,14,0)</f>
        <v>14</v>
      </c>
      <c r="P119" s="20">
        <f t="shared" si="8"/>
        <v>28</v>
      </c>
      <c r="Q119" s="21">
        <f t="shared" si="4"/>
        <v>3.5</v>
      </c>
      <c r="R119" s="21">
        <f t="shared" si="7"/>
        <v>2</v>
      </c>
      <c r="S119" s="20"/>
      <c r="T119" s="22"/>
      <c r="U119" s="23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</row>
    <row r="120" ht="22.5" customHeight="1">
      <c r="A120" s="9">
        <f>VLOOKUP(B120,FVM_update!A:B,2,0)</f>
        <v>7125</v>
      </c>
      <c r="B120" s="25" t="s">
        <v>184</v>
      </c>
      <c r="C120" s="11" t="s">
        <v>148</v>
      </c>
      <c r="D120" s="12" t="str">
        <f>VLOOKUP(B120,FVM_update!A:F,6,0)</f>
        <v>Cagliari</v>
      </c>
      <c r="E120" s="13" t="str">
        <f>VLOOKUP(B120,FVM_update!A:E,4,0)</f>
        <v>Ds;E</v>
      </c>
      <c r="F120" s="11" t="s">
        <v>97</v>
      </c>
      <c r="G120" s="14">
        <v>46054.0</v>
      </c>
      <c r="H120" s="15">
        <f t="shared" si="1"/>
        <v>46600</v>
      </c>
      <c r="I120" s="11" t="s">
        <v>93</v>
      </c>
      <c r="J120" s="16" t="str">
        <f>VLOOKUP(A120,Asteriscati25!B:N,13,0)</f>
        <v>#N/A</v>
      </c>
      <c r="K120" s="17"/>
      <c r="L120" s="18" t="str">
        <f t="shared" si="2"/>
        <v>#REF!</v>
      </c>
      <c r="M120" s="19">
        <v>13.0</v>
      </c>
      <c r="N120" s="18">
        <f>VLOOKUP(A120,FVM_update!B:N,13,0)</f>
        <v>13</v>
      </c>
      <c r="O120" s="20" t="str">
        <f>VLOOKUP(B120,'FVM_1luglio-31luglio25'!D:Q,14,0)</f>
        <v>#N/A</v>
      </c>
      <c r="P120" s="20">
        <f t="shared" si="8"/>
        <v>13</v>
      </c>
      <c r="Q120" s="21">
        <f t="shared" si="4"/>
        <v>1.5</v>
      </c>
      <c r="R120" s="21">
        <f t="shared" si="7"/>
        <v>1</v>
      </c>
      <c r="S120" s="20"/>
      <c r="T120" s="22"/>
      <c r="U120" s="23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</row>
    <row r="121" ht="22.5" customHeight="1">
      <c r="A121" s="9">
        <f>VLOOKUP(B121,FVM_update!A:B,2,0)</f>
        <v>5674</v>
      </c>
      <c r="B121" s="25" t="s">
        <v>185</v>
      </c>
      <c r="C121" s="11" t="s">
        <v>148</v>
      </c>
      <c r="D121" s="12" t="str">
        <f>VLOOKUP(B121,FVM_update!A:F,6,0)</f>
        <v>Lazio</v>
      </c>
      <c r="E121" s="13" t="str">
        <f>VLOOKUP(B121,FVM_update!A:E,4,0)</f>
        <v>C</v>
      </c>
      <c r="F121" s="11" t="s">
        <v>92</v>
      </c>
      <c r="G121" s="14">
        <v>46054.0</v>
      </c>
      <c r="H121" s="15">
        <f t="shared" si="1"/>
        <v>46204</v>
      </c>
      <c r="I121" s="11" t="s">
        <v>93</v>
      </c>
      <c r="J121" s="16" t="str">
        <f>VLOOKUP(A121,Asteriscati25!B:N,13,0)</f>
        <v>#N/A</v>
      </c>
      <c r="K121" s="17"/>
      <c r="L121" s="18" t="str">
        <f t="shared" si="2"/>
        <v>#REF!</v>
      </c>
      <c r="M121" s="19">
        <v>24.0</v>
      </c>
      <c r="N121" s="18">
        <f>VLOOKUP(A121,FVM_update!B:N,13,0)</f>
        <v>24</v>
      </c>
      <c r="O121" s="20" t="str">
        <f>VLOOKUP(B121,'FVM_1luglio-31luglio25'!D:Q,14,0)</f>
        <v>#N/A</v>
      </c>
      <c r="P121" s="20">
        <f t="shared" si="8"/>
        <v>24</v>
      </c>
      <c r="Q121" s="21">
        <f t="shared" si="4"/>
        <v>2.5</v>
      </c>
      <c r="R121" s="21">
        <f t="shared" si="7"/>
        <v>1.5</v>
      </c>
      <c r="S121" s="20"/>
      <c r="T121" s="22"/>
      <c r="U121" s="23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</row>
    <row r="122" ht="22.5" customHeight="1">
      <c r="A122" s="9">
        <f>VLOOKUP(B122,FVM_update!A:B,2,0)</f>
        <v>6274</v>
      </c>
      <c r="B122" s="25" t="s">
        <v>186</v>
      </c>
      <c r="C122" s="11" t="s">
        <v>148</v>
      </c>
      <c r="D122" s="12" t="str">
        <f>VLOOKUP(B122,FVM_update!A:F,6,0)</f>
        <v>Inter</v>
      </c>
      <c r="E122" s="13" t="str">
        <f>VLOOKUP(B122,FVM_update!A:E,4,0)</f>
        <v>C</v>
      </c>
      <c r="F122" s="11" t="s">
        <v>92</v>
      </c>
      <c r="G122" s="14">
        <v>46054.0</v>
      </c>
      <c r="H122" s="15">
        <f t="shared" si="1"/>
        <v>46204</v>
      </c>
      <c r="I122" s="11" t="s">
        <v>93</v>
      </c>
      <c r="J122" s="16" t="str">
        <f>VLOOKUP(A122,Asteriscati25!B:N,13,0)</f>
        <v>#N/A</v>
      </c>
      <c r="K122" s="17"/>
      <c r="L122" s="18" t="str">
        <f t="shared" si="2"/>
        <v>#REF!</v>
      </c>
      <c r="M122" s="19">
        <v>10.0</v>
      </c>
      <c r="N122" s="18">
        <f>VLOOKUP(A122,FVM_update!B:N,13,0)</f>
        <v>10</v>
      </c>
      <c r="O122" s="20" t="str">
        <f>VLOOKUP(B122,'FVM_1luglio-31luglio25'!D:Q,14,0)</f>
        <v>#N/A</v>
      </c>
      <c r="P122" s="20">
        <f t="shared" si="8"/>
        <v>10</v>
      </c>
      <c r="Q122" s="21">
        <f t="shared" si="4"/>
        <v>1</v>
      </c>
      <c r="R122" s="21">
        <f t="shared" si="7"/>
        <v>0.5</v>
      </c>
      <c r="S122" s="20"/>
      <c r="T122" s="22"/>
      <c r="U122" s="23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</row>
    <row r="123" ht="22.5" customHeight="1">
      <c r="A123" s="9">
        <f>VLOOKUP(B123,FVM_update!A:B,2,0)</f>
        <v>7351</v>
      </c>
      <c r="B123" s="25" t="s">
        <v>187</v>
      </c>
      <c r="C123" s="11" t="s">
        <v>148</v>
      </c>
      <c r="D123" s="12" t="str">
        <f>VLOOKUP(B123,FVM_update!A:F,6,0)</f>
        <v>Napoli</v>
      </c>
      <c r="E123" s="13" t="str">
        <f>VLOOKUP(B123,FVM_update!A:E,4,0)</f>
        <v>W;A</v>
      </c>
      <c r="F123" s="11" t="s">
        <v>74</v>
      </c>
      <c r="G123" s="14">
        <v>46054.0</v>
      </c>
      <c r="H123" s="15">
        <f t="shared" si="1"/>
        <v>46966</v>
      </c>
      <c r="I123" s="11" t="s">
        <v>93</v>
      </c>
      <c r="J123" s="16" t="str">
        <f>VLOOKUP(A123,Asteriscati25!B:N,13,0)</f>
        <v>#N/A</v>
      </c>
      <c r="K123" s="17"/>
      <c r="L123" s="18" t="str">
        <f t="shared" si="2"/>
        <v>#REF!</v>
      </c>
      <c r="M123" s="19">
        <v>13.0</v>
      </c>
      <c r="N123" s="18">
        <f>VLOOKUP(A123,FVM_update!B:N,13,0)</f>
        <v>13</v>
      </c>
      <c r="O123" s="20" t="str">
        <f>VLOOKUP(B123,'FVM_1luglio-31luglio25'!D:Q,14,0)</f>
        <v>#N/A</v>
      </c>
      <c r="P123" s="20">
        <f t="shared" si="8"/>
        <v>13</v>
      </c>
      <c r="Q123" s="21">
        <f t="shared" si="4"/>
        <v>1.5</v>
      </c>
      <c r="R123" s="21">
        <f t="shared" si="7"/>
        <v>1</v>
      </c>
      <c r="S123" s="20"/>
      <c r="T123" s="22"/>
      <c r="U123" s="23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</row>
    <row r="124" ht="22.5" customHeight="1">
      <c r="A124" s="9">
        <f>VLOOKUP(B124,FVM_update!A:B,2,0)</f>
        <v>7162</v>
      </c>
      <c r="B124" s="25" t="s">
        <v>188</v>
      </c>
      <c r="C124" s="11" t="s">
        <v>148</v>
      </c>
      <c r="D124" s="12" t="str">
        <f>VLOOKUP(B124,FVM_update!A:F,6,0)</f>
        <v>Napoli</v>
      </c>
      <c r="E124" s="13" t="str">
        <f>VLOOKUP(B124,FVM_update!A:E,4,0)</f>
        <v>A</v>
      </c>
      <c r="F124" s="11" t="s">
        <v>92</v>
      </c>
      <c r="G124" s="14">
        <v>46054.0</v>
      </c>
      <c r="H124" s="15">
        <f t="shared" si="1"/>
        <v>46204</v>
      </c>
      <c r="I124" s="11" t="s">
        <v>93</v>
      </c>
      <c r="J124" s="16" t="str">
        <f>VLOOKUP(A124,Asteriscati25!B:N,13,0)</f>
        <v>#N/A</v>
      </c>
      <c r="K124" s="17"/>
      <c r="L124" s="18" t="str">
        <f t="shared" si="2"/>
        <v>#REF!</v>
      </c>
      <c r="M124" s="19">
        <v>17.0</v>
      </c>
      <c r="N124" s="18">
        <f>VLOOKUP(A124,FVM_update!B:N,13,0)</f>
        <v>17</v>
      </c>
      <c r="O124" s="20" t="str">
        <f>VLOOKUP(B124,'FVM_1luglio-31luglio25'!D:Q,14,0)</f>
        <v>#N/A</v>
      </c>
      <c r="P124" s="20">
        <f t="shared" si="8"/>
        <v>17</v>
      </c>
      <c r="Q124" s="21">
        <f t="shared" si="4"/>
        <v>2</v>
      </c>
      <c r="R124" s="21">
        <f t="shared" si="7"/>
        <v>1</v>
      </c>
      <c r="S124" s="20"/>
      <c r="T124" s="22"/>
      <c r="U124" s="23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</row>
    <row r="125" ht="22.5" customHeight="1">
      <c r="A125" s="9">
        <f>VLOOKUP(B125,FVM_update!A:B,2,0)</f>
        <v>6190</v>
      </c>
      <c r="B125" s="25" t="s">
        <v>189</v>
      </c>
      <c r="C125" s="11" t="s">
        <v>148</v>
      </c>
      <c r="D125" s="12" t="str">
        <f>VLOOKUP(B125,FVM_update!A:F,6,0)</f>
        <v>Roma</v>
      </c>
      <c r="E125" s="13" t="str">
        <f>VLOOKUP(B125,FVM_update!A:E,4,0)</f>
        <v>C</v>
      </c>
      <c r="F125" s="11" t="s">
        <v>45</v>
      </c>
      <c r="G125" s="14">
        <v>45839.0</v>
      </c>
      <c r="H125" s="15">
        <f t="shared" si="1"/>
        <v>46204</v>
      </c>
      <c r="I125" s="11" t="s">
        <v>126</v>
      </c>
      <c r="J125" s="16" t="str">
        <f>VLOOKUP(A125,Asteriscati25!B:N,13,0)</f>
        <v>#N/A</v>
      </c>
      <c r="K125" s="26">
        <v>0.4</v>
      </c>
      <c r="L125" s="18" t="str">
        <f t="shared" si="2"/>
        <v>#REF!</v>
      </c>
      <c r="M125" s="27">
        <f>VLOOKUP(B125,FVM_Asta2526!A:N,14,0)</f>
        <v>15</v>
      </c>
      <c r="N125" s="18">
        <f>VLOOKUP(A125,FVM_update!B:N,13,0)</f>
        <v>16</v>
      </c>
      <c r="O125" s="20">
        <f>VLOOKUP(B125,'FVM_1luglio-31luglio25'!D:Q,14,0)</f>
        <v>6</v>
      </c>
      <c r="P125" s="20">
        <f t="shared" si="8"/>
        <v>16</v>
      </c>
      <c r="Q125" s="21">
        <f t="shared" si="4"/>
        <v>1.5</v>
      </c>
      <c r="R125" s="21">
        <f t="shared" si="7"/>
        <v>1</v>
      </c>
      <c r="S125" s="20"/>
      <c r="T125" s="22"/>
      <c r="U125" s="23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</row>
    <row r="126" ht="22.5" customHeight="1">
      <c r="A126" s="9">
        <f>VLOOKUP(B126,FVM_update!A:B,2,0)</f>
        <v>7146</v>
      </c>
      <c r="B126" s="10" t="s">
        <v>190</v>
      </c>
      <c r="C126" s="11" t="s">
        <v>148</v>
      </c>
      <c r="D126" s="12" t="str">
        <f>VLOOKUP(B126,FVM_update!A:F,6,0)</f>
        <v>Pisa</v>
      </c>
      <c r="E126" s="13" t="str">
        <f>VLOOKUP(B126,FVM_update!A:E,4,0)</f>
        <v>E;M</v>
      </c>
      <c r="F126" s="11" t="s">
        <v>45</v>
      </c>
      <c r="G126" s="14">
        <v>45839.0</v>
      </c>
      <c r="H126" s="15">
        <f t="shared" si="1"/>
        <v>46204</v>
      </c>
      <c r="I126" s="11" t="s">
        <v>126</v>
      </c>
      <c r="J126" s="16" t="str">
        <f>VLOOKUP(A126,Asteriscati25!B:N,13,0)</f>
        <v>#N/A</v>
      </c>
      <c r="K126" s="29">
        <v>0.4</v>
      </c>
      <c r="L126" s="18" t="str">
        <f t="shared" si="2"/>
        <v>#REF!</v>
      </c>
      <c r="M126" s="19">
        <f>VLOOKUP(B126,FVM_Asta2526!A:N,14,0)</f>
        <v>26</v>
      </c>
      <c r="N126" s="18">
        <f>VLOOKUP(A126,FVM_update!B:N,13,0)</f>
        <v>29</v>
      </c>
      <c r="O126" s="20" t="str">
        <f>VLOOKUP(B126,'FVM_1luglio-31luglio25'!D:Q,14,0)</f>
        <v>#N/A</v>
      </c>
      <c r="P126" s="20">
        <f t="shared" si="8"/>
        <v>29</v>
      </c>
      <c r="Q126" s="21">
        <f t="shared" si="4"/>
        <v>3</v>
      </c>
      <c r="R126" s="21">
        <f t="shared" si="7"/>
        <v>1.5</v>
      </c>
      <c r="S126" s="20"/>
      <c r="T126" s="22"/>
      <c r="U126" s="23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</row>
    <row r="127" ht="22.5" customHeight="1">
      <c r="A127" s="9">
        <f>VLOOKUP(B127,FVM_update!A:B,2,0)</f>
        <v>5320</v>
      </c>
      <c r="B127" s="25" t="s">
        <v>191</v>
      </c>
      <c r="C127" s="11" t="s">
        <v>148</v>
      </c>
      <c r="D127" s="12" t="str">
        <f>VLOOKUP(B127,FVM_update!A:F,6,0)</f>
        <v>Torino</v>
      </c>
      <c r="E127" s="13" t="str">
        <f>VLOOKUP(B127,FVM_update!A:E,4,0)</f>
        <v>Por</v>
      </c>
      <c r="F127" s="11" t="s">
        <v>92</v>
      </c>
      <c r="G127" s="14">
        <v>46054.0</v>
      </c>
      <c r="H127" s="15">
        <f t="shared" si="1"/>
        <v>46204</v>
      </c>
      <c r="I127" s="11" t="s">
        <v>93</v>
      </c>
      <c r="J127" s="16" t="str">
        <f>VLOOKUP(A127,Asteriscati25!B:N,13,0)</f>
        <v>#N/A</v>
      </c>
      <c r="K127" s="17"/>
      <c r="L127" s="18" t="str">
        <f t="shared" si="2"/>
        <v>#REF!</v>
      </c>
      <c r="M127" s="18">
        <v>11.0</v>
      </c>
      <c r="N127" s="18">
        <f>VLOOKUP(A127,FVM_update!B:N,13,0)</f>
        <v>11</v>
      </c>
      <c r="O127" s="20">
        <f>VLOOKUP(B127,'FVM_1luglio-31luglio25'!D:Q,14,0)</f>
        <v>1</v>
      </c>
      <c r="P127" s="20">
        <f t="shared" si="8"/>
        <v>11</v>
      </c>
      <c r="Q127" s="21">
        <f t="shared" si="4"/>
        <v>1.5</v>
      </c>
      <c r="R127" s="21">
        <f t="shared" si="7"/>
        <v>1</v>
      </c>
      <c r="S127" s="20"/>
      <c r="T127" s="22"/>
      <c r="U127" s="23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</row>
    <row r="128" ht="22.5" customHeight="1">
      <c r="A128" s="9">
        <f>VLOOKUP(B128,FVM_update!A:B,2,0)</f>
        <v>2120</v>
      </c>
      <c r="B128" s="25" t="s">
        <v>192</v>
      </c>
      <c r="C128" s="11" t="s">
        <v>193</v>
      </c>
      <c r="D128" s="12" t="str">
        <f>VLOOKUP(B128,FVM_update!A:F,6,0)</f>
        <v>Inter</v>
      </c>
      <c r="E128" s="13" t="str">
        <f>VLOOKUP(B128,FVM_update!A:E,4,0)</f>
        <v>Dc</v>
      </c>
      <c r="F128" s="17" t="str">
        <f>VLOOKUP(B128,'situazione contratti estate 24'!A:I,9,0)</f>
        <v>Obbligo 1+2</v>
      </c>
      <c r="G128" s="14">
        <v>45108.0</v>
      </c>
      <c r="H128" s="15">
        <f t="shared" si="1"/>
        <v>46204</v>
      </c>
      <c r="I128" s="11" t="s">
        <v>122</v>
      </c>
      <c r="J128" s="16" t="str">
        <f>VLOOKUP(A128,Asteriscati25!B:N,13,0)</f>
        <v>#N/A</v>
      </c>
      <c r="K128" s="26">
        <v>0.4</v>
      </c>
      <c r="L128" s="18" t="str">
        <f t="shared" si="2"/>
        <v>#REF!</v>
      </c>
      <c r="M128" s="19">
        <f>VLOOKUP(B128,FVM_Asta2324!C:M,11,0)</f>
        <v>48</v>
      </c>
      <c r="N128" s="18">
        <f>VLOOKUP(A128,FVM_update!B:N,13,0)</f>
        <v>60</v>
      </c>
      <c r="O128" s="20">
        <f>VLOOKUP(B128,'FVM_1luglio-31luglio25'!D:Q,14,0)</f>
        <v>63</v>
      </c>
      <c r="P128" s="20">
        <f t="shared" si="8"/>
        <v>60</v>
      </c>
      <c r="Q128" s="21">
        <f t="shared" si="4"/>
        <v>6</v>
      </c>
      <c r="R128" s="21">
        <f t="shared" si="7"/>
        <v>2.5</v>
      </c>
      <c r="S128" s="20"/>
      <c r="T128" s="22"/>
      <c r="U128" s="23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</row>
    <row r="129" ht="22.5" customHeight="1">
      <c r="A129" s="9">
        <f>VLOOKUP(B129,FVM_update!A:B,2,0)</f>
        <v>6217</v>
      </c>
      <c r="B129" s="25" t="s">
        <v>194</v>
      </c>
      <c r="C129" s="11" t="s">
        <v>193</v>
      </c>
      <c r="D129" s="12" t="str">
        <f>VLOOKUP(B129,FVM_update!A:F,6,0)</f>
        <v>Inter</v>
      </c>
      <c r="E129" s="13" t="str">
        <f>VLOOKUP(B129,FVM_update!A:E,4,0)</f>
        <v>Dc</v>
      </c>
      <c r="F129" s="11" t="s">
        <v>59</v>
      </c>
      <c r="G129" s="14">
        <v>45474.0</v>
      </c>
      <c r="H129" s="15">
        <f t="shared" si="1"/>
        <v>46569</v>
      </c>
      <c r="I129" s="11" t="s">
        <v>48</v>
      </c>
      <c r="J129" s="16" t="str">
        <f>VLOOKUP(A129,Asteriscati25!B:N,13,0)</f>
        <v>#N/A</v>
      </c>
      <c r="K129" s="26">
        <v>0.0</v>
      </c>
      <c r="L129" s="18" t="str">
        <f t="shared" si="2"/>
        <v>#REF!</v>
      </c>
      <c r="M129" s="19">
        <f>VLOOKUP(B129,FVM_Asta2425!A:M,13,0)</f>
        <v>11</v>
      </c>
      <c r="N129" s="18">
        <f>VLOOKUP(A129,FVM_update!B:N,13,0)</f>
        <v>30</v>
      </c>
      <c r="O129" s="20">
        <f>VLOOKUP(B129,'FVM_1luglio-31luglio25'!D:Q,14,0)</f>
        <v>17</v>
      </c>
      <c r="P129" s="20">
        <f t="shared" si="8"/>
        <v>30</v>
      </c>
      <c r="Q129" s="21">
        <f t="shared" si="4"/>
        <v>1.5</v>
      </c>
      <c r="R129" s="21">
        <f t="shared" si="7"/>
        <v>1.5</v>
      </c>
      <c r="S129" s="20"/>
      <c r="T129" s="22"/>
      <c r="U129" s="23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</row>
    <row r="130" ht="22.5" customHeight="1">
      <c r="A130" s="9">
        <f>VLOOKUP(B130,FVM_update!A:B,2,0)</f>
        <v>6219</v>
      </c>
      <c r="B130" s="75" t="s">
        <v>195</v>
      </c>
      <c r="C130" s="11" t="s">
        <v>193</v>
      </c>
      <c r="D130" s="12" t="str">
        <f>VLOOKUP(B130,FVM_update!A:F,6,0)</f>
        <v>Sassuolo</v>
      </c>
      <c r="E130" s="13" t="str">
        <f>VLOOKUP(B130,FVM_update!A:E,4,0)</f>
        <v>M;C</v>
      </c>
      <c r="F130" s="11" t="s">
        <v>45</v>
      </c>
      <c r="G130" s="14">
        <v>45839.0</v>
      </c>
      <c r="H130" s="15">
        <f t="shared" si="1"/>
        <v>46204</v>
      </c>
      <c r="I130" s="11" t="s">
        <v>46</v>
      </c>
      <c r="J130" s="16" t="str">
        <f>VLOOKUP(A130,Asteriscati25!B:N,13,0)</f>
        <v>#N/A</v>
      </c>
      <c r="K130" s="17"/>
      <c r="L130" s="18" t="str">
        <f t="shared" si="2"/>
        <v>#REF!</v>
      </c>
      <c r="M130" s="19">
        <f>VLOOKUP(B130,FVM_Asta2526!A:N,14,0)</f>
        <v>17</v>
      </c>
      <c r="N130" s="18">
        <f>VLOOKUP(A130,FVM_update!B:N,13,0)</f>
        <v>6</v>
      </c>
      <c r="O130" s="20" t="str">
        <f>VLOOKUP(B130,'FVM_1luglio-31luglio25'!D:Q,14,0)</f>
        <v>#N/A</v>
      </c>
      <c r="P130" s="20">
        <f t="shared" si="8"/>
        <v>6</v>
      </c>
      <c r="Q130" s="21">
        <f t="shared" si="4"/>
        <v>2</v>
      </c>
      <c r="R130" s="21">
        <f t="shared" si="7"/>
        <v>1</v>
      </c>
      <c r="S130" s="20"/>
      <c r="T130" s="17"/>
      <c r="U130" s="16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</row>
    <row r="131" ht="22.5" customHeight="1">
      <c r="A131" s="9">
        <f>VLOOKUP(B131,FVM_update!A:B,2,0)</f>
        <v>505</v>
      </c>
      <c r="B131" s="10" t="s">
        <v>196</v>
      </c>
      <c r="C131" s="11" t="s">
        <v>193</v>
      </c>
      <c r="D131" s="12" t="str">
        <f>VLOOKUP(B131,FVM_update!A:F,6,0)</f>
        <v>Cremonese</v>
      </c>
      <c r="E131" s="13" t="str">
        <f>VLOOKUP(B131,FVM_update!A:E,4,0)</f>
        <v>A</v>
      </c>
      <c r="F131" s="11" t="s">
        <v>45</v>
      </c>
      <c r="G131" s="14">
        <v>45839.0</v>
      </c>
      <c r="H131" s="15">
        <f t="shared" si="1"/>
        <v>46204</v>
      </c>
      <c r="I131" s="11" t="s">
        <v>48</v>
      </c>
      <c r="J131" s="16" t="str">
        <f>VLOOKUP(A131,Asteriscati25!B:N,13,0)</f>
        <v>#N/A</v>
      </c>
      <c r="K131" s="17"/>
      <c r="L131" s="18" t="str">
        <f t="shared" si="2"/>
        <v>#REF!</v>
      </c>
      <c r="M131" s="19">
        <f>VLOOKUP(B131,FVM_Asta2526!A:N,14,0)</f>
        <v>19</v>
      </c>
      <c r="N131" s="18">
        <f>VLOOKUP(A131,FVM_update!B:N,13,0)</f>
        <v>22</v>
      </c>
      <c r="O131" s="20" t="str">
        <f>VLOOKUP(B131,'FVM_1luglio-31luglio25'!D:Q,14,0)</f>
        <v>#N/A</v>
      </c>
      <c r="P131" s="20">
        <f t="shared" si="8"/>
        <v>22</v>
      </c>
      <c r="Q131" s="21">
        <f t="shared" si="4"/>
        <v>2</v>
      </c>
      <c r="R131" s="21">
        <f t="shared" si="7"/>
        <v>2</v>
      </c>
      <c r="S131" s="20"/>
      <c r="T131" s="22"/>
      <c r="U131" s="23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</row>
    <row r="132" ht="22.5" customHeight="1">
      <c r="A132" s="9">
        <f>VLOOKUP(B132,FVM_update!A:B,2,0)</f>
        <v>5992</v>
      </c>
      <c r="B132" s="75" t="s">
        <v>197</v>
      </c>
      <c r="C132" s="11" t="s">
        <v>193</v>
      </c>
      <c r="D132" s="12" t="str">
        <f>VLOOKUP(B132,FVM_update!A:F,6,0)</f>
        <v>Cremonese</v>
      </c>
      <c r="E132" s="13" t="str">
        <f>VLOOKUP(B132,FVM_update!A:E,4,0)</f>
        <v>M;C</v>
      </c>
      <c r="F132" s="11" t="s">
        <v>45</v>
      </c>
      <c r="G132" s="14">
        <v>45839.0</v>
      </c>
      <c r="H132" s="15">
        <f t="shared" si="1"/>
        <v>46204</v>
      </c>
      <c r="I132" s="11" t="s">
        <v>48</v>
      </c>
      <c r="J132" s="16" t="str">
        <f>VLOOKUP(A132,Asteriscati25!B:N,13,0)</f>
        <v>#N/A</v>
      </c>
      <c r="K132" s="17"/>
      <c r="L132" s="18" t="str">
        <f t="shared" si="2"/>
        <v>#REF!</v>
      </c>
      <c r="M132" s="19">
        <f>VLOOKUP(B132,FVM_Asta2526!A:N,14,0)</f>
        <v>23</v>
      </c>
      <c r="N132" s="18">
        <f>VLOOKUP(A132,FVM_update!B:N,13,0)</f>
        <v>18</v>
      </c>
      <c r="O132" s="20">
        <f>VLOOKUP(B132,'FVM_1luglio-31luglio25'!D:Q,14,0)</f>
        <v>9</v>
      </c>
      <c r="P132" s="20">
        <f t="shared" si="8"/>
        <v>18</v>
      </c>
      <c r="Q132" s="21">
        <f t="shared" si="4"/>
        <v>2.5</v>
      </c>
      <c r="R132" s="21">
        <f t="shared" si="7"/>
        <v>2.5</v>
      </c>
      <c r="S132" s="20"/>
      <c r="T132" s="17"/>
      <c r="U132" s="16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</row>
    <row r="133" ht="22.5" customHeight="1">
      <c r="A133" s="9">
        <f>VLOOKUP(B133,FVM_update!A:B,2,0)</f>
        <v>2194</v>
      </c>
      <c r="B133" s="75" t="s">
        <v>198</v>
      </c>
      <c r="C133" s="11" t="s">
        <v>193</v>
      </c>
      <c r="D133" s="12" t="str">
        <f>VLOOKUP(B133,FVM_update!A:F,6,0)</f>
        <v>Inter</v>
      </c>
      <c r="E133" s="13" t="str">
        <f>VLOOKUP(B133,FVM_update!A:E,4,0)</f>
        <v>M;C</v>
      </c>
      <c r="F133" s="11" t="s">
        <v>59</v>
      </c>
      <c r="G133" s="14">
        <v>45839.0</v>
      </c>
      <c r="H133" s="15">
        <f t="shared" si="1"/>
        <v>46935</v>
      </c>
      <c r="I133" s="11" t="s">
        <v>48</v>
      </c>
      <c r="J133" s="16" t="str">
        <f>VLOOKUP(A133,Asteriscati25!B:N,13,0)</f>
        <v>#N/A</v>
      </c>
      <c r="K133" s="17"/>
      <c r="L133" s="18" t="str">
        <f t="shared" si="2"/>
        <v>#REF!</v>
      </c>
      <c r="M133" s="19">
        <f>VLOOKUP(B133,FVM_Asta2526!A:N,14,0)</f>
        <v>153</v>
      </c>
      <c r="N133" s="18">
        <f>VLOOKUP(A133,FVM_update!B:N,13,0)</f>
        <v>243</v>
      </c>
      <c r="O133" s="20">
        <f>VLOOKUP(B133,'FVM_1luglio-31luglio25'!D:Q,14,0)</f>
        <v>146</v>
      </c>
      <c r="P133" s="20">
        <f t="shared" si="8"/>
        <v>243</v>
      </c>
      <c r="Q133" s="21">
        <f t="shared" si="4"/>
        <v>18</v>
      </c>
      <c r="R133" s="21">
        <f t="shared" si="7"/>
        <v>18</v>
      </c>
      <c r="S133" s="20"/>
      <c r="T133" s="17"/>
      <c r="U133" s="16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</row>
    <row r="134" ht="22.5" customHeight="1">
      <c r="A134" s="9">
        <f>VLOOKUP(B134,FVM_update!A:B,2,0)</f>
        <v>6106</v>
      </c>
      <c r="B134" s="75" t="s">
        <v>199</v>
      </c>
      <c r="C134" s="11" t="s">
        <v>193</v>
      </c>
      <c r="D134" s="12" t="str">
        <f>VLOOKUP(B134,FVM_update!A:F,6,0)</f>
        <v>Genoa</v>
      </c>
      <c r="E134" s="13" t="str">
        <f>VLOOKUP(B134,FVM_update!A:E,4,0)</f>
        <v>T;A</v>
      </c>
      <c r="F134" s="11" t="s">
        <v>55</v>
      </c>
      <c r="G134" s="14">
        <v>45839.0</v>
      </c>
      <c r="H134" s="15">
        <f t="shared" si="1"/>
        <v>46569</v>
      </c>
      <c r="I134" s="11" t="s">
        <v>46</v>
      </c>
      <c r="J134" s="16" t="str">
        <f>VLOOKUP(A134,Asteriscati25!B:N,13,0)</f>
        <v>#N/A</v>
      </c>
      <c r="K134" s="17"/>
      <c r="L134" s="18" t="str">
        <f t="shared" si="2"/>
        <v>#REF!</v>
      </c>
      <c r="M134" s="19">
        <f>VLOOKUP(B134,FVM_Asta2526!A:N,14,0)</f>
        <v>29</v>
      </c>
      <c r="N134" s="18">
        <f>VLOOKUP(A134,FVM_update!B:N,13,0)</f>
        <v>12</v>
      </c>
      <c r="O134" s="20" t="str">
        <f>VLOOKUP(B134,'FVM_1luglio-31luglio25'!D:Q,14,0)</f>
        <v>#N/A</v>
      </c>
      <c r="P134" s="20">
        <f t="shared" si="8"/>
        <v>12</v>
      </c>
      <c r="Q134" s="21">
        <f t="shared" si="4"/>
        <v>4</v>
      </c>
      <c r="R134" s="21">
        <f t="shared" si="7"/>
        <v>2</v>
      </c>
      <c r="S134" s="20"/>
      <c r="T134" s="17"/>
      <c r="U134" s="16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</row>
    <row r="135" ht="22.5" customHeight="1">
      <c r="A135" s="9">
        <f>VLOOKUP(B135,FVM_update!A:B,2,0)</f>
        <v>2525</v>
      </c>
      <c r="B135" s="75" t="s">
        <v>200</v>
      </c>
      <c r="C135" s="11" t="s">
        <v>193</v>
      </c>
      <c r="D135" s="12" t="str">
        <f>VLOOKUP(B135,FVM_update!A:F,6,0)</f>
        <v>Inter</v>
      </c>
      <c r="E135" s="13" t="str">
        <f>VLOOKUP(B135,FVM_update!A:E,4,0)</f>
        <v>B;Dd;E</v>
      </c>
      <c r="F135" s="11" t="s">
        <v>45</v>
      </c>
      <c r="G135" s="14">
        <v>45839.0</v>
      </c>
      <c r="H135" s="15">
        <f t="shared" si="1"/>
        <v>46204</v>
      </c>
      <c r="I135" s="11" t="s">
        <v>48</v>
      </c>
      <c r="J135" s="16" t="str">
        <f>VLOOKUP(A135,Asteriscati25!B:N,13,0)</f>
        <v>#N/A</v>
      </c>
      <c r="K135" s="17"/>
      <c r="L135" s="18" t="str">
        <f t="shared" si="2"/>
        <v>#REF!</v>
      </c>
      <c r="M135" s="19">
        <f>VLOOKUP(B135,FVM_Asta2526!A:N,14,0)</f>
        <v>16</v>
      </c>
      <c r="N135" s="18">
        <f>VLOOKUP(A135,FVM_update!B:N,13,0)</f>
        <v>8</v>
      </c>
      <c r="O135" s="20">
        <f>VLOOKUP(B135,'FVM_1luglio-31luglio25'!D:Q,14,0)</f>
        <v>20</v>
      </c>
      <c r="P135" s="20">
        <f t="shared" si="8"/>
        <v>8</v>
      </c>
      <c r="Q135" s="21">
        <f t="shared" si="4"/>
        <v>2</v>
      </c>
      <c r="R135" s="21">
        <f t="shared" si="7"/>
        <v>2</v>
      </c>
      <c r="S135" s="20"/>
      <c r="T135" s="17"/>
      <c r="U135" s="16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</row>
    <row r="136" ht="22.5" customHeight="1">
      <c r="A136" s="9">
        <f>VLOOKUP(B136,FVM_update!A:B,2,0)</f>
        <v>2521</v>
      </c>
      <c r="B136" s="75" t="s">
        <v>201</v>
      </c>
      <c r="C136" s="11" t="s">
        <v>193</v>
      </c>
      <c r="D136" s="12" t="str">
        <f>VLOOKUP(B136,FVM_update!A:F,6,0)</f>
        <v>Fiorentina</v>
      </c>
      <c r="E136" s="13" t="str">
        <f>VLOOKUP(B136,FVM_update!A:E,4,0)</f>
        <v>Por</v>
      </c>
      <c r="F136" s="11" t="s">
        <v>67</v>
      </c>
      <c r="G136" s="14">
        <v>45839.0</v>
      </c>
      <c r="H136" s="15">
        <f t="shared" si="1"/>
        <v>46569</v>
      </c>
      <c r="I136" s="11" t="s">
        <v>48</v>
      </c>
      <c r="J136" s="16" t="str">
        <f>VLOOKUP(A136,Asteriscati25!B:N,13,0)</f>
        <v>#N/A</v>
      </c>
      <c r="K136" s="17"/>
      <c r="L136" s="18" t="str">
        <f t="shared" si="2"/>
        <v>#REF!</v>
      </c>
      <c r="M136" s="19">
        <f>VLOOKUP(B136,FVM_Asta2526!A:N,14,0)</f>
        <v>64</v>
      </c>
      <c r="N136" s="18">
        <f>VLOOKUP(A136,FVM_update!B:N,13,0)</f>
        <v>18</v>
      </c>
      <c r="O136" s="20">
        <f>VLOOKUP(B136,'FVM_1luglio-31luglio25'!D:Q,14,0)</f>
        <v>50</v>
      </c>
      <c r="P136" s="20">
        <f t="shared" si="8"/>
        <v>18</v>
      </c>
      <c r="Q136" s="21">
        <f t="shared" si="4"/>
        <v>7.5</v>
      </c>
      <c r="R136" s="21">
        <f t="shared" si="7"/>
        <v>7.5</v>
      </c>
      <c r="S136" s="20"/>
      <c r="T136" s="17"/>
      <c r="U136" s="16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</row>
    <row r="137" ht="22.5" customHeight="1">
      <c r="A137" s="9">
        <f>VLOOKUP(B137,FVM_update!A:B,2,0)</f>
        <v>5792</v>
      </c>
      <c r="B137" s="25" t="s">
        <v>202</v>
      </c>
      <c r="C137" s="11" t="s">
        <v>193</v>
      </c>
      <c r="D137" s="12" t="str">
        <f>VLOOKUP(B137,FVM_update!A:F,6,0)</f>
        <v>Atalanta</v>
      </c>
      <c r="E137" s="13" t="str">
        <f>VLOOKUP(B137,FVM_update!A:E,4,0)</f>
        <v>M;C</v>
      </c>
      <c r="F137" s="11" t="s">
        <v>59</v>
      </c>
      <c r="G137" s="14">
        <v>45474.0</v>
      </c>
      <c r="H137" s="15">
        <f t="shared" si="1"/>
        <v>46569</v>
      </c>
      <c r="I137" s="11" t="s">
        <v>126</v>
      </c>
      <c r="J137" s="16" t="str">
        <f>VLOOKUP(A137,Asteriscati25!B:N,13,0)</f>
        <v>#N/A</v>
      </c>
      <c r="K137" s="26">
        <v>0.6</v>
      </c>
      <c r="L137" s="18" t="str">
        <f t="shared" si="2"/>
        <v>#REF!</v>
      </c>
      <c r="M137" s="19">
        <f>VLOOKUP(B137,FVM_Asta2425!A:M,13,0)</f>
        <v>67</v>
      </c>
      <c r="N137" s="18">
        <f>VLOOKUP(A137,FVM_update!B:N,13,0)</f>
        <v>39</v>
      </c>
      <c r="O137" s="20">
        <f>VLOOKUP(B137,'FVM_1luglio-31luglio25'!D:Q,14,0)</f>
        <v>63</v>
      </c>
      <c r="P137" s="20">
        <f t="shared" si="8"/>
        <v>39</v>
      </c>
      <c r="Q137" s="21">
        <f t="shared" si="4"/>
        <v>8</v>
      </c>
      <c r="R137" s="21">
        <f t="shared" si="7"/>
        <v>5</v>
      </c>
      <c r="S137" s="20"/>
      <c r="T137" s="22"/>
      <c r="U137" s="23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</row>
    <row r="138" ht="22.5" customHeight="1">
      <c r="A138" s="9">
        <f>VLOOKUP(B138,FVM_update!A:B,2,0)</f>
        <v>7071</v>
      </c>
      <c r="B138" s="10" t="s">
        <v>203</v>
      </c>
      <c r="C138" s="11" t="s">
        <v>193</v>
      </c>
      <c r="D138" s="12" t="str">
        <f>VLOOKUP(B138,FVM_update!A:F,6,0)</f>
        <v>Inter</v>
      </c>
      <c r="E138" s="13" t="str">
        <f>VLOOKUP(B138,FVM_update!A:E,4,0)</f>
        <v>Pc</v>
      </c>
      <c r="F138" s="11" t="s">
        <v>59</v>
      </c>
      <c r="G138" s="14">
        <v>45839.0</v>
      </c>
      <c r="H138" s="15">
        <f t="shared" si="1"/>
        <v>46935</v>
      </c>
      <c r="I138" s="11" t="s">
        <v>48</v>
      </c>
      <c r="J138" s="16" t="str">
        <f>VLOOKUP(A138,Asteriscati25!B:N,13,0)</f>
        <v>#N/A</v>
      </c>
      <c r="K138" s="17"/>
      <c r="L138" s="18" t="str">
        <f t="shared" si="2"/>
        <v>#REF!</v>
      </c>
      <c r="M138" s="19">
        <f>VLOOKUP(B138,FVM_Asta2526!A:N,14,0)</f>
        <v>13</v>
      </c>
      <c r="N138" s="18">
        <f>VLOOKUP(A138,FVM_update!B:N,13,0)</f>
        <v>35</v>
      </c>
      <c r="O138" s="20" t="str">
        <f>VLOOKUP(B138,'FVM_1luglio-31luglio25'!D:Q,14,0)</f>
        <v>#N/A</v>
      </c>
      <c r="P138" s="20">
        <f t="shared" si="8"/>
        <v>35</v>
      </c>
      <c r="Q138" s="21">
        <f t="shared" si="4"/>
        <v>1.5</v>
      </c>
      <c r="R138" s="21">
        <f t="shared" si="7"/>
        <v>1.5</v>
      </c>
      <c r="S138" s="20"/>
      <c r="T138" s="22"/>
      <c r="U138" s="23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</row>
    <row r="139" ht="22.5" customHeight="1">
      <c r="A139" s="9">
        <f>VLOOKUP(B139,FVM_update!A:B,2,0)</f>
        <v>2134</v>
      </c>
      <c r="B139" s="25" t="s">
        <v>204</v>
      </c>
      <c r="C139" s="11" t="s">
        <v>193</v>
      </c>
      <c r="D139" s="12" t="str">
        <f>VLOOKUP(B139,FVM_update!A:F,6,0)</f>
        <v>Lecce</v>
      </c>
      <c r="E139" s="13" t="str">
        <f>VLOOKUP(B139,FVM_update!A:E,4,0)</f>
        <v>Por</v>
      </c>
      <c r="F139" s="17" t="str">
        <f>VLOOKUP(B139,'situazione contratti estate 24'!A:I,9,0)</f>
        <v>Obbligo 1+2</v>
      </c>
      <c r="G139" s="14">
        <v>45108.0</v>
      </c>
      <c r="H139" s="15">
        <f t="shared" si="1"/>
        <v>46204</v>
      </c>
      <c r="I139" s="11" t="s">
        <v>48</v>
      </c>
      <c r="J139" s="16" t="str">
        <f>VLOOKUP(A139,Asteriscati25!B:N,13,0)</f>
        <v>#N/A</v>
      </c>
      <c r="K139" s="26">
        <v>0.0</v>
      </c>
      <c r="L139" s="18" t="str">
        <f t="shared" si="2"/>
        <v>#REF!</v>
      </c>
      <c r="M139" s="19">
        <f>VLOOKUP(B139,FVM_Asta2324!C:M,11,0)</f>
        <v>22</v>
      </c>
      <c r="N139" s="18">
        <f>VLOOKUP(A139,FVM_update!B:N,13,0)</f>
        <v>40</v>
      </c>
      <c r="O139" s="20">
        <f>VLOOKUP(B139,'FVM_1luglio-31luglio25'!D:Q,14,0)</f>
        <v>25</v>
      </c>
      <c r="P139" s="20">
        <f t="shared" si="8"/>
        <v>40</v>
      </c>
      <c r="Q139" s="21">
        <f t="shared" si="4"/>
        <v>3</v>
      </c>
      <c r="R139" s="21">
        <f t="shared" si="7"/>
        <v>3</v>
      </c>
      <c r="S139" s="20"/>
      <c r="T139" s="22"/>
      <c r="U139" s="23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</row>
    <row r="140" ht="22.5" customHeight="1">
      <c r="A140" s="9">
        <f>VLOOKUP(B140,FVM_update!A:B,2,0)</f>
        <v>5791</v>
      </c>
      <c r="B140" s="75" t="s">
        <v>205</v>
      </c>
      <c r="C140" s="11" t="s">
        <v>193</v>
      </c>
      <c r="D140" s="12" t="str">
        <f>VLOOKUP(B140,FVM_update!A:F,6,0)</f>
        <v>Genoa</v>
      </c>
      <c r="E140" s="13" t="str">
        <f>VLOOKUP(B140,FVM_update!A:E,4,0)</f>
        <v>M;C</v>
      </c>
      <c r="F140" s="11" t="s">
        <v>45</v>
      </c>
      <c r="G140" s="14">
        <v>45839.0</v>
      </c>
      <c r="H140" s="15">
        <f t="shared" si="1"/>
        <v>46204</v>
      </c>
      <c r="I140" s="11" t="s">
        <v>48</v>
      </c>
      <c r="J140" s="16" t="str">
        <f>VLOOKUP(A140,Asteriscati25!B:N,13,0)</f>
        <v>#N/A</v>
      </c>
      <c r="K140" s="17"/>
      <c r="L140" s="18" t="str">
        <f t="shared" si="2"/>
        <v>#REF!</v>
      </c>
      <c r="M140" s="19">
        <f>VLOOKUP(B140,FVM_Asta2526!A:N,14,0)</f>
        <v>24</v>
      </c>
      <c r="N140" s="18">
        <f>VLOOKUP(A140,FVM_update!B:N,13,0)</f>
        <v>28</v>
      </c>
      <c r="O140" s="20">
        <f>VLOOKUP(B140,'FVM_1luglio-31luglio25'!D:Q,14,0)</f>
        <v>31</v>
      </c>
      <c r="P140" s="20">
        <f t="shared" si="8"/>
        <v>28</v>
      </c>
      <c r="Q140" s="21">
        <f t="shared" si="4"/>
        <v>2.5</v>
      </c>
      <c r="R140" s="21">
        <f t="shared" si="7"/>
        <v>2.5</v>
      </c>
      <c r="S140" s="20"/>
      <c r="T140" s="17"/>
      <c r="U140" s="16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</row>
    <row r="141" ht="22.5" customHeight="1">
      <c r="A141" s="9">
        <f>VLOOKUP(B141,FVM_update!A:B,2,0)</f>
        <v>5010</v>
      </c>
      <c r="B141" s="75" t="s">
        <v>206</v>
      </c>
      <c r="C141" s="11" t="s">
        <v>193</v>
      </c>
      <c r="D141" s="12" t="str">
        <f>VLOOKUP(B141,FVM_update!A:F,6,0)</f>
        <v>Torino</v>
      </c>
      <c r="E141" s="13" t="str">
        <f>VLOOKUP(B141,FVM_update!A:E,4,0)</f>
        <v>Dc</v>
      </c>
      <c r="F141" s="11" t="s">
        <v>45</v>
      </c>
      <c r="G141" s="14">
        <v>45839.0</v>
      </c>
      <c r="H141" s="15">
        <f t="shared" si="1"/>
        <v>46204</v>
      </c>
      <c r="I141" s="11" t="s">
        <v>48</v>
      </c>
      <c r="J141" s="16" t="str">
        <f>VLOOKUP(A141,Asteriscati25!B:N,13,0)</f>
        <v>#N/A</v>
      </c>
      <c r="K141" s="17"/>
      <c r="L141" s="18" t="str">
        <f t="shared" si="2"/>
        <v>#REF!</v>
      </c>
      <c r="M141" s="19">
        <f>VLOOKUP(B141,FVM_Asta2526!A:N,14,0)</f>
        <v>13</v>
      </c>
      <c r="N141" s="18">
        <f>VLOOKUP(A141,FVM_update!B:N,13,0)</f>
        <v>10</v>
      </c>
      <c r="O141" s="20">
        <f>VLOOKUP(B141,'FVM_1luglio-31luglio25'!D:Q,14,0)</f>
        <v>14</v>
      </c>
      <c r="P141" s="20">
        <f t="shared" si="8"/>
        <v>10</v>
      </c>
      <c r="Q141" s="21">
        <f t="shared" si="4"/>
        <v>1.5</v>
      </c>
      <c r="R141" s="21">
        <f t="shared" si="7"/>
        <v>1.5</v>
      </c>
      <c r="S141" s="20"/>
      <c r="T141" s="17"/>
      <c r="U141" s="16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</row>
    <row r="142" ht="22.5" customHeight="1">
      <c r="A142" s="9">
        <f>VLOOKUP(B142,FVM_update!A:B,2,0)</f>
        <v>7203</v>
      </c>
      <c r="B142" s="75" t="s">
        <v>207</v>
      </c>
      <c r="C142" s="11" t="s">
        <v>193</v>
      </c>
      <c r="D142" s="12" t="str">
        <f>VLOOKUP(B142,FVM_update!A:F,6,0)</f>
        <v>Milan</v>
      </c>
      <c r="E142" s="13" t="str">
        <f>VLOOKUP(B142,FVM_update!A:E,4,0)</f>
        <v>C</v>
      </c>
      <c r="F142" s="11" t="s">
        <v>59</v>
      </c>
      <c r="G142" s="14">
        <v>45839.0</v>
      </c>
      <c r="H142" s="15">
        <f t="shared" si="1"/>
        <v>46935</v>
      </c>
      <c r="I142" s="11" t="s">
        <v>48</v>
      </c>
      <c r="J142" s="16" t="str">
        <f>VLOOKUP(A142,Asteriscati25!B:N,13,0)</f>
        <v>#N/A</v>
      </c>
      <c r="K142" s="17"/>
      <c r="L142" s="18" t="str">
        <f t="shared" si="2"/>
        <v>#REF!</v>
      </c>
      <c r="M142" s="19">
        <f>VLOOKUP(B142,FVM_Asta2526!A:N,14,0)</f>
        <v>23</v>
      </c>
      <c r="N142" s="18">
        <f>VLOOKUP(A142,FVM_update!B:N,13,0)</f>
        <v>11</v>
      </c>
      <c r="O142" s="20" t="str">
        <f>VLOOKUP(B142,'FVM_1luglio-31luglio25'!D:Q,14,0)</f>
        <v>#N/A</v>
      </c>
      <c r="P142" s="20">
        <f t="shared" si="8"/>
        <v>11</v>
      </c>
      <c r="Q142" s="21">
        <f t="shared" si="4"/>
        <v>3</v>
      </c>
      <c r="R142" s="21">
        <f t="shared" si="7"/>
        <v>3</v>
      </c>
      <c r="S142" s="20"/>
      <c r="T142" s="17"/>
      <c r="U142" s="16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</row>
    <row r="143" ht="22.5" customHeight="1">
      <c r="A143" s="9" t="str">
        <f>VLOOKUP(B143,FVM_update!A:B,2,0)</f>
        <v>#N/A</v>
      </c>
      <c r="B143" s="25" t="s">
        <v>208</v>
      </c>
      <c r="C143" s="11" t="s">
        <v>193</v>
      </c>
      <c r="D143" s="12" t="str">
        <f>VLOOKUP(B143,FVM_update!A:F,6,0)</f>
        <v>#N/A</v>
      </c>
      <c r="E143" s="13" t="str">
        <f>VLOOKUP(B143,FVM_update!A:E,4,0)</f>
        <v>#N/A</v>
      </c>
      <c r="F143" s="11" t="s">
        <v>43</v>
      </c>
      <c r="G143" s="14">
        <v>45474.0</v>
      </c>
      <c r="H143" s="15">
        <f t="shared" si="1"/>
        <v>401768</v>
      </c>
      <c r="I143" s="11" t="s">
        <v>43</v>
      </c>
      <c r="J143" s="16" t="str">
        <f>VLOOKUP(A143,Asteriscati25!B:N,13,0)</f>
        <v>#N/A</v>
      </c>
      <c r="K143" s="29">
        <v>0.0</v>
      </c>
      <c r="L143" s="18" t="str">
        <f t="shared" si="2"/>
        <v>#REF!</v>
      </c>
      <c r="M143" s="19">
        <f>VLOOKUP(B143,FVM_Asta2425!A:M,13,0)</f>
        <v>1</v>
      </c>
      <c r="N143" s="18" t="str">
        <f>VLOOKUP(A143,FVM_update!B:N,13,0)</f>
        <v>#N/A</v>
      </c>
      <c r="O143" s="20" t="str">
        <f>VLOOKUP(B143,'FVM_1luglio-31luglio25'!D:Q,14,0)</f>
        <v>#N/A</v>
      </c>
      <c r="P143" s="9">
        <v>0.0</v>
      </c>
      <c r="Q143" s="21">
        <f t="shared" si="4"/>
        <v>0.5</v>
      </c>
      <c r="R143" s="21">
        <f t="shared" si="7"/>
        <v>0.5</v>
      </c>
      <c r="S143" s="20"/>
      <c r="T143" s="17"/>
      <c r="U143" s="16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</row>
    <row r="144" ht="22.5" customHeight="1">
      <c r="A144" s="9">
        <f>VLOOKUP(B144,FVM_update!A:B,2,0)</f>
        <v>7120</v>
      </c>
      <c r="B144" s="10" t="s">
        <v>209</v>
      </c>
      <c r="C144" s="11" t="s">
        <v>193</v>
      </c>
      <c r="D144" s="12" t="str">
        <f>VLOOKUP(B144,FVM_update!A:F,6,0)</f>
        <v>Napoli</v>
      </c>
      <c r="E144" s="13" t="str">
        <f>VLOOKUP(B144,FVM_update!A:E,4,0)</f>
        <v>A</v>
      </c>
      <c r="F144" s="11" t="s">
        <v>45</v>
      </c>
      <c r="G144" s="14">
        <v>45839.0</v>
      </c>
      <c r="H144" s="15">
        <f t="shared" si="1"/>
        <v>46204</v>
      </c>
      <c r="I144" s="11" t="s">
        <v>46</v>
      </c>
      <c r="J144" s="16" t="str">
        <f>VLOOKUP(A144,Asteriscati25!B:N,13,0)</f>
        <v>#N/A</v>
      </c>
      <c r="K144" s="17"/>
      <c r="L144" s="18" t="str">
        <f t="shared" si="2"/>
        <v>#REF!</v>
      </c>
      <c r="M144" s="19">
        <f>VLOOKUP(B144,FVM_Asta2526!A:N,14,0)</f>
        <v>47</v>
      </c>
      <c r="N144" s="18">
        <f>VLOOKUP(A144,FVM_update!B:N,13,0)</f>
        <v>20</v>
      </c>
      <c r="O144" s="20" t="str">
        <f>VLOOKUP(B144,'FVM_1luglio-31luglio25'!D:Q,14,0)</f>
        <v>#N/A</v>
      </c>
      <c r="P144" s="20">
        <f t="shared" ref="P144:P220" si="9">IFERROR(N144,O144)</f>
        <v>20</v>
      </c>
      <c r="Q144" s="21">
        <f t="shared" si="4"/>
        <v>5</v>
      </c>
      <c r="R144" s="21">
        <f t="shared" si="7"/>
        <v>2.5</v>
      </c>
      <c r="S144" s="20"/>
      <c r="T144" s="22"/>
      <c r="U144" s="23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</row>
    <row r="145" ht="22.5" customHeight="1">
      <c r="A145" s="9">
        <f>VLOOKUP(B145,FVM_update!A:B,2,0)</f>
        <v>188</v>
      </c>
      <c r="B145" s="75" t="s">
        <v>210</v>
      </c>
      <c r="C145" s="11" t="s">
        <v>193</v>
      </c>
      <c r="D145" s="12" t="str">
        <f>VLOOKUP(B145,FVM_update!A:F,6,0)</f>
        <v>Genoa</v>
      </c>
      <c r="E145" s="13" t="str">
        <f>VLOOKUP(B145,FVM_update!A:E,4,0)</f>
        <v>Por</v>
      </c>
      <c r="F145" s="11" t="s">
        <v>45</v>
      </c>
      <c r="G145" s="14">
        <v>45839.0</v>
      </c>
      <c r="H145" s="15">
        <f t="shared" si="1"/>
        <v>46204</v>
      </c>
      <c r="I145" s="11" t="s">
        <v>46</v>
      </c>
      <c r="J145" s="16" t="str">
        <f>VLOOKUP(A145,Asteriscati25!B:N,13,0)</f>
        <v>#N/A</v>
      </c>
      <c r="K145" s="17"/>
      <c r="L145" s="18" t="str">
        <f t="shared" si="2"/>
        <v>#REF!</v>
      </c>
      <c r="M145" s="19">
        <f>VLOOKUP(B145,FVM_Asta2526!A:N,14,0)</f>
        <v>30</v>
      </c>
      <c r="N145" s="18">
        <f>VLOOKUP(A145,FVM_update!B:N,13,0)</f>
        <v>2</v>
      </c>
      <c r="O145" s="20">
        <f>VLOOKUP(B145,'FVM_1luglio-31luglio25'!D:Q,14,0)</f>
        <v>14</v>
      </c>
      <c r="P145" s="20">
        <f t="shared" si="9"/>
        <v>2</v>
      </c>
      <c r="Q145" s="21">
        <f t="shared" si="4"/>
        <v>3</v>
      </c>
      <c r="R145" s="21">
        <f t="shared" si="7"/>
        <v>1.5</v>
      </c>
      <c r="S145" s="20"/>
      <c r="T145" s="17"/>
      <c r="U145" s="16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</row>
    <row r="146" ht="22.5" customHeight="1">
      <c r="A146" s="9">
        <f>VLOOKUP(B146,FVM_update!A:B,2,0)</f>
        <v>313</v>
      </c>
      <c r="B146" s="10" t="s">
        <v>211</v>
      </c>
      <c r="C146" s="11" t="s">
        <v>193</v>
      </c>
      <c r="D146" s="12" t="str">
        <f>VLOOKUP(B146,FVM_update!A:F,6,0)</f>
        <v>Como</v>
      </c>
      <c r="E146" s="13" t="str">
        <f>VLOOKUP(B146,FVM_update!A:E,4,0)</f>
        <v>Pc</v>
      </c>
      <c r="F146" s="11" t="s">
        <v>45</v>
      </c>
      <c r="G146" s="14">
        <v>45839.0</v>
      </c>
      <c r="H146" s="15">
        <f t="shared" si="1"/>
        <v>46204</v>
      </c>
      <c r="I146" s="11" t="s">
        <v>46</v>
      </c>
      <c r="J146" s="16" t="str">
        <f>VLOOKUP(A146,Asteriscati25!B:N,13,0)</f>
        <v>#N/A</v>
      </c>
      <c r="K146" s="17"/>
      <c r="L146" s="18" t="str">
        <f t="shared" si="2"/>
        <v>#REF!</v>
      </c>
      <c r="M146" s="19">
        <f>VLOOKUP(B146,FVM_Asta2526!A:N,14,0)</f>
        <v>75</v>
      </c>
      <c r="N146" s="18">
        <f>VLOOKUP(A146,FVM_update!B:N,13,0)</f>
        <v>10</v>
      </c>
      <c r="O146" s="20" t="str">
        <f>VLOOKUP(B146,'FVM_1luglio-31luglio25'!D:Q,14,0)</f>
        <v>#N/A</v>
      </c>
      <c r="P146" s="20">
        <f t="shared" si="9"/>
        <v>10</v>
      </c>
      <c r="Q146" s="21">
        <f t="shared" si="4"/>
        <v>7.5</v>
      </c>
      <c r="R146" s="21">
        <f t="shared" si="7"/>
        <v>4</v>
      </c>
      <c r="S146" s="20"/>
      <c r="T146" s="22"/>
      <c r="U146" s="23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</row>
    <row r="147" ht="22.5" customHeight="1">
      <c r="A147" s="9">
        <f>VLOOKUP(B147,FVM_update!A:B,2,0)</f>
        <v>5840</v>
      </c>
      <c r="B147" s="75" t="s">
        <v>212</v>
      </c>
      <c r="C147" s="11" t="s">
        <v>193</v>
      </c>
      <c r="D147" s="12" t="str">
        <f>VLOOKUP(B147,FVM_update!A:F,6,0)</f>
        <v>Napoli</v>
      </c>
      <c r="E147" s="13" t="str">
        <f>VLOOKUP(B147,FVM_update!A:E,4,0)</f>
        <v>Ds;E</v>
      </c>
      <c r="F147" s="11" t="s">
        <v>45</v>
      </c>
      <c r="G147" s="14">
        <v>45839.0</v>
      </c>
      <c r="H147" s="15">
        <f t="shared" si="1"/>
        <v>46204</v>
      </c>
      <c r="I147" s="11" t="s">
        <v>48</v>
      </c>
      <c r="J147" s="16" t="str">
        <f>VLOOKUP(A147,Asteriscati25!B:N,13,0)</f>
        <v>#N/A</v>
      </c>
      <c r="K147" s="17"/>
      <c r="L147" s="18" t="str">
        <f t="shared" si="2"/>
        <v>#REF!</v>
      </c>
      <c r="M147" s="19">
        <f>VLOOKUP(B147,FVM_Asta2526!A:N,14,0)</f>
        <v>21</v>
      </c>
      <c r="N147" s="18">
        <f>VLOOKUP(A147,FVM_update!B:N,13,0)</f>
        <v>9</v>
      </c>
      <c r="O147" s="20">
        <f>VLOOKUP(B147,'FVM_1luglio-31luglio25'!D:Q,14,0)</f>
        <v>24</v>
      </c>
      <c r="P147" s="20">
        <f t="shared" si="9"/>
        <v>9</v>
      </c>
      <c r="Q147" s="21">
        <f t="shared" si="4"/>
        <v>2.5</v>
      </c>
      <c r="R147" s="21">
        <f t="shared" si="7"/>
        <v>2.5</v>
      </c>
      <c r="S147" s="20"/>
      <c r="T147" s="17"/>
      <c r="U147" s="16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</row>
    <row r="148" ht="22.5" customHeight="1">
      <c r="A148" s="9">
        <f>VLOOKUP(B148,FVM_update!A:B,2,0)</f>
        <v>6314</v>
      </c>
      <c r="B148" s="10" t="s">
        <v>213</v>
      </c>
      <c r="C148" s="11" t="s">
        <v>193</v>
      </c>
      <c r="D148" s="12" t="str">
        <f>VLOOKUP(B148,FVM_update!A:F,6,0)</f>
        <v>Juventus</v>
      </c>
      <c r="E148" s="13" t="str">
        <f>VLOOKUP(B148,FVM_update!A:E,4,0)</f>
        <v>Pc</v>
      </c>
      <c r="F148" s="11" t="s">
        <v>45</v>
      </c>
      <c r="G148" s="14">
        <v>45839.0</v>
      </c>
      <c r="H148" s="15">
        <f t="shared" si="1"/>
        <v>46204</v>
      </c>
      <c r="I148" s="11" t="s">
        <v>46</v>
      </c>
      <c r="J148" s="16" t="str">
        <f>VLOOKUP(A148,Asteriscati25!B:N,13,0)</f>
        <v>#N/A</v>
      </c>
      <c r="K148" s="17"/>
      <c r="L148" s="18" t="str">
        <f t="shared" si="2"/>
        <v>#REF!</v>
      </c>
      <c r="M148" s="19">
        <f>VLOOKUP(B148,FVM_Asta2526!A:N,14,0)</f>
        <v>147</v>
      </c>
      <c r="N148" s="18">
        <f>VLOOKUP(A148,FVM_update!B:N,13,0)</f>
        <v>15</v>
      </c>
      <c r="O148" s="20" t="str">
        <f>VLOOKUP(B148,'FVM_1luglio-31luglio25'!D:Q,14,0)</f>
        <v>#N/A</v>
      </c>
      <c r="P148" s="20">
        <f t="shared" si="9"/>
        <v>15</v>
      </c>
      <c r="Q148" s="21">
        <f t="shared" si="4"/>
        <v>15</v>
      </c>
      <c r="R148" s="21">
        <f t="shared" si="7"/>
        <v>7.5</v>
      </c>
      <c r="S148" s="20"/>
      <c r="T148" s="22"/>
      <c r="U148" s="23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</row>
    <row r="149" ht="22.5" customHeight="1">
      <c r="A149" s="9">
        <f>VLOOKUP(B149,FVM_update!A:B,2,0)</f>
        <v>6552</v>
      </c>
      <c r="B149" s="75" t="s">
        <v>214</v>
      </c>
      <c r="C149" s="11" t="s">
        <v>193</v>
      </c>
      <c r="D149" s="12" t="str">
        <f>VLOOKUP(B149,FVM_update!A:F,6,0)</f>
        <v>Verona</v>
      </c>
      <c r="E149" s="13" t="str">
        <f>VLOOKUP(B149,FVM_update!A:E,4,0)</f>
        <v>Pc</v>
      </c>
      <c r="F149" s="11" t="s">
        <v>45</v>
      </c>
      <c r="G149" s="14">
        <v>45839.0</v>
      </c>
      <c r="H149" s="15">
        <f t="shared" si="1"/>
        <v>46204</v>
      </c>
      <c r="I149" s="11" t="s">
        <v>48</v>
      </c>
      <c r="J149" s="16" t="str">
        <f>VLOOKUP(A149,Asteriscati25!B:N,13,0)</f>
        <v>#N/A</v>
      </c>
      <c r="K149" s="17"/>
      <c r="L149" s="18" t="str">
        <f t="shared" si="2"/>
        <v>#REF!</v>
      </c>
      <c r="M149" s="19">
        <f>VLOOKUP(B149,FVM_Asta2526!A:N,14,0)</f>
        <v>46</v>
      </c>
      <c r="N149" s="18">
        <f>VLOOKUP(A149,FVM_update!B:N,13,0)</f>
        <v>36</v>
      </c>
      <c r="O149" s="20" t="str">
        <f>VLOOKUP(B149,'FVM_1luglio-31luglio25'!D:Q,14,0)</f>
        <v>#N/A</v>
      </c>
      <c r="P149" s="20">
        <f t="shared" si="9"/>
        <v>36</v>
      </c>
      <c r="Q149" s="21">
        <f t="shared" si="4"/>
        <v>5</v>
      </c>
      <c r="R149" s="21">
        <f t="shared" si="7"/>
        <v>5</v>
      </c>
      <c r="S149" s="20"/>
      <c r="T149" s="17"/>
      <c r="U149" s="16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</row>
    <row r="150" ht="22.5" customHeight="1">
      <c r="A150" s="9">
        <f>VLOOKUP(B150,FVM_update!A:B,2,0)</f>
        <v>6832</v>
      </c>
      <c r="B150" s="75" t="s">
        <v>215</v>
      </c>
      <c r="C150" s="11" t="s">
        <v>193</v>
      </c>
      <c r="D150" s="12" t="str">
        <f>VLOOKUP(B150,FVM_update!A:F,6,0)</f>
        <v>Cagliari</v>
      </c>
      <c r="E150" s="13" t="str">
        <f>VLOOKUP(B150,FVM_update!A:E,4,0)</f>
        <v>E</v>
      </c>
      <c r="F150" s="11" t="s">
        <v>59</v>
      </c>
      <c r="G150" s="14">
        <v>45839.0</v>
      </c>
      <c r="H150" s="15">
        <f t="shared" si="1"/>
        <v>46935</v>
      </c>
      <c r="I150" s="11" t="s">
        <v>48</v>
      </c>
      <c r="J150" s="16" t="str">
        <f>VLOOKUP(A150,Asteriscati25!B:N,13,0)</f>
        <v>#N/A</v>
      </c>
      <c r="K150" s="17"/>
      <c r="L150" s="18" t="str">
        <f t="shared" si="2"/>
        <v>#REF!</v>
      </c>
      <c r="M150" s="19">
        <f>VLOOKUP(B150,FVM_Asta2526!A:N,14,0)</f>
        <v>7</v>
      </c>
      <c r="N150" s="18">
        <f>VLOOKUP(A150,FVM_update!B:N,13,0)</f>
        <v>79</v>
      </c>
      <c r="O150" s="20" t="str">
        <f>VLOOKUP(B150,'FVM_1luglio-31luglio25'!D:Q,14,0)</f>
        <v>#N/A</v>
      </c>
      <c r="P150" s="20">
        <f t="shared" si="9"/>
        <v>79</v>
      </c>
      <c r="Q150" s="21">
        <f t="shared" si="4"/>
        <v>1</v>
      </c>
      <c r="R150" s="21">
        <f t="shared" si="7"/>
        <v>1</v>
      </c>
      <c r="S150" s="20"/>
      <c r="T150" s="17"/>
      <c r="U150" s="16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</row>
    <row r="151" ht="22.5" customHeight="1">
      <c r="A151" s="9">
        <f>VLOOKUP(B151,FVM_update!A:B,2,0)</f>
        <v>4359</v>
      </c>
      <c r="B151" s="75" t="s">
        <v>216</v>
      </c>
      <c r="C151" s="11" t="s">
        <v>193</v>
      </c>
      <c r="D151" s="12" t="str">
        <f>VLOOKUP(B151,FVM_update!A:F,6,0)</f>
        <v>Fiorentina</v>
      </c>
      <c r="E151" s="13" t="str">
        <f>VLOOKUP(B151,FVM_update!A:E,4,0)</f>
        <v>Pc</v>
      </c>
      <c r="F151" s="11" t="s">
        <v>59</v>
      </c>
      <c r="G151" s="14">
        <v>45839.0</v>
      </c>
      <c r="H151" s="15">
        <f t="shared" si="1"/>
        <v>46935</v>
      </c>
      <c r="I151" s="11" t="s">
        <v>48</v>
      </c>
      <c r="J151" s="16" t="str">
        <f>VLOOKUP(A151,Asteriscati25!B:N,13,0)</f>
        <v>#N/A</v>
      </c>
      <c r="K151" s="17"/>
      <c r="L151" s="18" t="str">
        <f t="shared" si="2"/>
        <v>#REF!</v>
      </c>
      <c r="M151" s="19">
        <f>VLOOKUP(B151,FVM_Asta2526!A:N,14,0)</f>
        <v>77</v>
      </c>
      <c r="N151" s="18">
        <f>VLOOKUP(A151,FVM_update!B:N,13,0)</f>
        <v>12</v>
      </c>
      <c r="O151" s="20">
        <f>VLOOKUP(B151,'FVM_1luglio-31luglio25'!D:Q,14,0)</f>
        <v>61</v>
      </c>
      <c r="P151" s="20">
        <f t="shared" si="9"/>
        <v>12</v>
      </c>
      <c r="Q151" s="21">
        <f t="shared" si="4"/>
        <v>9</v>
      </c>
      <c r="R151" s="21">
        <f t="shared" si="7"/>
        <v>9</v>
      </c>
      <c r="S151" s="20"/>
      <c r="T151" s="17"/>
      <c r="U151" s="16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</row>
    <row r="152" ht="22.5" customHeight="1">
      <c r="A152" s="9">
        <f>VLOOKUP(B152,FVM_update!A:B,2,0)</f>
        <v>6549</v>
      </c>
      <c r="B152" s="75" t="s">
        <v>217</v>
      </c>
      <c r="C152" s="11" t="s">
        <v>193</v>
      </c>
      <c r="D152" s="12" t="str">
        <f>VLOOKUP(B152,FVM_update!A:F,6,0)</f>
        <v>Lecce</v>
      </c>
      <c r="E152" s="13" t="str">
        <f>VLOOKUP(B152,FVM_update!A:E,4,0)</f>
        <v>W;A</v>
      </c>
      <c r="F152" s="11" t="s">
        <v>45</v>
      </c>
      <c r="G152" s="14">
        <v>45839.0</v>
      </c>
      <c r="H152" s="15">
        <f t="shared" si="1"/>
        <v>46204</v>
      </c>
      <c r="I152" s="11" t="s">
        <v>48</v>
      </c>
      <c r="J152" s="16" t="str">
        <f>VLOOKUP(A152,Asteriscati25!B:N,13,0)</f>
        <v>#N/A</v>
      </c>
      <c r="K152" s="17"/>
      <c r="L152" s="18" t="str">
        <f t="shared" si="2"/>
        <v>#REF!</v>
      </c>
      <c r="M152" s="19">
        <f>VLOOKUP(B152,FVM_Asta2526!A:N,14,0)</f>
        <v>18</v>
      </c>
      <c r="N152" s="18">
        <f>VLOOKUP(A152,FVM_update!B:N,13,0)</f>
        <v>12</v>
      </c>
      <c r="O152" s="20">
        <f>VLOOKUP(B152,'FVM_1luglio-31luglio25'!D:Q,14,0)</f>
        <v>12</v>
      </c>
      <c r="P152" s="20">
        <f t="shared" si="9"/>
        <v>12</v>
      </c>
      <c r="Q152" s="21">
        <f t="shared" si="4"/>
        <v>2</v>
      </c>
      <c r="R152" s="21">
        <f t="shared" si="7"/>
        <v>2</v>
      </c>
      <c r="S152" s="20"/>
      <c r="T152" s="17"/>
      <c r="U152" s="16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</row>
    <row r="153" ht="22.5" customHeight="1">
      <c r="A153" s="9">
        <f>VLOOKUP(B153,FVM_update!A:B,2,0)</f>
        <v>7240</v>
      </c>
      <c r="B153" s="76" t="s">
        <v>218</v>
      </c>
      <c r="C153" s="11" t="s">
        <v>193</v>
      </c>
      <c r="D153" s="12" t="str">
        <f>VLOOKUP(B153,FVM_update!A:F,6,0)</f>
        <v>Lecce</v>
      </c>
      <c r="E153" s="13" t="str">
        <f>VLOOKUP(B153,FVM_update!A:E,4,0)</f>
        <v>Dc</v>
      </c>
      <c r="F153" s="11" t="s">
        <v>45</v>
      </c>
      <c r="G153" s="14">
        <v>45839.0</v>
      </c>
      <c r="H153" s="15">
        <f t="shared" si="1"/>
        <v>46204</v>
      </c>
      <c r="I153" s="11" t="s">
        <v>46</v>
      </c>
      <c r="J153" s="16" t="str">
        <f>VLOOKUP(A153,Asteriscati25!B:N,13,0)</f>
        <v>#N/A</v>
      </c>
      <c r="K153" s="17"/>
      <c r="L153" s="18" t="str">
        <f t="shared" si="2"/>
        <v>#REF!</v>
      </c>
      <c r="M153" s="19">
        <f>VLOOKUP(B153,FVM_Asta2526!A:N,14,0)</f>
        <v>11</v>
      </c>
      <c r="N153" s="18">
        <f>VLOOKUP(A153,FVM_update!B:N,13,0)</f>
        <v>6</v>
      </c>
      <c r="O153" s="20" t="str">
        <f>VLOOKUP(B153,'FVM_1luglio-31luglio25'!D:Q,14,0)</f>
        <v>#N/A</v>
      </c>
      <c r="P153" s="20">
        <f t="shared" si="9"/>
        <v>6</v>
      </c>
      <c r="Q153" s="21">
        <f t="shared" si="4"/>
        <v>1.5</v>
      </c>
      <c r="R153" s="21">
        <f t="shared" si="7"/>
        <v>1</v>
      </c>
      <c r="S153" s="20"/>
      <c r="T153" s="17"/>
      <c r="U153" s="16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</row>
    <row r="154" ht="22.5" customHeight="1">
      <c r="A154" s="9">
        <f>VLOOKUP(B154,FVM_update!A:B,2,0)</f>
        <v>6956</v>
      </c>
      <c r="B154" s="75" t="s">
        <v>219</v>
      </c>
      <c r="C154" s="11" t="s">
        <v>193</v>
      </c>
      <c r="D154" s="12" t="str">
        <f>VLOOKUP(B154,FVM_update!A:F,6,0)</f>
        <v>Udinese</v>
      </c>
      <c r="E154" s="13" t="str">
        <f>VLOOKUP(B154,FVM_update!A:E,4,0)</f>
        <v>Dc</v>
      </c>
      <c r="F154" s="11" t="s">
        <v>59</v>
      </c>
      <c r="G154" s="14">
        <v>45839.0</v>
      </c>
      <c r="H154" s="15">
        <f t="shared" si="1"/>
        <v>46935</v>
      </c>
      <c r="I154" s="11" t="s">
        <v>48</v>
      </c>
      <c r="J154" s="16" t="str">
        <f>VLOOKUP(A154,Asteriscati25!B:N,13,0)</f>
        <v>#N/A</v>
      </c>
      <c r="K154" s="17"/>
      <c r="L154" s="18" t="str">
        <f t="shared" si="2"/>
        <v>#REF!</v>
      </c>
      <c r="M154" s="19">
        <f>VLOOKUP(B154,FVM_Asta2526!A:N,14,0)</f>
        <v>40</v>
      </c>
      <c r="N154" s="18">
        <f>VLOOKUP(A154,FVM_update!B:N,13,0)</f>
        <v>38</v>
      </c>
      <c r="O154" s="20">
        <f>VLOOKUP(B154,'FVM_1luglio-31luglio25'!D:Q,14,0)</f>
        <v>25</v>
      </c>
      <c r="P154" s="20">
        <f t="shared" si="9"/>
        <v>38</v>
      </c>
      <c r="Q154" s="21">
        <f t="shared" si="4"/>
        <v>5</v>
      </c>
      <c r="R154" s="21">
        <f t="shared" si="7"/>
        <v>5</v>
      </c>
      <c r="S154" s="20"/>
      <c r="T154" s="17"/>
      <c r="U154" s="16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</row>
    <row r="155" ht="22.5" customHeight="1">
      <c r="A155" s="9">
        <f>VLOOKUP(B155,FVM_update!A:B,2,0)</f>
        <v>6989</v>
      </c>
      <c r="B155" s="75" t="s">
        <v>220</v>
      </c>
      <c r="C155" s="11" t="s">
        <v>193</v>
      </c>
      <c r="D155" s="12" t="str">
        <f>VLOOKUP(B155,FVM_update!A:F,6,0)</f>
        <v>Lecce</v>
      </c>
      <c r="E155" s="13" t="str">
        <f>VLOOKUP(B155,FVM_update!A:E,4,0)</f>
        <v>Dc</v>
      </c>
      <c r="F155" s="11" t="s">
        <v>45</v>
      </c>
      <c r="G155" s="14">
        <v>45839.0</v>
      </c>
      <c r="H155" s="15">
        <f t="shared" si="1"/>
        <v>46204</v>
      </c>
      <c r="I155" s="11" t="s">
        <v>48</v>
      </c>
      <c r="J155" s="16" t="str">
        <f>VLOOKUP(A155,Asteriscati25!B:N,13,0)</f>
        <v>#N/A</v>
      </c>
      <c r="K155" s="17"/>
      <c r="L155" s="18" t="str">
        <f t="shared" si="2"/>
        <v>#REF!</v>
      </c>
      <c r="M155" s="19">
        <f>VLOOKUP(B155,FVM_Asta2526!A:N,14,0)</f>
        <v>2</v>
      </c>
      <c r="N155" s="18">
        <f>VLOOKUP(A155,FVM_update!B:N,13,0)</f>
        <v>20</v>
      </c>
      <c r="O155" s="20">
        <f>VLOOKUP(B155,'FVM_1luglio-31luglio25'!D:Q,14,0)</f>
        <v>1</v>
      </c>
      <c r="P155" s="20">
        <f t="shared" si="9"/>
        <v>20</v>
      </c>
      <c r="Q155" s="21">
        <f t="shared" si="4"/>
        <v>0.5</v>
      </c>
      <c r="R155" s="21">
        <f t="shared" si="7"/>
        <v>0.5</v>
      </c>
      <c r="S155" s="20"/>
      <c r="T155" s="17"/>
      <c r="U155" s="16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</row>
    <row r="156" ht="22.5" customHeight="1">
      <c r="A156" s="9">
        <f>VLOOKUP(B156,FVM_update!A:B,2,0)</f>
        <v>5168</v>
      </c>
      <c r="B156" s="75" t="s">
        <v>221</v>
      </c>
      <c r="C156" s="11" t="s">
        <v>193</v>
      </c>
      <c r="D156" s="12" t="str">
        <f>VLOOKUP(B156,FVM_update!A:F,6,0)</f>
        <v>Roma</v>
      </c>
      <c r="E156" s="13" t="str">
        <f>VLOOKUP(B156,FVM_update!A:E,4,0)</f>
        <v>Ds;E</v>
      </c>
      <c r="F156" s="11" t="s">
        <v>45</v>
      </c>
      <c r="G156" s="14">
        <v>45839.0</v>
      </c>
      <c r="H156" s="15">
        <f t="shared" si="1"/>
        <v>46204</v>
      </c>
      <c r="I156" s="11" t="s">
        <v>46</v>
      </c>
      <c r="J156" s="16" t="str">
        <f>VLOOKUP(A156,Asteriscati25!B:N,13,0)</f>
        <v>#N/A</v>
      </c>
      <c r="K156" s="17"/>
      <c r="L156" s="18" t="str">
        <f t="shared" si="2"/>
        <v>#REF!</v>
      </c>
      <c r="M156" s="19">
        <f>VLOOKUP(B156,FVM_Asta2526!A:N,14,0)</f>
        <v>8</v>
      </c>
      <c r="N156" s="18">
        <f>VLOOKUP(A156,FVM_update!B:N,13,0)</f>
        <v>9</v>
      </c>
      <c r="O156" s="20" t="str">
        <f>VLOOKUP(B156,'FVM_1luglio-31luglio25'!D:Q,14,0)</f>
        <v>#N/A</v>
      </c>
      <c r="P156" s="20">
        <f t="shared" si="9"/>
        <v>9</v>
      </c>
      <c r="Q156" s="21">
        <f t="shared" si="4"/>
        <v>1</v>
      </c>
      <c r="R156" s="21">
        <f t="shared" si="7"/>
        <v>0.5</v>
      </c>
      <c r="S156" s="20"/>
      <c r="T156" s="17"/>
      <c r="U156" s="16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</row>
    <row r="157" ht="22.5" customHeight="1">
      <c r="A157" s="9">
        <f>VLOOKUP(B157,FVM_update!A:B,2,0)</f>
        <v>5862</v>
      </c>
      <c r="B157" s="75" t="s">
        <v>222</v>
      </c>
      <c r="C157" s="11" t="s">
        <v>193</v>
      </c>
      <c r="D157" s="12" t="str">
        <f>VLOOKUP(B157,FVM_update!A:F,6,0)</f>
        <v>Parma</v>
      </c>
      <c r="E157" s="13" t="str">
        <f>VLOOKUP(B157,FVM_update!A:E,4,0)</f>
        <v>Ds;E</v>
      </c>
      <c r="F157" s="11" t="s">
        <v>45</v>
      </c>
      <c r="G157" s="14">
        <v>45839.0</v>
      </c>
      <c r="H157" s="15">
        <f t="shared" si="1"/>
        <v>46204</v>
      </c>
      <c r="I157" s="11" t="s">
        <v>48</v>
      </c>
      <c r="J157" s="16" t="str">
        <f>VLOOKUP(A157,Asteriscati25!B:N,13,0)</f>
        <v>#N/A</v>
      </c>
      <c r="K157" s="17"/>
      <c r="L157" s="18" t="str">
        <f t="shared" si="2"/>
        <v>#REF!</v>
      </c>
      <c r="M157" s="19">
        <f>VLOOKUP(B157,FVM_Asta2526!A:N,14,0)</f>
        <v>27</v>
      </c>
      <c r="N157" s="18">
        <f>VLOOKUP(A157,FVM_update!B:N,13,0)</f>
        <v>21</v>
      </c>
      <c r="O157" s="20">
        <f>VLOOKUP(B157,'FVM_1luglio-31luglio25'!D:Q,14,0)</f>
        <v>19</v>
      </c>
      <c r="P157" s="20">
        <f t="shared" si="9"/>
        <v>21</v>
      </c>
      <c r="Q157" s="21">
        <f t="shared" si="4"/>
        <v>3</v>
      </c>
      <c r="R157" s="21">
        <f t="shared" si="7"/>
        <v>3</v>
      </c>
      <c r="S157" s="20"/>
      <c r="T157" s="17"/>
      <c r="U157" s="16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</row>
    <row r="158" ht="22.5" customHeight="1">
      <c r="A158" s="9">
        <f>VLOOKUP(B158,FVM_update!A:B,2,0)</f>
        <v>5687</v>
      </c>
      <c r="B158" s="75" t="s">
        <v>223</v>
      </c>
      <c r="C158" s="11" t="s">
        <v>193</v>
      </c>
      <c r="D158" s="12" t="str">
        <f>VLOOKUP(B158,FVM_update!A:F,6,0)</f>
        <v>Torino</v>
      </c>
      <c r="E158" s="13" t="str">
        <f>VLOOKUP(B158,FVM_update!A:E,4,0)</f>
        <v>T</v>
      </c>
      <c r="F158" s="11" t="s">
        <v>45</v>
      </c>
      <c r="G158" s="14">
        <v>45839.0</v>
      </c>
      <c r="H158" s="15">
        <f t="shared" si="1"/>
        <v>46204</v>
      </c>
      <c r="I158" s="11" t="s">
        <v>48</v>
      </c>
      <c r="J158" s="16" t="str">
        <f>VLOOKUP(A158,Asteriscati25!B:N,13,0)</f>
        <v>#N/A</v>
      </c>
      <c r="K158" s="17"/>
      <c r="L158" s="18" t="str">
        <f t="shared" si="2"/>
        <v>#REF!</v>
      </c>
      <c r="M158" s="19">
        <f>VLOOKUP(B158,FVM_Asta2526!A:N,14,0)</f>
        <v>36</v>
      </c>
      <c r="N158" s="18">
        <f>VLOOKUP(A158,FVM_update!B:N,13,0)</f>
        <v>77</v>
      </c>
      <c r="O158" s="20">
        <f>VLOOKUP(B158,'FVM_1luglio-31luglio25'!D:Q,14,0)</f>
        <v>44</v>
      </c>
      <c r="P158" s="20">
        <f t="shared" si="9"/>
        <v>77</v>
      </c>
      <c r="Q158" s="21">
        <f t="shared" si="4"/>
        <v>4</v>
      </c>
      <c r="R158" s="21">
        <f t="shared" si="7"/>
        <v>4</v>
      </c>
      <c r="S158" s="20"/>
      <c r="T158" s="17"/>
      <c r="U158" s="16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</row>
    <row r="159" ht="22.5" customHeight="1">
      <c r="A159" s="9">
        <f>VLOOKUP(B159,FVM_update!A:B,2,0)</f>
        <v>5527</v>
      </c>
      <c r="B159" s="75" t="s">
        <v>224</v>
      </c>
      <c r="C159" s="11" t="s">
        <v>193</v>
      </c>
      <c r="D159" s="12" t="str">
        <f>VLOOKUP(B159,FVM_update!A:F,6,0)</f>
        <v>Udinese</v>
      </c>
      <c r="E159" s="13" t="str">
        <f>VLOOKUP(B159,FVM_update!A:E,4,0)</f>
        <v>Dd;E</v>
      </c>
      <c r="F159" s="11" t="s">
        <v>45</v>
      </c>
      <c r="G159" s="14">
        <v>45839.0</v>
      </c>
      <c r="H159" s="15">
        <f t="shared" si="1"/>
        <v>46204</v>
      </c>
      <c r="I159" s="11" t="s">
        <v>46</v>
      </c>
      <c r="J159" s="16" t="str">
        <f>VLOOKUP(A159,Asteriscati25!B:N,13,0)</f>
        <v>#N/A</v>
      </c>
      <c r="K159" s="17"/>
      <c r="L159" s="18" t="str">
        <f t="shared" si="2"/>
        <v>#REF!</v>
      </c>
      <c r="M159" s="19">
        <f>VLOOKUP(B159,FVM_Asta2526!A:N,14,0)</f>
        <v>8</v>
      </c>
      <c r="N159" s="18">
        <f>VLOOKUP(A159,FVM_update!B:N,13,0)</f>
        <v>12</v>
      </c>
      <c r="O159" s="20">
        <f>VLOOKUP(B159,'FVM_1luglio-31luglio25'!D:Q,14,0)</f>
        <v>12</v>
      </c>
      <c r="P159" s="20">
        <f t="shared" si="9"/>
        <v>12</v>
      </c>
      <c r="Q159" s="21">
        <f t="shared" si="4"/>
        <v>1</v>
      </c>
      <c r="R159" s="21">
        <f t="shared" si="7"/>
        <v>0.5</v>
      </c>
      <c r="S159" s="20"/>
      <c r="T159" s="17"/>
      <c r="U159" s="16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</row>
    <row r="160" ht="22.5" customHeight="1">
      <c r="A160" s="9">
        <f>VLOOKUP(B160,FVM_update!A:B,2,0)</f>
        <v>152</v>
      </c>
      <c r="B160" s="25" t="s">
        <v>225</v>
      </c>
      <c r="C160" s="11" t="s">
        <v>193</v>
      </c>
      <c r="D160" s="12" t="str">
        <f>VLOOKUP(B160,FVM_update!A:F,6,0)</f>
        <v>Inter</v>
      </c>
      <c r="E160" s="13" t="str">
        <f>VLOOKUP(B160,FVM_update!A:E,4,0)</f>
        <v>C;T</v>
      </c>
      <c r="F160" s="17" t="str">
        <f>VLOOKUP(B160,'situazione contratti estate 24'!A:I,9,0)</f>
        <v>Obbligo 1+2</v>
      </c>
      <c r="G160" s="14">
        <v>45108.0</v>
      </c>
      <c r="H160" s="15">
        <f t="shared" si="1"/>
        <v>46204</v>
      </c>
      <c r="I160" s="11" t="s">
        <v>68</v>
      </c>
      <c r="J160" s="16" t="str">
        <f>VLOOKUP(A160,Asteriscati25!B:N,13,0)</f>
        <v>#N/A</v>
      </c>
      <c r="K160" s="26">
        <v>1.0</v>
      </c>
      <c r="L160" s="19" t="str">
        <f t="shared" si="2"/>
        <v>#REF!</v>
      </c>
      <c r="M160" s="19">
        <f>VLOOKUP(B160,FVM_Asta2324!C:M,11,0)</f>
        <v>78</v>
      </c>
      <c r="N160" s="19" t="str">
        <f>VLOOKUP(A160,#REF!,13,0)</f>
        <v>#REF!</v>
      </c>
      <c r="O160" s="20">
        <f>VLOOKUP(B160,'FVM_1luglio-31luglio25'!D:Q,14,0)</f>
        <v>20</v>
      </c>
      <c r="P160" s="20">
        <f t="shared" si="9"/>
        <v>20</v>
      </c>
      <c r="Q160" s="21">
        <f t="shared" si="4"/>
        <v>9</v>
      </c>
      <c r="R160" s="21">
        <f>IF(OR(I160="asta", I160="Svincolato riconferma anno corrente", I160="vivaio"), Q160,
IF(OR(I160="asta riparazione", I160="Svincolato obbligo anno precedente", I160="Svincolo pausa invernale"), MAX(0.5, CEILING(Q160 / 2, 0.5)),
IF(OR(I160="ceduto in prestito", I160="acquisito in prestito", I160="acquistato tit definitivo", I160="Ceduto tit definitivo"),CEILING(Q160 * K160, 0.5),
IF(I160="asteriscato", "inserire a mano", ""))))
</f>
        <v>4.5</v>
      </c>
      <c r="S160" s="20"/>
      <c r="T160" s="11" t="s">
        <v>172</v>
      </c>
      <c r="U160" s="10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</row>
    <row r="161" ht="22.5" customHeight="1">
      <c r="A161" s="9">
        <f>VLOOKUP(B161,FVM_update!A:B,2,0)</f>
        <v>7260</v>
      </c>
      <c r="B161" s="77" t="s">
        <v>226</v>
      </c>
      <c r="C161" s="11" t="s">
        <v>193</v>
      </c>
      <c r="D161" s="12" t="str">
        <f>VLOOKUP(B161,FVM_update!A:F,6,0)</f>
        <v>Roma</v>
      </c>
      <c r="E161" s="13" t="str">
        <f>VLOOKUP(B161,FVM_update!A:E,4,0)</f>
        <v>Dc</v>
      </c>
      <c r="F161" s="11" t="s">
        <v>43</v>
      </c>
      <c r="G161" s="14">
        <v>45839.0</v>
      </c>
      <c r="H161" s="15">
        <f t="shared" si="1"/>
        <v>401768</v>
      </c>
      <c r="I161" s="11" t="s">
        <v>43</v>
      </c>
      <c r="J161" s="16" t="str">
        <f>VLOOKUP(A161,Asteriscati25!B:N,13,0)</f>
        <v>#N/A</v>
      </c>
      <c r="K161" s="17"/>
      <c r="L161" s="18" t="str">
        <f t="shared" si="2"/>
        <v>#REF!</v>
      </c>
      <c r="M161" s="19">
        <f>VLOOKUP(B161,FVM_Asta2526!A:N,14,0)</f>
        <v>7</v>
      </c>
      <c r="N161" s="18">
        <f>VLOOKUP(A161,FVM_update!B:N,13,0)</f>
        <v>12</v>
      </c>
      <c r="O161" s="20" t="str">
        <f>VLOOKUP(B161,'FVM_1luglio-31luglio25'!D:Q,14,0)</f>
        <v>#N/A</v>
      </c>
      <c r="P161" s="20">
        <f t="shared" si="9"/>
        <v>12</v>
      </c>
      <c r="Q161" s="21">
        <f t="shared" si="4"/>
        <v>1</v>
      </c>
      <c r="R161" s="21">
        <f t="shared" ref="R161:R222" si="10">IF(I161="vivaio", 0.5,
IF(OR(I161="asta", I161="Svincolato riconferma anno corrente", I161="vivaio", I161="promosso da vivaio"), Q161,
IF(OR(I161="asta riparazione", I161="Svincolato obbligo anno precedente", I161="Svincolo pausa invernale"), MAX(0.5, CEILING(Q161 / 2, 0.5)),
IF(OR(I161="ceduto in prestito", I161="acquisito in prestito", I161="acquistato tit definitivo", I161="Ceduto tit definitivo"),CEILING(Q161 * K161, 0.5),
IF(I161="asteriscato", "inserire a mano", ""))))
)</f>
        <v>0.5</v>
      </c>
      <c r="S161" s="20"/>
      <c r="T161" s="17"/>
      <c r="U161" s="16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</row>
    <row r="162" ht="22.5" customHeight="1">
      <c r="A162" s="9">
        <f>VLOOKUP(B162,FVM_update!A:B,2,0)</f>
        <v>4236</v>
      </c>
      <c r="B162" s="25" t="s">
        <v>227</v>
      </c>
      <c r="C162" s="11" t="s">
        <v>193</v>
      </c>
      <c r="D162" s="12" t="str">
        <f>VLOOKUP(B162,FVM_update!A:F,6,0)</f>
        <v>Sassuolo</v>
      </c>
      <c r="E162" s="13" t="str">
        <f>VLOOKUP(B162,FVM_update!A:E,4,0)</f>
        <v>Por</v>
      </c>
      <c r="F162" s="11" t="s">
        <v>92</v>
      </c>
      <c r="G162" s="14">
        <v>46054.0</v>
      </c>
      <c r="H162" s="15">
        <f t="shared" si="1"/>
        <v>46204</v>
      </c>
      <c r="I162" s="11" t="s">
        <v>93</v>
      </c>
      <c r="J162" s="16" t="str">
        <f>VLOOKUP(A162,Asteriscati25!B:N,13,0)</f>
        <v>#N/A</v>
      </c>
      <c r="K162" s="17"/>
      <c r="L162" s="18" t="str">
        <f t="shared" si="2"/>
        <v>#REF!</v>
      </c>
      <c r="M162" s="19">
        <v>14.0</v>
      </c>
      <c r="N162" s="18">
        <f>VLOOKUP(A162,FVM_update!B:N,13,0)</f>
        <v>14</v>
      </c>
      <c r="O162" s="20" t="str">
        <f>VLOOKUP(B162,'FVM_1luglio-31luglio25'!D:Q,14,0)</f>
        <v>#N/A</v>
      </c>
      <c r="P162" s="20">
        <f t="shared" si="9"/>
        <v>14</v>
      </c>
      <c r="Q162" s="21">
        <f t="shared" si="4"/>
        <v>1.5</v>
      </c>
      <c r="R162" s="21">
        <f t="shared" si="10"/>
        <v>1</v>
      </c>
      <c r="S162" s="20"/>
      <c r="T162" s="22"/>
      <c r="U162" s="23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</row>
    <row r="163" ht="22.5" customHeight="1">
      <c r="A163" s="9">
        <f>VLOOKUP(B163,FVM_update!A:B,2,0)</f>
        <v>4263</v>
      </c>
      <c r="B163" s="25" t="s">
        <v>228</v>
      </c>
      <c r="C163" s="11" t="s">
        <v>193</v>
      </c>
      <c r="D163" s="12" t="str">
        <f>VLOOKUP(B163,FVM_update!A:F,6,0)</f>
        <v>Udinese</v>
      </c>
      <c r="E163" s="13" t="str">
        <f>VLOOKUP(B163,FVM_update!A:E,4,0)</f>
        <v>Dc</v>
      </c>
      <c r="F163" s="11" t="s">
        <v>92</v>
      </c>
      <c r="G163" s="14">
        <v>46054.0</v>
      </c>
      <c r="H163" s="15">
        <f t="shared" si="1"/>
        <v>46204</v>
      </c>
      <c r="I163" s="11" t="s">
        <v>93</v>
      </c>
      <c r="J163" s="16" t="str">
        <f>VLOOKUP(A163,Asteriscati25!B:N,13,0)</f>
        <v>#N/A</v>
      </c>
      <c r="K163" s="17"/>
      <c r="L163" s="18" t="str">
        <f t="shared" si="2"/>
        <v>#REF!</v>
      </c>
      <c r="M163" s="19">
        <v>13.0</v>
      </c>
      <c r="N163" s="18">
        <f>VLOOKUP(A163,FVM_update!B:N,13,0)</f>
        <v>13</v>
      </c>
      <c r="O163" s="20">
        <f>VLOOKUP(B163,'FVM_1luglio-31luglio25'!D:Q,14,0)</f>
        <v>5</v>
      </c>
      <c r="P163" s="20">
        <f t="shared" si="9"/>
        <v>13</v>
      </c>
      <c r="Q163" s="21">
        <f t="shared" si="4"/>
        <v>1.5</v>
      </c>
      <c r="R163" s="21">
        <f t="shared" si="10"/>
        <v>1</v>
      </c>
      <c r="S163" s="20"/>
      <c r="T163" s="22"/>
      <c r="U163" s="23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</row>
    <row r="164" ht="22.5" customHeight="1">
      <c r="A164" s="9">
        <f>VLOOKUP(B164,FVM_update!A:B,2,0)</f>
        <v>7219</v>
      </c>
      <c r="B164" s="25" t="s">
        <v>229</v>
      </c>
      <c r="C164" s="11" t="s">
        <v>193</v>
      </c>
      <c r="D164" s="12" t="str">
        <f>VLOOKUP(B164,FVM_update!A:F,6,0)</f>
        <v>Atalanta</v>
      </c>
      <c r="E164" s="13" t="str">
        <f>VLOOKUP(B164,FVM_update!A:E,4,0)</f>
        <v>E</v>
      </c>
      <c r="F164" s="11" t="s">
        <v>92</v>
      </c>
      <c r="G164" s="14">
        <v>46054.0</v>
      </c>
      <c r="H164" s="15">
        <f t="shared" si="1"/>
        <v>46204</v>
      </c>
      <c r="I164" s="11" t="s">
        <v>93</v>
      </c>
      <c r="J164" s="16" t="str">
        <f>VLOOKUP(A164,Asteriscati25!B:N,13,0)</f>
        <v>#N/A</v>
      </c>
      <c r="K164" s="17"/>
      <c r="L164" s="18" t="str">
        <f t="shared" si="2"/>
        <v>#REF!</v>
      </c>
      <c r="M164" s="19">
        <v>20.0</v>
      </c>
      <c r="N164" s="18">
        <f>VLOOKUP(A164,FVM_update!B:N,13,0)</f>
        <v>20</v>
      </c>
      <c r="O164" s="20" t="str">
        <f>VLOOKUP(B164,'FVM_1luglio-31luglio25'!D:Q,14,0)</f>
        <v>#N/A</v>
      </c>
      <c r="P164" s="20">
        <f t="shared" si="9"/>
        <v>20</v>
      </c>
      <c r="Q164" s="21">
        <f t="shared" si="4"/>
        <v>2</v>
      </c>
      <c r="R164" s="21">
        <f t="shared" si="10"/>
        <v>1</v>
      </c>
      <c r="S164" s="20"/>
      <c r="T164" s="22"/>
      <c r="U164" s="23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</row>
    <row r="165" ht="22.5" customHeight="1">
      <c r="A165" s="9">
        <f>VLOOKUP(B165,FVM_update!A:B,2,0)</f>
        <v>7028</v>
      </c>
      <c r="B165" s="25" t="s">
        <v>230</v>
      </c>
      <c r="C165" s="11" t="s">
        <v>193</v>
      </c>
      <c r="D165" s="12" t="str">
        <f>VLOOKUP(B165,FVM_update!A:F,6,0)</f>
        <v>Verona</v>
      </c>
      <c r="E165" s="13" t="str">
        <f>VLOOKUP(B165,FVM_update!A:E,4,0)</f>
        <v>C</v>
      </c>
      <c r="F165" s="11" t="s">
        <v>92</v>
      </c>
      <c r="G165" s="14">
        <v>46054.0</v>
      </c>
      <c r="H165" s="15">
        <f t="shared" si="1"/>
        <v>46204</v>
      </c>
      <c r="I165" s="11" t="s">
        <v>93</v>
      </c>
      <c r="J165" s="16" t="str">
        <f>VLOOKUP(A165,Asteriscati25!B:N,13,0)</f>
        <v>#N/A</v>
      </c>
      <c r="K165" s="17"/>
      <c r="L165" s="18" t="str">
        <f t="shared" si="2"/>
        <v>#REF!</v>
      </c>
      <c r="M165" s="19">
        <v>15.0</v>
      </c>
      <c r="N165" s="18">
        <f>VLOOKUP(A165,FVM_update!B:N,13,0)</f>
        <v>15</v>
      </c>
      <c r="O165" s="20">
        <f>VLOOKUP(B165,'FVM_1luglio-31luglio25'!D:Q,14,0)</f>
        <v>9</v>
      </c>
      <c r="P165" s="20">
        <f t="shared" si="9"/>
        <v>15</v>
      </c>
      <c r="Q165" s="21">
        <f t="shared" si="4"/>
        <v>1.5</v>
      </c>
      <c r="R165" s="21">
        <f t="shared" si="10"/>
        <v>1</v>
      </c>
      <c r="S165" s="20"/>
      <c r="T165" s="22"/>
      <c r="U165" s="23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</row>
    <row r="166" ht="22.5" customHeight="1">
      <c r="A166" s="9">
        <f>VLOOKUP(B166,FVM_update!A:B,2,0)</f>
        <v>7126</v>
      </c>
      <c r="B166" s="25" t="s">
        <v>231</v>
      </c>
      <c r="C166" s="11" t="s">
        <v>193</v>
      </c>
      <c r="D166" s="12" t="str">
        <f>VLOOKUP(B166,FVM_update!A:F,6,0)</f>
        <v>Como</v>
      </c>
      <c r="E166" s="13" t="str">
        <f>VLOOKUP(B166,FVM_update!A:E,4,0)</f>
        <v>T</v>
      </c>
      <c r="F166" s="11" t="s">
        <v>74</v>
      </c>
      <c r="G166" s="14">
        <v>46054.0</v>
      </c>
      <c r="H166" s="15">
        <f t="shared" si="1"/>
        <v>46966</v>
      </c>
      <c r="I166" s="11" t="s">
        <v>93</v>
      </c>
      <c r="J166" s="16" t="str">
        <f>VLOOKUP(A166,Asteriscati25!B:N,13,0)</f>
        <v>#N/A</v>
      </c>
      <c r="K166" s="17"/>
      <c r="L166" s="18" t="str">
        <f t="shared" si="2"/>
        <v>#REF!</v>
      </c>
      <c r="M166" s="19">
        <v>43.0</v>
      </c>
      <c r="N166" s="18">
        <f>VLOOKUP(A166,FVM_update!B:N,13,0)</f>
        <v>43</v>
      </c>
      <c r="O166" s="20" t="str">
        <f>VLOOKUP(B166,'FVM_1luglio-31luglio25'!D:Q,14,0)</f>
        <v>#N/A</v>
      </c>
      <c r="P166" s="20">
        <f t="shared" si="9"/>
        <v>43</v>
      </c>
      <c r="Q166" s="21">
        <f t="shared" si="4"/>
        <v>5</v>
      </c>
      <c r="R166" s="21">
        <f t="shared" si="10"/>
        <v>2.5</v>
      </c>
      <c r="S166" s="20"/>
      <c r="T166" s="22"/>
      <c r="U166" s="23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</row>
    <row r="167" ht="22.5" customHeight="1">
      <c r="A167" s="9">
        <f>VLOOKUP(B167,FVM_update!A:B,2,0)</f>
        <v>6164</v>
      </c>
      <c r="B167" s="25" t="s">
        <v>232</v>
      </c>
      <c r="C167" s="11" t="s">
        <v>193</v>
      </c>
      <c r="D167" s="12" t="str">
        <f>VLOOKUP(B167,FVM_update!A:F,6,0)</f>
        <v>Genoa</v>
      </c>
      <c r="E167" s="13" t="str">
        <f>VLOOKUP(B167,FVM_update!A:E,4,0)</f>
        <v>Pc</v>
      </c>
      <c r="F167" s="11" t="s">
        <v>92</v>
      </c>
      <c r="G167" s="14">
        <v>46054.0</v>
      </c>
      <c r="H167" s="15">
        <f t="shared" si="1"/>
        <v>46204</v>
      </c>
      <c r="I167" s="11" t="s">
        <v>93</v>
      </c>
      <c r="J167" s="16" t="str">
        <f>VLOOKUP(A167,Asteriscati25!B:N,13,0)</f>
        <v>#N/A</v>
      </c>
      <c r="K167" s="17"/>
      <c r="L167" s="18" t="str">
        <f t="shared" si="2"/>
        <v>#REF!</v>
      </c>
      <c r="M167" s="19">
        <v>27.0</v>
      </c>
      <c r="N167" s="18">
        <f>VLOOKUP(A167,FVM_update!B:N,13,0)</f>
        <v>27</v>
      </c>
      <c r="O167" s="20">
        <f>VLOOKUP(B167,'FVM_1luglio-31luglio25'!D:Q,14,0)</f>
        <v>45</v>
      </c>
      <c r="P167" s="20">
        <f t="shared" si="9"/>
        <v>27</v>
      </c>
      <c r="Q167" s="21">
        <f t="shared" si="4"/>
        <v>3</v>
      </c>
      <c r="R167" s="21">
        <f t="shared" si="10"/>
        <v>1.5</v>
      </c>
      <c r="S167" s="20"/>
      <c r="T167" s="22"/>
      <c r="U167" s="23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</row>
    <row r="168" ht="22.5" customHeight="1">
      <c r="A168" s="9">
        <f>VLOOKUP(B168,FVM_update!A:B,2,0)</f>
        <v>2489</v>
      </c>
      <c r="B168" s="25" t="s">
        <v>233</v>
      </c>
      <c r="C168" s="11" t="s">
        <v>193</v>
      </c>
      <c r="D168" s="12" t="str">
        <f>VLOOKUP(B168,FVM_update!A:F,6,0)</f>
        <v>Lazio</v>
      </c>
      <c r="E168" s="13" t="str">
        <f>VLOOKUP(B168,FVM_update!A:E,4,0)</f>
        <v>A</v>
      </c>
      <c r="F168" s="11" t="s">
        <v>92</v>
      </c>
      <c r="G168" s="14">
        <v>46054.0</v>
      </c>
      <c r="H168" s="15">
        <f t="shared" si="1"/>
        <v>46204</v>
      </c>
      <c r="I168" s="11" t="s">
        <v>93</v>
      </c>
      <c r="J168" s="16" t="str">
        <f>VLOOKUP(A168,Asteriscati25!B:N,13,0)</f>
        <v>#N/A</v>
      </c>
      <c r="K168" s="17"/>
      <c r="L168" s="18" t="str">
        <f t="shared" si="2"/>
        <v>#REF!</v>
      </c>
      <c r="M168" s="19">
        <v>15.0</v>
      </c>
      <c r="N168" s="18">
        <f>VLOOKUP(A168,FVM_update!B:N,13,0)</f>
        <v>15</v>
      </c>
      <c r="O168" s="20">
        <f>VLOOKUP(B168,'FVM_1luglio-31luglio25'!D:Q,14,0)</f>
        <v>28</v>
      </c>
      <c r="P168" s="20">
        <f t="shared" si="9"/>
        <v>15</v>
      </c>
      <c r="Q168" s="21">
        <f t="shared" si="4"/>
        <v>1.5</v>
      </c>
      <c r="R168" s="21">
        <f t="shared" si="10"/>
        <v>1</v>
      </c>
      <c r="S168" s="20"/>
      <c r="T168" s="22"/>
      <c r="U168" s="23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</row>
    <row r="169" ht="22.5" customHeight="1">
      <c r="A169" s="9">
        <f>VLOOKUP(B169,FVM_update!A:B,2,0)</f>
        <v>7165</v>
      </c>
      <c r="B169" s="25" t="s">
        <v>234</v>
      </c>
      <c r="C169" s="11" t="s">
        <v>193</v>
      </c>
      <c r="D169" s="12" t="str">
        <f>VLOOKUP(B169,FVM_update!A:F,6,0)</f>
        <v>Cagliari</v>
      </c>
      <c r="E169" s="13" t="str">
        <f>VLOOKUP(B169,FVM_update!A:E,4,0)</f>
        <v>M;C</v>
      </c>
      <c r="F169" s="11" t="s">
        <v>43</v>
      </c>
      <c r="G169" s="14">
        <v>45839.0</v>
      </c>
      <c r="H169" s="15">
        <f t="shared" si="1"/>
        <v>401768</v>
      </c>
      <c r="I169" s="11" t="s">
        <v>43</v>
      </c>
      <c r="J169" s="16" t="str">
        <f>VLOOKUP(A169,Asteriscati25!B:N,13,0)</f>
        <v>#N/A</v>
      </c>
      <c r="K169" s="17"/>
      <c r="L169" s="18" t="str">
        <f t="shared" si="2"/>
        <v>#REF!</v>
      </c>
      <c r="M169" s="19">
        <f>VLOOKUP(B169,FVM_Asta2526!A:N,14,0)</f>
        <v>8</v>
      </c>
      <c r="N169" s="18">
        <f>VLOOKUP(A169,FVM_update!B:N,13,0)</f>
        <v>8</v>
      </c>
      <c r="O169" s="20" t="str">
        <f>VLOOKUP(B169,'FVM_1luglio-31luglio25'!D:Q,14,0)</f>
        <v>#N/A</v>
      </c>
      <c r="P169" s="20">
        <f t="shared" si="9"/>
        <v>8</v>
      </c>
      <c r="Q169" s="21">
        <f t="shared" si="4"/>
        <v>1</v>
      </c>
      <c r="R169" s="21">
        <f t="shared" si="10"/>
        <v>0.5</v>
      </c>
      <c r="S169" s="20"/>
      <c r="T169" s="11" t="s">
        <v>235</v>
      </c>
      <c r="U169" s="23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</row>
    <row r="170" ht="22.5" customHeight="1">
      <c r="A170" s="9">
        <f>VLOOKUP(B170,FVM_update!A:B,2,0)</f>
        <v>6813</v>
      </c>
      <c r="B170" s="78" t="s">
        <v>236</v>
      </c>
      <c r="C170" s="11" t="s">
        <v>235</v>
      </c>
      <c r="D170" s="12" t="str">
        <f>VLOOKUP(B170,FVM_update!A:F,6,0)</f>
        <v>Milan</v>
      </c>
      <c r="E170" s="13" t="str">
        <f>VLOOKUP(B170,FVM_update!A:E,4,0)</f>
        <v>Por</v>
      </c>
      <c r="F170" s="11" t="s">
        <v>43</v>
      </c>
      <c r="G170" s="14">
        <v>45474.0</v>
      </c>
      <c r="H170" s="15">
        <f t="shared" si="1"/>
        <v>401768</v>
      </c>
      <c r="I170" s="11" t="s">
        <v>43</v>
      </c>
      <c r="J170" s="16" t="str">
        <f>VLOOKUP(A170,Asteriscati25!B:N,13,0)</f>
        <v>#N/A</v>
      </c>
      <c r="K170" s="29">
        <v>0.0</v>
      </c>
      <c r="L170" s="18" t="str">
        <f t="shared" si="2"/>
        <v>#REF!</v>
      </c>
      <c r="M170" s="19">
        <f>VLOOKUP(B170,FVM_Asta2425!A:M,13,0)</f>
        <v>1</v>
      </c>
      <c r="N170" s="18">
        <f>VLOOKUP(A170,FVM_update!B:N,13,0)</f>
        <v>1</v>
      </c>
      <c r="O170" s="20">
        <f>VLOOKUP(B170,'FVM_1luglio-31luglio25'!D:Q,14,0)</f>
        <v>1</v>
      </c>
      <c r="P170" s="20">
        <f t="shared" si="9"/>
        <v>1</v>
      </c>
      <c r="Q170" s="21">
        <f t="shared" si="4"/>
        <v>0.5</v>
      </c>
      <c r="R170" s="21">
        <f t="shared" si="10"/>
        <v>0.5</v>
      </c>
      <c r="S170" s="79" t="s">
        <v>237</v>
      </c>
      <c r="T170" s="11" t="s">
        <v>193</v>
      </c>
      <c r="U170" s="16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</row>
    <row r="171" ht="22.5" customHeight="1">
      <c r="A171" s="9">
        <f>VLOOKUP(B171,FVM_update!A:B,2,0)</f>
        <v>513</v>
      </c>
      <c r="B171" s="10" t="s">
        <v>238</v>
      </c>
      <c r="C171" s="11" t="s">
        <v>235</v>
      </c>
      <c r="D171" s="12" t="str">
        <f>VLOOKUP(B171,FVM_update!A:F,6,0)</f>
        <v>Inter</v>
      </c>
      <c r="E171" s="13" t="str">
        <f>VLOOKUP(B171,FVM_update!A:E,4,0)</f>
        <v>Dc</v>
      </c>
      <c r="F171" s="11" t="s">
        <v>45</v>
      </c>
      <c r="G171" s="14">
        <v>45839.0</v>
      </c>
      <c r="H171" s="15">
        <f t="shared" si="1"/>
        <v>46204</v>
      </c>
      <c r="I171" s="11" t="s">
        <v>71</v>
      </c>
      <c r="J171" s="16" t="str">
        <f>VLOOKUP(A171,Asteriscati25!B:N,13,0)</f>
        <v>#N/A</v>
      </c>
      <c r="K171" s="29">
        <v>0.6</v>
      </c>
      <c r="L171" s="18" t="str">
        <f t="shared" si="2"/>
        <v>#REF!</v>
      </c>
      <c r="M171" s="19">
        <f>VLOOKUP(B171,FVM_Asta2526!A:N,14,0)</f>
        <v>26</v>
      </c>
      <c r="N171" s="18">
        <f>VLOOKUP(A171,FVM_update!B:N,13,0)</f>
        <v>10</v>
      </c>
      <c r="O171" s="20">
        <f>VLOOKUP(B171,'FVM_1luglio-31luglio25'!D:Q,14,0)</f>
        <v>26</v>
      </c>
      <c r="P171" s="20">
        <f t="shared" si="9"/>
        <v>10</v>
      </c>
      <c r="Q171" s="21">
        <f t="shared" si="4"/>
        <v>3</v>
      </c>
      <c r="R171" s="21">
        <f t="shared" si="10"/>
        <v>2</v>
      </c>
      <c r="S171" s="20"/>
      <c r="T171" s="22"/>
      <c r="U171" s="23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</row>
    <row r="172" ht="22.5" customHeight="1">
      <c r="A172" s="9">
        <f>VLOOKUP(B172,FVM_update!A:B,2,0)</f>
        <v>4870</v>
      </c>
      <c r="B172" s="10" t="s">
        <v>239</v>
      </c>
      <c r="C172" s="11" t="s">
        <v>235</v>
      </c>
      <c r="D172" s="12" t="str">
        <f>VLOOKUP(B172,FVM_update!A:F,6,0)</f>
        <v>Cagliari</v>
      </c>
      <c r="E172" s="13" t="str">
        <f>VLOOKUP(B172,FVM_update!A:E,4,0)</f>
        <v>M;C</v>
      </c>
      <c r="F172" s="11" t="s">
        <v>45</v>
      </c>
      <c r="G172" s="14">
        <v>45839.0</v>
      </c>
      <c r="H172" s="15">
        <f t="shared" si="1"/>
        <v>46204</v>
      </c>
      <c r="I172" s="11" t="s">
        <v>71</v>
      </c>
      <c r="J172" s="16" t="str">
        <f>VLOOKUP(A172,Asteriscati25!B:N,13,0)</f>
        <v>#N/A</v>
      </c>
      <c r="K172" s="29">
        <v>0.4</v>
      </c>
      <c r="L172" s="18" t="str">
        <f t="shared" si="2"/>
        <v>#REF!</v>
      </c>
      <c r="M172" s="19">
        <f>VLOOKUP(B172,FVM_Asta2526!A:N,14,0)</f>
        <v>15</v>
      </c>
      <c r="N172" s="18">
        <f>VLOOKUP(A172,FVM_update!B:N,13,0)</f>
        <v>15</v>
      </c>
      <c r="O172" s="20">
        <f>VLOOKUP(B172,'FVM_1luglio-31luglio25'!D:Q,14,0)</f>
        <v>9</v>
      </c>
      <c r="P172" s="20">
        <f t="shared" si="9"/>
        <v>15</v>
      </c>
      <c r="Q172" s="21">
        <f t="shared" si="4"/>
        <v>1.5</v>
      </c>
      <c r="R172" s="21">
        <f t="shared" si="10"/>
        <v>1</v>
      </c>
      <c r="S172" s="20"/>
      <c r="T172" s="22"/>
      <c r="U172" s="23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</row>
    <row r="173" ht="22.5" customHeight="1">
      <c r="A173" s="9">
        <f>VLOOKUP(B173,FVM_update!A:B,2,0)</f>
        <v>1870</v>
      </c>
      <c r="B173" s="10" t="s">
        <v>240</v>
      </c>
      <c r="C173" s="11" t="s">
        <v>235</v>
      </c>
      <c r="D173" s="12" t="str">
        <f>VLOOKUP(B173,FVM_update!A:F,6,0)</f>
        <v>Inter</v>
      </c>
      <c r="E173" s="13" t="str">
        <f>VLOOKUP(B173,FVM_update!A:E,4,0)</f>
        <v>C</v>
      </c>
      <c r="F173" s="11" t="s">
        <v>59</v>
      </c>
      <c r="G173" s="14">
        <v>45839.0</v>
      </c>
      <c r="H173" s="15">
        <f t="shared" si="1"/>
        <v>46935</v>
      </c>
      <c r="I173" s="11" t="s">
        <v>122</v>
      </c>
      <c r="J173" s="16" t="str">
        <f>VLOOKUP(A173,Asteriscati25!B:N,13,0)</f>
        <v>#N/A</v>
      </c>
      <c r="K173" s="29">
        <v>0.6</v>
      </c>
      <c r="L173" s="18" t="str">
        <f t="shared" si="2"/>
        <v>#REF!</v>
      </c>
      <c r="M173" s="19">
        <f>VLOOKUP(B173,FVM_Asta2526!A:N,14,0)</f>
        <v>55</v>
      </c>
      <c r="N173" s="18">
        <f>VLOOKUP(A173,FVM_update!B:N,13,0)</f>
        <v>61</v>
      </c>
      <c r="O173" s="20">
        <f>VLOOKUP(B173,'FVM_1luglio-31luglio25'!D:Q,14,0)</f>
        <v>61</v>
      </c>
      <c r="P173" s="20">
        <f t="shared" si="9"/>
        <v>61</v>
      </c>
      <c r="Q173" s="21">
        <f t="shared" si="4"/>
        <v>6.5</v>
      </c>
      <c r="R173" s="21">
        <f t="shared" si="10"/>
        <v>4</v>
      </c>
      <c r="S173" s="20"/>
      <c r="T173" s="22"/>
      <c r="U173" s="23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</row>
    <row r="174" ht="22.5" customHeight="1">
      <c r="A174" s="9">
        <f>VLOOKUP(B174,FVM_update!A:B,2,0)</f>
        <v>6496</v>
      </c>
      <c r="B174" s="80" t="s">
        <v>241</v>
      </c>
      <c r="C174" s="11" t="s">
        <v>235</v>
      </c>
      <c r="D174" s="12" t="str">
        <f>VLOOKUP(B174,FVM_update!A:F,6,0)</f>
        <v>Milan</v>
      </c>
      <c r="E174" s="13" t="str">
        <f>VLOOKUP(B174,FVM_update!A:E,4,0)</f>
        <v>Ds;E</v>
      </c>
      <c r="F174" s="11" t="s">
        <v>43</v>
      </c>
      <c r="G174" s="14">
        <v>45839.0</v>
      </c>
      <c r="H174" s="15">
        <f t="shared" si="1"/>
        <v>401768</v>
      </c>
      <c r="I174" s="11" t="s">
        <v>43</v>
      </c>
      <c r="J174" s="16" t="str">
        <f>VLOOKUP(A174,Asteriscati25!B:N,13,0)</f>
        <v>#N/A</v>
      </c>
      <c r="K174" s="17"/>
      <c r="L174" s="18" t="str">
        <f t="shared" si="2"/>
        <v>#REF!</v>
      </c>
      <c r="M174" s="19">
        <f>VLOOKUP(B174,FVM_Asta2526!A:N,14,0)</f>
        <v>5</v>
      </c>
      <c r="N174" s="18">
        <f>VLOOKUP(A174,FVM_update!B:N,13,0)</f>
        <v>26</v>
      </c>
      <c r="O174" s="20" t="str">
        <f>VLOOKUP(B174,'FVM_1luglio-31luglio25'!D:Q,14,0)</f>
        <v>#N/A</v>
      </c>
      <c r="P174" s="20">
        <f t="shared" si="9"/>
        <v>26</v>
      </c>
      <c r="Q174" s="21">
        <f t="shared" si="4"/>
        <v>1</v>
      </c>
      <c r="R174" s="21">
        <f t="shared" si="10"/>
        <v>0.5</v>
      </c>
      <c r="S174" s="20"/>
      <c r="T174" s="22"/>
      <c r="U174" s="23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</row>
    <row r="175" ht="22.5" customHeight="1">
      <c r="A175" s="9">
        <f>VLOOKUP(B175,FVM_update!A:B,2,0)</f>
        <v>5835</v>
      </c>
      <c r="B175" s="10" t="s">
        <v>242</v>
      </c>
      <c r="C175" s="11" t="s">
        <v>235</v>
      </c>
      <c r="D175" s="12" t="str">
        <f>VLOOKUP(B175,FVM_update!A:F,6,0)</f>
        <v>Cremonese</v>
      </c>
      <c r="E175" s="13" t="str">
        <f>VLOOKUP(B175,FVM_update!A:E,4,0)</f>
        <v>Dc</v>
      </c>
      <c r="F175" s="11" t="s">
        <v>45</v>
      </c>
      <c r="G175" s="14">
        <v>45839.0</v>
      </c>
      <c r="H175" s="15">
        <f t="shared" si="1"/>
        <v>46204</v>
      </c>
      <c r="I175" s="11" t="s">
        <v>48</v>
      </c>
      <c r="J175" s="16" t="str">
        <f>VLOOKUP(A175,Asteriscati25!B:N,13,0)</f>
        <v>#N/A</v>
      </c>
      <c r="K175" s="17"/>
      <c r="L175" s="18" t="str">
        <f t="shared" si="2"/>
        <v>#REF!</v>
      </c>
      <c r="M175" s="19">
        <f>VLOOKUP(B175,FVM_Asta2526!A:N,14,0)</f>
        <v>23</v>
      </c>
      <c r="N175" s="18">
        <f>VLOOKUP(A175,FVM_update!B:N,13,0)</f>
        <v>20</v>
      </c>
      <c r="O175" s="20">
        <f>VLOOKUP(B175,'FVM_1luglio-31luglio25'!D:Q,14,0)</f>
        <v>20</v>
      </c>
      <c r="P175" s="20">
        <f t="shared" si="9"/>
        <v>20</v>
      </c>
      <c r="Q175" s="21">
        <f t="shared" si="4"/>
        <v>2.5</v>
      </c>
      <c r="R175" s="21">
        <f t="shared" si="10"/>
        <v>2.5</v>
      </c>
      <c r="S175" s="20"/>
      <c r="T175" s="22"/>
      <c r="U175" s="23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</row>
    <row r="176" ht="22.5" customHeight="1">
      <c r="A176" s="9">
        <f>VLOOKUP(B176,FVM_update!A:B,2,0)</f>
        <v>441</v>
      </c>
      <c r="B176" s="75" t="s">
        <v>243</v>
      </c>
      <c r="C176" s="11" t="s">
        <v>235</v>
      </c>
      <c r="D176" s="12" t="str">
        <f>VLOOKUP(B176,FVM_update!A:F,6,0)</f>
        <v>Cagliari</v>
      </c>
      <c r="E176" s="13" t="str">
        <f>VLOOKUP(B176,FVM_update!A:E,4,0)</f>
        <v>Pc</v>
      </c>
      <c r="F176" s="11" t="s">
        <v>45</v>
      </c>
      <c r="G176" s="14">
        <v>45839.0</v>
      </c>
      <c r="H176" s="15">
        <f t="shared" si="1"/>
        <v>46204</v>
      </c>
      <c r="I176" s="11" t="s">
        <v>46</v>
      </c>
      <c r="J176" s="16" t="str">
        <f>VLOOKUP(A176,Asteriscati25!B:N,13,0)</f>
        <v>#N/A</v>
      </c>
      <c r="K176" s="26">
        <v>0.0</v>
      </c>
      <c r="L176" s="18" t="str">
        <f t="shared" si="2"/>
        <v>#REF!</v>
      </c>
      <c r="M176" s="19">
        <f>VLOOKUP(B176,FVM_Asta2526!A:N,14,0)</f>
        <v>20</v>
      </c>
      <c r="N176" s="18">
        <f>VLOOKUP(A176,FVM_update!B:N,13,0)</f>
        <v>30</v>
      </c>
      <c r="O176" s="20" t="str">
        <f>VLOOKUP(B176,'FVM_1luglio-31luglio25'!D:Q,14,0)</f>
        <v>#N/A</v>
      </c>
      <c r="P176" s="20">
        <f t="shared" si="9"/>
        <v>30</v>
      </c>
      <c r="Q176" s="21">
        <f t="shared" si="4"/>
        <v>2</v>
      </c>
      <c r="R176" s="21">
        <f t="shared" si="10"/>
        <v>1</v>
      </c>
      <c r="S176" s="20"/>
      <c r="T176" s="22"/>
      <c r="U176" s="23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</row>
    <row r="177" ht="22.5" customHeight="1">
      <c r="A177" s="9">
        <f>VLOOKUP(B177,FVM_update!A:B,2,0)</f>
        <v>531</v>
      </c>
      <c r="B177" s="75" t="s">
        <v>244</v>
      </c>
      <c r="C177" s="11" t="s">
        <v>235</v>
      </c>
      <c r="D177" s="12" t="str">
        <f>VLOOKUP(B177,FVM_update!A:F,6,0)</f>
        <v>Sassuolo</v>
      </c>
      <c r="E177" s="13" t="str">
        <f>VLOOKUP(B177,FVM_update!A:E,4,0)</f>
        <v>A</v>
      </c>
      <c r="F177" s="11" t="s">
        <v>45</v>
      </c>
      <c r="G177" s="14">
        <v>45839.0</v>
      </c>
      <c r="H177" s="15">
        <f t="shared" si="1"/>
        <v>46204</v>
      </c>
      <c r="I177" s="11" t="s">
        <v>48</v>
      </c>
      <c r="J177" s="16" t="str">
        <f>VLOOKUP(A177,Asteriscati25!B:N,13,0)</f>
        <v>#N/A</v>
      </c>
      <c r="K177" s="26">
        <v>0.0</v>
      </c>
      <c r="L177" s="18" t="str">
        <f t="shared" si="2"/>
        <v>#REF!</v>
      </c>
      <c r="M177" s="19">
        <f>VLOOKUP(B177,FVM_Asta2526!A:N,14,0)</f>
        <v>144</v>
      </c>
      <c r="N177" s="18">
        <f>VLOOKUP(A177,FVM_update!B:N,13,0)</f>
        <v>90</v>
      </c>
      <c r="O177" s="20" t="str">
        <f>VLOOKUP(B177,'FVM_1luglio-31luglio25'!D:Q,14,0)</f>
        <v>#N/A</v>
      </c>
      <c r="P177" s="20">
        <f t="shared" si="9"/>
        <v>90</v>
      </c>
      <c r="Q177" s="21">
        <f t="shared" si="4"/>
        <v>14.5</v>
      </c>
      <c r="R177" s="21">
        <f t="shared" si="10"/>
        <v>14.5</v>
      </c>
      <c r="S177" s="20"/>
      <c r="T177" s="11" t="s">
        <v>245</v>
      </c>
      <c r="U177" s="10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</row>
    <row r="178" ht="22.5" customHeight="1">
      <c r="A178" s="9">
        <f>VLOOKUP(B178,FVM_update!A:B,2,0)</f>
        <v>2788</v>
      </c>
      <c r="B178" s="25" t="s">
        <v>246</v>
      </c>
      <c r="C178" s="11" t="s">
        <v>235</v>
      </c>
      <c r="D178" s="12" t="str">
        <f>VLOOKUP(B178,FVM_update!A:F,6,0)</f>
        <v>Juventus</v>
      </c>
      <c r="E178" s="13" t="str">
        <f>VLOOKUP(B178,FVM_update!A:E,4,0)</f>
        <v>Dc</v>
      </c>
      <c r="F178" s="11" t="s">
        <v>59</v>
      </c>
      <c r="G178" s="14">
        <v>45474.0</v>
      </c>
      <c r="H178" s="15">
        <f t="shared" si="1"/>
        <v>46569</v>
      </c>
      <c r="I178" s="11" t="s">
        <v>48</v>
      </c>
      <c r="J178" s="16" t="str">
        <f>VLOOKUP(A178,Asteriscati25!B:N,13,0)</f>
        <v>#N/A</v>
      </c>
      <c r="K178" s="29">
        <v>0.0</v>
      </c>
      <c r="L178" s="18" t="str">
        <f t="shared" si="2"/>
        <v>#REF!</v>
      </c>
      <c r="M178" s="19">
        <f>VLOOKUP(B178,FVM_Asta2425!A:M,13,0)</f>
        <v>57</v>
      </c>
      <c r="N178" s="18">
        <f>VLOOKUP(A178,FVM_update!B:N,13,0)</f>
        <v>72</v>
      </c>
      <c r="O178" s="20">
        <f>VLOOKUP(B178,'FVM_1luglio-31luglio25'!D:Q,14,0)</f>
        <v>45</v>
      </c>
      <c r="P178" s="20">
        <f t="shared" si="9"/>
        <v>72</v>
      </c>
      <c r="Q178" s="21">
        <f t="shared" si="4"/>
        <v>7</v>
      </c>
      <c r="R178" s="21">
        <f t="shared" si="10"/>
        <v>7</v>
      </c>
      <c r="S178" s="20"/>
      <c r="T178" s="22"/>
      <c r="U178" s="23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</row>
    <row r="179" ht="22.5" customHeight="1">
      <c r="A179" s="9">
        <f>VLOOKUP(B179,FVM_update!A:B,2,0)</f>
        <v>6884</v>
      </c>
      <c r="B179" s="25" t="s">
        <v>247</v>
      </c>
      <c r="C179" s="11" t="s">
        <v>235</v>
      </c>
      <c r="D179" s="12" t="str">
        <f>VLOOKUP(B179,FVM_update!A:F,6,0)</f>
        <v>Juventus</v>
      </c>
      <c r="E179" s="13" t="str">
        <f>VLOOKUP(B179,FVM_update!A:E,4,0)</f>
        <v>W;A</v>
      </c>
      <c r="F179" s="11" t="s">
        <v>59</v>
      </c>
      <c r="G179" s="14">
        <v>45474.0</v>
      </c>
      <c r="H179" s="15">
        <f t="shared" si="1"/>
        <v>46569</v>
      </c>
      <c r="I179" s="11" t="s">
        <v>48</v>
      </c>
      <c r="J179" s="16" t="str">
        <f>VLOOKUP(A179,Asteriscati25!B:N,13,0)</f>
        <v>#N/A</v>
      </c>
      <c r="K179" s="29">
        <v>0.0</v>
      </c>
      <c r="L179" s="18" t="str">
        <f t="shared" si="2"/>
        <v>#REF!</v>
      </c>
      <c r="M179" s="19">
        <f>VLOOKUP(B179,FVM_Asta2425!A:M,13,0)</f>
        <v>22</v>
      </c>
      <c r="N179" s="18">
        <f>VLOOKUP(A179,FVM_update!B:N,13,0)</f>
        <v>42</v>
      </c>
      <c r="O179" s="20">
        <f>VLOOKUP(B179,'FVM_1luglio-31luglio25'!D:Q,14,0)</f>
        <v>22</v>
      </c>
      <c r="P179" s="20">
        <f t="shared" si="9"/>
        <v>42</v>
      </c>
      <c r="Q179" s="21">
        <f t="shared" si="4"/>
        <v>3</v>
      </c>
      <c r="R179" s="21">
        <f t="shared" si="10"/>
        <v>3</v>
      </c>
      <c r="S179" s="20"/>
      <c r="T179" s="11" t="s">
        <v>235</v>
      </c>
      <c r="U179" s="23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</row>
    <row r="180" ht="22.5" customHeight="1">
      <c r="A180" s="9">
        <f>VLOOKUP(B180,FVM_update!A:B,2,0)</f>
        <v>322</v>
      </c>
      <c r="B180" s="10" t="s">
        <v>248</v>
      </c>
      <c r="C180" s="11" t="s">
        <v>235</v>
      </c>
      <c r="D180" s="12" t="str">
        <f>VLOOKUP(B180,FVM_update!A:F,6,0)</f>
        <v>Inter</v>
      </c>
      <c r="E180" s="13" t="str">
        <f>VLOOKUP(B180,FVM_update!A:E,4,0)</f>
        <v>Dc</v>
      </c>
      <c r="F180" s="11" t="s">
        <v>45</v>
      </c>
      <c r="G180" s="14">
        <v>45839.0</v>
      </c>
      <c r="H180" s="15">
        <f t="shared" si="1"/>
        <v>46204</v>
      </c>
      <c r="I180" s="11" t="s">
        <v>46</v>
      </c>
      <c r="J180" s="16" t="str">
        <f>VLOOKUP(A180,Asteriscati25!B:N,13,0)</f>
        <v>#N/A</v>
      </c>
      <c r="K180" s="17"/>
      <c r="L180" s="18" t="str">
        <f t="shared" si="2"/>
        <v>#REF!</v>
      </c>
      <c r="M180" s="19">
        <f>VLOOKUP(B180,FVM_Asta2526!A:N,14,0)</f>
        <v>20</v>
      </c>
      <c r="N180" s="18">
        <f>VLOOKUP(A180,FVM_update!B:N,13,0)</f>
        <v>10</v>
      </c>
      <c r="O180" s="20">
        <f>VLOOKUP(B180,'FVM_1luglio-31luglio25'!D:Q,14,0)</f>
        <v>20</v>
      </c>
      <c r="P180" s="20">
        <f t="shared" si="9"/>
        <v>10</v>
      </c>
      <c r="Q180" s="21">
        <f t="shared" si="4"/>
        <v>2</v>
      </c>
      <c r="R180" s="21">
        <f t="shared" si="10"/>
        <v>1</v>
      </c>
      <c r="S180" s="20"/>
      <c r="T180" s="22"/>
      <c r="U180" s="23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</row>
    <row r="181" ht="22.5" customHeight="1">
      <c r="A181" s="9">
        <f>VLOOKUP(B181,FVM_update!A:B,2,0)</f>
        <v>7196</v>
      </c>
      <c r="B181" s="10" t="s">
        <v>249</v>
      </c>
      <c r="C181" s="11" t="s">
        <v>235</v>
      </c>
      <c r="D181" s="12" t="str">
        <f>VLOOKUP(B181,FVM_update!A:F,6,0)</f>
        <v>Pisa</v>
      </c>
      <c r="E181" s="13" t="str">
        <f>VLOOKUP(B181,FVM_update!A:E,4,0)</f>
        <v>Dc</v>
      </c>
      <c r="F181" s="11" t="s">
        <v>45</v>
      </c>
      <c r="G181" s="14">
        <v>45839.0</v>
      </c>
      <c r="H181" s="15">
        <f t="shared" si="1"/>
        <v>46204</v>
      </c>
      <c r="I181" s="11" t="s">
        <v>46</v>
      </c>
      <c r="J181" s="16" t="str">
        <f>VLOOKUP(A181,Asteriscati25!B:N,13,0)</f>
        <v>#N/A</v>
      </c>
      <c r="K181" s="17"/>
      <c r="L181" s="18" t="str">
        <f t="shared" si="2"/>
        <v>#REF!</v>
      </c>
      <c r="M181" s="19">
        <f>VLOOKUP(B181,FVM_Asta2526!A:N,14,0)</f>
        <v>4</v>
      </c>
      <c r="N181" s="18">
        <f>VLOOKUP(A181,FVM_update!B:N,13,0)</f>
        <v>4</v>
      </c>
      <c r="O181" s="20" t="str">
        <f>VLOOKUP(B181,'FVM_1luglio-31luglio25'!D:Q,14,0)</f>
        <v>#N/A</v>
      </c>
      <c r="P181" s="20">
        <f t="shared" si="9"/>
        <v>4</v>
      </c>
      <c r="Q181" s="21">
        <f t="shared" si="4"/>
        <v>0.5</v>
      </c>
      <c r="R181" s="21">
        <f t="shared" si="10"/>
        <v>0.5</v>
      </c>
      <c r="S181" s="20"/>
      <c r="T181" s="22"/>
      <c r="U181" s="23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</row>
    <row r="182" ht="22.5" customHeight="1">
      <c r="A182" s="9">
        <f>VLOOKUP(B182,FVM_update!A:B,2,0)</f>
        <v>5513</v>
      </c>
      <c r="B182" s="10" t="s">
        <v>250</v>
      </c>
      <c r="C182" s="11" t="s">
        <v>235</v>
      </c>
      <c r="D182" s="12" t="str">
        <f>VLOOKUP(B182,FVM_update!A:F,6,0)</f>
        <v>Inter</v>
      </c>
      <c r="E182" s="13" t="str">
        <f>VLOOKUP(B182,FVM_update!A:E,4,0)</f>
        <v>E</v>
      </c>
      <c r="F182" s="11" t="s">
        <v>59</v>
      </c>
      <c r="G182" s="14">
        <v>45839.0</v>
      </c>
      <c r="H182" s="15">
        <f t="shared" si="1"/>
        <v>46935</v>
      </c>
      <c r="I182" s="11" t="s">
        <v>89</v>
      </c>
      <c r="J182" s="16" t="str">
        <f>VLOOKUP(A182,Asteriscati25!B:N,13,0)</f>
        <v>#N/A</v>
      </c>
      <c r="K182" s="29">
        <v>0.8</v>
      </c>
      <c r="L182" s="18" t="str">
        <f t="shared" si="2"/>
        <v>#REF!</v>
      </c>
      <c r="M182" s="19">
        <f>VLOOKUP(B182,FVM_Asta2526!A:N,14,0)</f>
        <v>107</v>
      </c>
      <c r="N182" s="18">
        <f>VLOOKUP(A182,FVM_update!B:N,13,0)</f>
        <v>25</v>
      </c>
      <c r="O182" s="20">
        <f>VLOOKUP(B182,'FVM_1luglio-31luglio25'!D:Q,14,0)</f>
        <v>69</v>
      </c>
      <c r="P182" s="20">
        <f t="shared" si="9"/>
        <v>25</v>
      </c>
      <c r="Q182" s="21">
        <f t="shared" si="4"/>
        <v>12.5</v>
      </c>
      <c r="R182" s="21">
        <f t="shared" si="10"/>
        <v>10</v>
      </c>
      <c r="S182" s="20"/>
      <c r="T182" s="11" t="s">
        <v>90</v>
      </c>
      <c r="U182" s="23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</row>
    <row r="183" ht="22.5" customHeight="1">
      <c r="A183" s="9">
        <f>VLOOKUP(B183,FVM_update!A:B,2,0)</f>
        <v>6822</v>
      </c>
      <c r="B183" s="81" t="s">
        <v>251</v>
      </c>
      <c r="C183" s="11" t="s">
        <v>235</v>
      </c>
      <c r="D183" s="12" t="str">
        <f>VLOOKUP(B183,FVM_update!A:F,6,0)</f>
        <v>Genoa</v>
      </c>
      <c r="E183" s="13" t="str">
        <f>VLOOKUP(B183,FVM_update!A:E,4,0)</f>
        <v>A</v>
      </c>
      <c r="F183" s="11" t="s">
        <v>43</v>
      </c>
      <c r="G183" s="14">
        <v>45474.0</v>
      </c>
      <c r="H183" s="15">
        <f t="shared" si="1"/>
        <v>401768</v>
      </c>
      <c r="I183" s="11" t="s">
        <v>43</v>
      </c>
      <c r="J183" s="16" t="str">
        <f>VLOOKUP(A183,Asteriscati25!B:N,13,0)</f>
        <v>#N/A</v>
      </c>
      <c r="K183" s="29">
        <v>0.0</v>
      </c>
      <c r="L183" s="18" t="str">
        <f t="shared" si="2"/>
        <v>#REF!</v>
      </c>
      <c r="M183" s="19">
        <f>VLOOKUP(B183,FVM_Asta2425!A:M,13,0)</f>
        <v>1</v>
      </c>
      <c r="N183" s="18">
        <f>VLOOKUP(A183,FVM_update!B:N,13,0)</f>
        <v>11</v>
      </c>
      <c r="O183" s="20">
        <f>VLOOKUP(B183,'FVM_1luglio-31luglio25'!D:Q,14,0)</f>
        <v>4</v>
      </c>
      <c r="P183" s="20">
        <f t="shared" si="9"/>
        <v>11</v>
      </c>
      <c r="Q183" s="21">
        <f t="shared" si="4"/>
        <v>0.5</v>
      </c>
      <c r="R183" s="21">
        <f t="shared" si="10"/>
        <v>0.5</v>
      </c>
      <c r="S183" s="20"/>
      <c r="T183" s="22"/>
      <c r="U183" s="23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</row>
    <row r="184" ht="22.5" customHeight="1">
      <c r="A184" s="9">
        <f>VLOOKUP(B184,FVM_update!A:B,2,0)</f>
        <v>6271</v>
      </c>
      <c r="B184" s="10" t="s">
        <v>252</v>
      </c>
      <c r="C184" s="11" t="s">
        <v>235</v>
      </c>
      <c r="D184" s="12" t="str">
        <f>VLOOKUP(B184,FVM_update!A:F,6,0)</f>
        <v>Roma</v>
      </c>
      <c r="E184" s="13" t="str">
        <f>VLOOKUP(B184,FVM_update!A:E,4,0)</f>
        <v>M;C</v>
      </c>
      <c r="F184" s="11" t="s">
        <v>45</v>
      </c>
      <c r="G184" s="14">
        <v>45839.0</v>
      </c>
      <c r="H184" s="15">
        <f t="shared" si="1"/>
        <v>46204</v>
      </c>
      <c r="I184" s="11" t="s">
        <v>48</v>
      </c>
      <c r="J184" s="16" t="str">
        <f>VLOOKUP(A184,Asteriscati25!B:N,13,0)</f>
        <v>#N/A</v>
      </c>
      <c r="K184" s="17"/>
      <c r="L184" s="18" t="str">
        <f t="shared" si="2"/>
        <v>#REF!</v>
      </c>
      <c r="M184" s="19">
        <f>VLOOKUP(B184,FVM_Asta2526!A:N,14,0)</f>
        <v>27</v>
      </c>
      <c r="N184" s="18">
        <f>VLOOKUP(A184,FVM_update!B:N,13,0)</f>
        <v>16</v>
      </c>
      <c r="O184" s="20" t="str">
        <f>VLOOKUP(B184,'FVM_1luglio-31luglio25'!D:Q,14,0)</f>
        <v>#N/A</v>
      </c>
      <c r="P184" s="20">
        <f t="shared" si="9"/>
        <v>16</v>
      </c>
      <c r="Q184" s="21">
        <f t="shared" si="4"/>
        <v>3</v>
      </c>
      <c r="R184" s="21">
        <f t="shared" si="10"/>
        <v>3</v>
      </c>
      <c r="S184" s="20"/>
      <c r="T184" s="22"/>
      <c r="U184" s="23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</row>
    <row r="185" ht="22.5" customHeight="1">
      <c r="A185" s="9">
        <f>VLOOKUP(B185,FVM_update!A:B,2,0)</f>
        <v>4479</v>
      </c>
      <c r="B185" s="25" t="s">
        <v>253</v>
      </c>
      <c r="C185" s="11" t="s">
        <v>235</v>
      </c>
      <c r="D185" s="12" t="str">
        <f>VLOOKUP(B185,FVM_update!A:F,6,0)</f>
        <v>Napoli</v>
      </c>
      <c r="E185" s="13" t="str">
        <f>VLOOKUP(B185,FVM_update!A:E,4,0)</f>
        <v>W;T</v>
      </c>
      <c r="F185" s="11" t="s">
        <v>141</v>
      </c>
      <c r="G185" s="14">
        <v>45689.0</v>
      </c>
      <c r="H185" s="15">
        <f t="shared" si="1"/>
        <v>46235</v>
      </c>
      <c r="I185" s="11" t="s">
        <v>122</v>
      </c>
      <c r="J185" s="16" t="str">
        <f>VLOOKUP(A185,Asteriscati25!B:N,13,0)</f>
        <v>#N/A</v>
      </c>
      <c r="K185" s="29">
        <v>0.6</v>
      </c>
      <c r="L185" s="18" t="str">
        <f t="shared" si="2"/>
        <v>#REF!</v>
      </c>
      <c r="M185" s="19">
        <f>VLOOKUP(B185,FVM_astainv!A:N,14,0)</f>
        <v>25</v>
      </c>
      <c r="N185" s="18">
        <f>VLOOKUP(A185,FVM_update!B:N,13,0)</f>
        <v>25</v>
      </c>
      <c r="O185" s="20">
        <f>VLOOKUP(B185,'FVM_1luglio-31luglio25'!D:Q,14,0)</f>
        <v>45</v>
      </c>
      <c r="P185" s="20">
        <f t="shared" si="9"/>
        <v>25</v>
      </c>
      <c r="Q185" s="21">
        <f t="shared" si="4"/>
        <v>3</v>
      </c>
      <c r="R185" s="21">
        <f t="shared" si="10"/>
        <v>2</v>
      </c>
      <c r="S185" s="20"/>
      <c r="T185" s="17"/>
      <c r="U185" s="10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</row>
    <row r="186" ht="22.5" customHeight="1">
      <c r="A186" s="9">
        <f>VLOOKUP(B186,FVM_update!A:B,2,0)</f>
        <v>5273</v>
      </c>
      <c r="B186" s="10" t="s">
        <v>254</v>
      </c>
      <c r="C186" s="11" t="s">
        <v>235</v>
      </c>
      <c r="D186" s="12" t="str">
        <f>VLOOKUP(B186,FVM_update!A:F,6,0)</f>
        <v>Milan</v>
      </c>
      <c r="E186" s="13" t="str">
        <f>VLOOKUP(B186,FVM_update!A:E,4,0)</f>
        <v>Ds;E</v>
      </c>
      <c r="F186" s="11" t="s">
        <v>45</v>
      </c>
      <c r="G186" s="14">
        <v>45839.0</v>
      </c>
      <c r="H186" s="15">
        <f t="shared" si="1"/>
        <v>46204</v>
      </c>
      <c r="I186" s="11" t="s">
        <v>71</v>
      </c>
      <c r="J186" s="16" t="str">
        <f>VLOOKUP(A186,Asteriscati25!B:N,13,0)</f>
        <v>#N/A</v>
      </c>
      <c r="K186" s="29">
        <v>0.2</v>
      </c>
      <c r="L186" s="18" t="str">
        <f t="shared" si="2"/>
        <v>#REF!</v>
      </c>
      <c r="M186" s="19">
        <f>VLOOKUP(B186,FVM_Asta2526!A:N,14,0)</f>
        <v>39</v>
      </c>
      <c r="N186" s="18">
        <f>VLOOKUP(A186,FVM_update!B:N,13,0)</f>
        <v>10</v>
      </c>
      <c r="O186" s="20" t="str">
        <f>VLOOKUP(B186,'FVM_1luglio-31luglio25'!D:Q,14,0)</f>
        <v>#N/A</v>
      </c>
      <c r="P186" s="20">
        <f t="shared" si="9"/>
        <v>10</v>
      </c>
      <c r="Q186" s="21">
        <f t="shared" si="4"/>
        <v>4</v>
      </c>
      <c r="R186" s="21">
        <f t="shared" si="10"/>
        <v>1</v>
      </c>
      <c r="S186" s="20"/>
      <c r="T186" s="22"/>
      <c r="U186" s="23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</row>
    <row r="187" ht="22.5" customHeight="1">
      <c r="A187" s="9">
        <f>VLOOKUP(B187,FVM_update!A:B,2,0)</f>
        <v>4686</v>
      </c>
      <c r="B187" s="10" t="s">
        <v>255</v>
      </c>
      <c r="C187" s="11" t="s">
        <v>235</v>
      </c>
      <c r="D187" s="12" t="str">
        <f>VLOOKUP(B187,FVM_update!A:F,6,0)</f>
        <v>Milan</v>
      </c>
      <c r="E187" s="13" t="str">
        <f>VLOOKUP(B187,FVM_update!A:E,4,0)</f>
        <v>M;C</v>
      </c>
      <c r="F187" s="11" t="s">
        <v>55</v>
      </c>
      <c r="G187" s="14">
        <v>45839.0</v>
      </c>
      <c r="H187" s="15">
        <f t="shared" si="1"/>
        <v>46569</v>
      </c>
      <c r="I187" s="11" t="s">
        <v>48</v>
      </c>
      <c r="J187" s="16" t="str">
        <f>VLOOKUP(A187,Asteriscati25!B:N,13,0)</f>
        <v>#N/A</v>
      </c>
      <c r="K187" s="17"/>
      <c r="L187" s="18" t="str">
        <f t="shared" si="2"/>
        <v>#REF!</v>
      </c>
      <c r="M187" s="19">
        <f>VLOOKUP(B187,FVM_Asta2526!A:N,14,0)</f>
        <v>36</v>
      </c>
      <c r="N187" s="18">
        <f>VLOOKUP(A187,FVM_update!B:N,13,0)</f>
        <v>32</v>
      </c>
      <c r="O187" s="20">
        <f>VLOOKUP(B187,'FVM_1luglio-31luglio25'!D:Q,14,0)</f>
        <v>22</v>
      </c>
      <c r="P187" s="20">
        <f t="shared" si="9"/>
        <v>32</v>
      </c>
      <c r="Q187" s="21">
        <f t="shared" si="4"/>
        <v>5</v>
      </c>
      <c r="R187" s="21">
        <f t="shared" si="10"/>
        <v>5</v>
      </c>
      <c r="S187" s="20"/>
      <c r="T187" s="22"/>
      <c r="U187" s="23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</row>
    <row r="188" ht="22.5" customHeight="1">
      <c r="A188" s="9">
        <f>VLOOKUP(B188,FVM_update!A:B,2,0)</f>
        <v>2848</v>
      </c>
      <c r="B188" s="25" t="s">
        <v>256</v>
      </c>
      <c r="C188" s="11" t="s">
        <v>235</v>
      </c>
      <c r="D188" s="12" t="str">
        <f>VLOOKUP(B188,FVM_update!A:F,6,0)</f>
        <v>Inter</v>
      </c>
      <c r="E188" s="13" t="str">
        <f>VLOOKUP(B188,FVM_update!A:E,4,0)</f>
        <v>C;T</v>
      </c>
      <c r="F188" s="17" t="str">
        <f>VLOOKUP(B188,'situazione contratti estate 24'!A:I,9,0)</f>
        <v>Obbligo 1+2</v>
      </c>
      <c r="G188" s="14">
        <v>45108.0</v>
      </c>
      <c r="H188" s="15">
        <f t="shared" si="1"/>
        <v>46204</v>
      </c>
      <c r="I188" s="11" t="s">
        <v>71</v>
      </c>
      <c r="J188" s="16" t="str">
        <f>VLOOKUP(A188,Asteriscati25!B:N,13,0)</f>
        <v>#N/A</v>
      </c>
      <c r="K188" s="26">
        <v>0.2</v>
      </c>
      <c r="L188" s="18" t="str">
        <f t="shared" si="2"/>
        <v>#REF!</v>
      </c>
      <c r="M188" s="19">
        <f>VLOOKUP(B188,FVM_Asta2324!C:M,11,0)</f>
        <v>54</v>
      </c>
      <c r="N188" s="18">
        <f>VLOOKUP(A188,FVM_update!B:N,13,0)</f>
        <v>10</v>
      </c>
      <c r="O188" s="20">
        <f>VLOOKUP(B188,'FVM_1luglio-31luglio25'!D:Q,14,0)</f>
        <v>41</v>
      </c>
      <c r="P188" s="20">
        <f t="shared" si="9"/>
        <v>10</v>
      </c>
      <c r="Q188" s="21">
        <f t="shared" si="4"/>
        <v>6.5</v>
      </c>
      <c r="R188" s="21">
        <f t="shared" si="10"/>
        <v>1.5</v>
      </c>
      <c r="S188" s="20"/>
      <c r="T188" s="22"/>
      <c r="U188" s="23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</row>
    <row r="189" ht="22.5" customHeight="1">
      <c r="A189" s="9">
        <f>VLOOKUP(B189,FVM_update!A:B,2,0)</f>
        <v>785</v>
      </c>
      <c r="B189" s="10" t="s">
        <v>257</v>
      </c>
      <c r="C189" s="11" t="s">
        <v>235</v>
      </c>
      <c r="D189" s="12" t="str">
        <f>VLOOKUP(B189,FVM_update!A:F,6,0)</f>
        <v>Bologna</v>
      </c>
      <c r="E189" s="13" t="str">
        <f>VLOOKUP(B189,FVM_update!A:E,4,0)</f>
        <v>Pc</v>
      </c>
      <c r="F189" s="11" t="s">
        <v>45</v>
      </c>
      <c r="G189" s="14">
        <v>45839.0</v>
      </c>
      <c r="H189" s="15">
        <f t="shared" si="1"/>
        <v>46204</v>
      </c>
      <c r="I189" s="11" t="s">
        <v>46</v>
      </c>
      <c r="J189" s="16" t="str">
        <f>VLOOKUP(A189,Asteriscati25!B:N,13,0)</f>
        <v>#N/A</v>
      </c>
      <c r="K189" s="17"/>
      <c r="L189" s="18" t="str">
        <f t="shared" si="2"/>
        <v>#REF!</v>
      </c>
      <c r="M189" s="19">
        <f>VLOOKUP(B189,FVM_Asta2526!A:N,14,0)</f>
        <v>100</v>
      </c>
      <c r="N189" s="18">
        <f>VLOOKUP(A189,FVM_update!B:N,13,0)</f>
        <v>12</v>
      </c>
      <c r="O189" s="20" t="str">
        <f>VLOOKUP(B189,'FVM_1luglio-31luglio25'!D:Q,14,0)</f>
        <v>#N/A</v>
      </c>
      <c r="P189" s="20">
        <f t="shared" si="9"/>
        <v>12</v>
      </c>
      <c r="Q189" s="21">
        <f t="shared" si="4"/>
        <v>10</v>
      </c>
      <c r="R189" s="21">
        <f t="shared" si="10"/>
        <v>5</v>
      </c>
      <c r="S189" s="20"/>
      <c r="T189" s="22"/>
      <c r="U189" s="23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</row>
    <row r="190" ht="22.5" customHeight="1">
      <c r="A190" s="9">
        <f>VLOOKUP(B190,FVM_update!A:B,2,0)</f>
        <v>6766</v>
      </c>
      <c r="B190" s="10" t="s">
        <v>258</v>
      </c>
      <c r="C190" s="11" t="s">
        <v>235</v>
      </c>
      <c r="D190" s="12" t="str">
        <f>VLOOKUP(B190,FVM_update!A:F,6,0)</f>
        <v>Juventus</v>
      </c>
      <c r="E190" s="13" t="str">
        <f>VLOOKUP(B190,FVM_update!A:E,4,0)</f>
        <v>Ds;Dc</v>
      </c>
      <c r="F190" s="11" t="s">
        <v>45</v>
      </c>
      <c r="G190" s="14">
        <v>45839.0</v>
      </c>
      <c r="H190" s="15">
        <f t="shared" si="1"/>
        <v>46204</v>
      </c>
      <c r="I190" s="11" t="s">
        <v>48</v>
      </c>
      <c r="J190" s="16" t="str">
        <f>VLOOKUP(A190,Asteriscati25!B:N,13,0)</f>
        <v>#N/A</v>
      </c>
      <c r="K190" s="17"/>
      <c r="L190" s="18" t="str">
        <f t="shared" si="2"/>
        <v>#REF!</v>
      </c>
      <c r="M190" s="19">
        <f>VLOOKUP(B190,FVM_Asta2526!A:N,14,0)</f>
        <v>17</v>
      </c>
      <c r="N190" s="18">
        <f>VLOOKUP(A190,FVM_update!B:N,13,0)</f>
        <v>25</v>
      </c>
      <c r="O190" s="20" t="str">
        <f>VLOOKUP(B190,'FVM_1luglio-31luglio25'!D:Q,14,0)</f>
        <v>#N/A</v>
      </c>
      <c r="P190" s="20">
        <f t="shared" si="9"/>
        <v>25</v>
      </c>
      <c r="Q190" s="21">
        <f t="shared" si="4"/>
        <v>2</v>
      </c>
      <c r="R190" s="21">
        <f t="shared" si="10"/>
        <v>2</v>
      </c>
      <c r="S190" s="20"/>
      <c r="T190" s="22"/>
      <c r="U190" s="23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</row>
    <row r="191" ht="22.5" customHeight="1">
      <c r="A191" s="9">
        <f>VLOOKUP(B191,FVM_update!A:B,2,0)</f>
        <v>6717</v>
      </c>
      <c r="B191" s="10" t="s">
        <v>259</v>
      </c>
      <c r="C191" s="11" t="s">
        <v>235</v>
      </c>
      <c r="D191" s="12" t="str">
        <f>VLOOKUP(B191,FVM_update!A:F,6,0)</f>
        <v>Sassuolo</v>
      </c>
      <c r="E191" s="13" t="str">
        <f>VLOOKUP(B191,FVM_update!A:E,4,0)</f>
        <v>M;C</v>
      </c>
      <c r="F191" s="11" t="s">
        <v>59</v>
      </c>
      <c r="G191" s="14">
        <v>45839.0</v>
      </c>
      <c r="H191" s="15">
        <f t="shared" si="1"/>
        <v>46935</v>
      </c>
      <c r="I191" s="11" t="s">
        <v>48</v>
      </c>
      <c r="J191" s="16" t="str">
        <f>VLOOKUP(A191,Asteriscati25!B:N,13,0)</f>
        <v>#N/A</v>
      </c>
      <c r="K191" s="17"/>
      <c r="L191" s="18" t="str">
        <f t="shared" si="2"/>
        <v>#REF!</v>
      </c>
      <c r="M191" s="19">
        <f>VLOOKUP(B191,FVM_Asta2526!A:N,14,0)</f>
        <v>15</v>
      </c>
      <c r="N191" s="18">
        <f>VLOOKUP(A191,FVM_update!B:N,13,0)</f>
        <v>46</v>
      </c>
      <c r="O191" s="20" t="str">
        <f>VLOOKUP(B191,'FVM_1luglio-31luglio25'!D:Q,14,0)</f>
        <v>#N/A</v>
      </c>
      <c r="P191" s="20">
        <f t="shared" si="9"/>
        <v>46</v>
      </c>
      <c r="Q191" s="21">
        <f t="shared" si="4"/>
        <v>2</v>
      </c>
      <c r="R191" s="21">
        <f t="shared" si="10"/>
        <v>2</v>
      </c>
      <c r="S191" s="20"/>
      <c r="T191" s="22"/>
      <c r="U191" s="23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</row>
    <row r="192" ht="22.5" customHeight="1">
      <c r="A192" s="9">
        <f>VLOOKUP(B192,FVM_update!A:B,2,0)</f>
        <v>5578</v>
      </c>
      <c r="B192" s="10" t="s">
        <v>260</v>
      </c>
      <c r="C192" s="11" t="s">
        <v>235</v>
      </c>
      <c r="D192" s="12" t="str">
        <f>VLOOKUP(B192,FVM_update!A:F,6,0)</f>
        <v>Atalanta</v>
      </c>
      <c r="E192" s="13" t="str">
        <f>VLOOKUP(B192,FVM_update!A:E,4,0)</f>
        <v>Dd;Dc</v>
      </c>
      <c r="F192" s="11" t="s">
        <v>45</v>
      </c>
      <c r="G192" s="14">
        <v>45839.0</v>
      </c>
      <c r="H192" s="15">
        <f t="shared" si="1"/>
        <v>46204</v>
      </c>
      <c r="I192" s="11" t="s">
        <v>89</v>
      </c>
      <c r="J192" s="16" t="str">
        <f>VLOOKUP(A192,Asteriscati25!B:N,13,0)</f>
        <v>#N/A</v>
      </c>
      <c r="K192" s="29">
        <v>0.8</v>
      </c>
      <c r="L192" s="18" t="str">
        <f t="shared" si="2"/>
        <v>#REF!</v>
      </c>
      <c r="M192" s="19">
        <f>VLOOKUP(B192,FVM_Asta2526!A:N,14,0)</f>
        <v>24</v>
      </c>
      <c r="N192" s="18">
        <f>VLOOKUP(A192,FVM_update!B:N,13,0)</f>
        <v>12</v>
      </c>
      <c r="O192" s="20">
        <f>VLOOKUP(B192,'FVM_1luglio-31luglio25'!D:Q,14,0)</f>
        <v>19</v>
      </c>
      <c r="P192" s="20">
        <f t="shared" si="9"/>
        <v>12</v>
      </c>
      <c r="Q192" s="21">
        <f t="shared" si="4"/>
        <v>2.5</v>
      </c>
      <c r="R192" s="21">
        <f t="shared" si="10"/>
        <v>2</v>
      </c>
      <c r="S192" s="20"/>
      <c r="T192" s="11" t="s">
        <v>90</v>
      </c>
      <c r="U192" s="23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</row>
    <row r="193" ht="22.5" customHeight="1">
      <c r="A193" s="9">
        <f>VLOOKUP(B193,FVM_update!A:B,2,0)</f>
        <v>4312</v>
      </c>
      <c r="B193" s="25" t="s">
        <v>261</v>
      </c>
      <c r="C193" s="11" t="s">
        <v>235</v>
      </c>
      <c r="D193" s="12" t="str">
        <f>VLOOKUP(B193,FVM_update!A:F,6,0)</f>
        <v>Milan</v>
      </c>
      <c r="E193" s="13" t="str">
        <f>VLOOKUP(B193,FVM_update!A:E,4,0)</f>
        <v>Por</v>
      </c>
      <c r="F193" s="17" t="str">
        <f>VLOOKUP(B193,'situazione contratti estate 24'!A:I,9,0)</f>
        <v>Diritto 1+1</v>
      </c>
      <c r="G193" s="14">
        <v>45474.0</v>
      </c>
      <c r="H193" s="15">
        <f t="shared" si="1"/>
        <v>46204</v>
      </c>
      <c r="I193" s="11" t="s">
        <v>48</v>
      </c>
      <c r="J193" s="16" t="str">
        <f>VLOOKUP(A193,Asteriscati25!B:N,13,0)</f>
        <v>#N/A</v>
      </c>
      <c r="K193" s="29">
        <v>0.0</v>
      </c>
      <c r="L193" s="18" t="str">
        <f t="shared" si="2"/>
        <v>#REF!</v>
      </c>
      <c r="M193" s="19">
        <f>VLOOKUP(B193,FVM_Asta2425!A:M,13,0)</f>
        <v>78</v>
      </c>
      <c r="N193" s="18">
        <f>VLOOKUP(A193,FVM_update!B:N,13,0)</f>
        <v>92</v>
      </c>
      <c r="O193" s="20">
        <f>VLOOKUP(B193,'FVM_1luglio-31luglio25'!D:Q,14,0)</f>
        <v>68</v>
      </c>
      <c r="P193" s="20">
        <f t="shared" si="9"/>
        <v>92</v>
      </c>
      <c r="Q193" s="21">
        <f t="shared" si="4"/>
        <v>10.5</v>
      </c>
      <c r="R193" s="21">
        <f t="shared" si="10"/>
        <v>10.5</v>
      </c>
      <c r="S193" s="20"/>
      <c r="T193" s="22"/>
      <c r="U193" s="23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</row>
    <row r="194" ht="22.5" customHeight="1">
      <c r="A194" s="9">
        <f>VLOOKUP(B194,FVM_update!A:B,2,0)</f>
        <v>2593</v>
      </c>
      <c r="B194" s="10" t="s">
        <v>262</v>
      </c>
      <c r="C194" s="11" t="s">
        <v>235</v>
      </c>
      <c r="D194" s="12" t="str">
        <f>VLOOKUP(B194,FVM_update!A:F,6,0)</f>
        <v>Genoa</v>
      </c>
      <c r="E194" s="13" t="str">
        <f>VLOOKUP(B194,FVM_update!A:E,4,0)</f>
        <v>Ds;E</v>
      </c>
      <c r="F194" s="11" t="s">
        <v>45</v>
      </c>
      <c r="G194" s="14">
        <v>45839.0</v>
      </c>
      <c r="H194" s="15">
        <f t="shared" si="1"/>
        <v>46204</v>
      </c>
      <c r="I194" s="11" t="s">
        <v>71</v>
      </c>
      <c r="J194" s="16" t="str">
        <f>VLOOKUP(A194,Asteriscati25!B:N,13,0)</f>
        <v>#N/A</v>
      </c>
      <c r="K194" s="29">
        <v>0.6</v>
      </c>
      <c r="L194" s="18" t="str">
        <f t="shared" si="2"/>
        <v>#REF!</v>
      </c>
      <c r="M194" s="19">
        <f>VLOOKUP(B194,FVM_Asta2526!A:N,14,0)</f>
        <v>32</v>
      </c>
      <c r="N194" s="18">
        <f>VLOOKUP(A194,FVM_update!B:N,13,0)</f>
        <v>27</v>
      </c>
      <c r="O194" s="20">
        <f>VLOOKUP(B194,'FVM_1luglio-31luglio25'!D:Q,14,0)</f>
        <v>29</v>
      </c>
      <c r="P194" s="20">
        <f t="shared" si="9"/>
        <v>27</v>
      </c>
      <c r="Q194" s="21">
        <f t="shared" si="4"/>
        <v>3.5</v>
      </c>
      <c r="R194" s="21">
        <f t="shared" si="10"/>
        <v>2.5</v>
      </c>
      <c r="S194" s="20"/>
      <c r="T194" s="22"/>
      <c r="U194" s="23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</row>
    <row r="195" ht="22.5" customHeight="1">
      <c r="A195" s="9">
        <f>VLOOKUP(B195,FVM_update!A:B,2,0)</f>
        <v>49</v>
      </c>
      <c r="B195" s="10" t="s">
        <v>263</v>
      </c>
      <c r="C195" s="11" t="s">
        <v>235</v>
      </c>
      <c r="D195" s="12" t="str">
        <f>VLOOKUP(B195,FVM_update!A:F,6,0)</f>
        <v>Torino</v>
      </c>
      <c r="E195" s="13" t="str">
        <f>VLOOKUP(B195,FVM_update!A:E,4,0)</f>
        <v>B;Ds;E</v>
      </c>
      <c r="F195" s="11" t="s">
        <v>45</v>
      </c>
      <c r="G195" s="14">
        <v>45839.0</v>
      </c>
      <c r="H195" s="15">
        <f t="shared" si="1"/>
        <v>46204</v>
      </c>
      <c r="I195" s="11" t="s">
        <v>46</v>
      </c>
      <c r="J195" s="16" t="str">
        <f>VLOOKUP(A195,Asteriscati25!B:N,13,0)</f>
        <v>#N/A</v>
      </c>
      <c r="K195" s="17"/>
      <c r="L195" s="18" t="str">
        <f t="shared" si="2"/>
        <v>#REF!</v>
      </c>
      <c r="M195" s="19">
        <f>VLOOKUP(B195,FVM_Asta2526!A:N,14,0)</f>
        <v>10</v>
      </c>
      <c r="N195" s="18">
        <f>VLOOKUP(A195,FVM_update!B:N,13,0)</f>
        <v>10</v>
      </c>
      <c r="O195" s="20">
        <f>VLOOKUP(B195,'FVM_1luglio-31luglio25'!D:Q,14,0)</f>
        <v>14</v>
      </c>
      <c r="P195" s="20">
        <f t="shared" si="9"/>
        <v>10</v>
      </c>
      <c r="Q195" s="21">
        <f t="shared" si="4"/>
        <v>1</v>
      </c>
      <c r="R195" s="21">
        <f t="shared" si="10"/>
        <v>0.5</v>
      </c>
      <c r="S195" s="20"/>
      <c r="T195" s="22"/>
      <c r="U195" s="23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</row>
    <row r="196" ht="22.5" customHeight="1">
      <c r="A196" s="9">
        <f>VLOOKUP(B196,FVM_update!A:B,2,0)</f>
        <v>4317</v>
      </c>
      <c r="B196" s="10" t="s">
        <v>264</v>
      </c>
      <c r="C196" s="11" t="s">
        <v>235</v>
      </c>
      <c r="D196" s="12" t="str">
        <f>VLOOKUP(B196,FVM_update!A:F,6,0)</f>
        <v>Roma</v>
      </c>
      <c r="E196" s="13" t="str">
        <f>VLOOKUP(B196,FVM_update!A:E,4,0)</f>
        <v>Dc</v>
      </c>
      <c r="F196" s="11" t="s">
        <v>45</v>
      </c>
      <c r="G196" s="14">
        <v>45839.0</v>
      </c>
      <c r="H196" s="15">
        <f t="shared" si="1"/>
        <v>46204</v>
      </c>
      <c r="I196" s="11" t="s">
        <v>48</v>
      </c>
      <c r="J196" s="16" t="str">
        <f>VLOOKUP(A196,Asteriscati25!B:N,13,0)</f>
        <v>#N/A</v>
      </c>
      <c r="K196" s="17"/>
      <c r="L196" s="18" t="str">
        <f t="shared" si="2"/>
        <v>#REF!</v>
      </c>
      <c r="M196" s="19">
        <f>VLOOKUP(B196,FVM_Asta2526!A:N,14,0)</f>
        <v>26</v>
      </c>
      <c r="N196" s="18">
        <f>VLOOKUP(A196,FVM_update!B:N,13,0)</f>
        <v>28</v>
      </c>
      <c r="O196" s="20">
        <f>VLOOKUP(B196,'FVM_1luglio-31luglio25'!D:Q,14,0)</f>
        <v>22</v>
      </c>
      <c r="P196" s="20">
        <f t="shared" si="9"/>
        <v>28</v>
      </c>
      <c r="Q196" s="21">
        <f t="shared" si="4"/>
        <v>3</v>
      </c>
      <c r="R196" s="21">
        <f t="shared" si="10"/>
        <v>3</v>
      </c>
      <c r="S196" s="20"/>
      <c r="T196" s="22"/>
      <c r="U196" s="23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</row>
    <row r="197" ht="22.5" customHeight="1">
      <c r="A197" s="9">
        <f>VLOOKUP(B197,FVM_update!A:B,2,0)</f>
        <v>7001</v>
      </c>
      <c r="B197" s="10" t="s">
        <v>265</v>
      </c>
      <c r="C197" s="11" t="s">
        <v>235</v>
      </c>
      <c r="D197" s="12" t="str">
        <f>VLOOKUP(B197,FVM_update!A:F,6,0)</f>
        <v>Lecce</v>
      </c>
      <c r="E197" s="13" t="str">
        <f>VLOOKUP(B197,FVM_update!A:E,4,0)</f>
        <v>W;A</v>
      </c>
      <c r="F197" s="11" t="s">
        <v>45</v>
      </c>
      <c r="G197" s="14">
        <v>45839.0</v>
      </c>
      <c r="H197" s="15">
        <f t="shared" si="1"/>
        <v>46204</v>
      </c>
      <c r="I197" s="11" t="s">
        <v>46</v>
      </c>
      <c r="J197" s="16" t="str">
        <f>VLOOKUP(A197,Asteriscati25!B:N,13,0)</f>
        <v>#N/A</v>
      </c>
      <c r="K197" s="17"/>
      <c r="L197" s="18" t="str">
        <f t="shared" si="2"/>
        <v>#REF!</v>
      </c>
      <c r="M197" s="19">
        <f>VLOOKUP(B197,FVM_Asta2526!A:N,14,0)</f>
        <v>8</v>
      </c>
      <c r="N197" s="18">
        <f>VLOOKUP(A197,FVM_update!B:N,13,0)</f>
        <v>12</v>
      </c>
      <c r="O197" s="20">
        <f>VLOOKUP(B197,'FVM_1luglio-31luglio25'!D:Q,14,0)</f>
        <v>5</v>
      </c>
      <c r="P197" s="20">
        <f t="shared" si="9"/>
        <v>12</v>
      </c>
      <c r="Q197" s="21">
        <f t="shared" si="4"/>
        <v>1</v>
      </c>
      <c r="R197" s="21">
        <f t="shared" si="10"/>
        <v>0.5</v>
      </c>
      <c r="S197" s="20"/>
      <c r="T197" s="22"/>
      <c r="U197" s="23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</row>
    <row r="198" ht="22.5" customHeight="1">
      <c r="A198" s="9">
        <f>VLOOKUP(B198,FVM_update!A:B,2,0)</f>
        <v>5701</v>
      </c>
      <c r="B198" s="10" t="s">
        <v>266</v>
      </c>
      <c r="C198" s="11" t="s">
        <v>235</v>
      </c>
      <c r="D198" s="12" t="str">
        <f>VLOOKUP(B198,FVM_update!A:F,6,0)</f>
        <v>Cagliari</v>
      </c>
      <c r="E198" s="13" t="str">
        <f>VLOOKUP(B198,FVM_update!A:E,4,0)</f>
        <v>Ds;Dc</v>
      </c>
      <c r="F198" s="11" t="s">
        <v>45</v>
      </c>
      <c r="G198" s="14">
        <v>45839.0</v>
      </c>
      <c r="H198" s="15">
        <f t="shared" si="1"/>
        <v>46204</v>
      </c>
      <c r="I198" s="11" t="s">
        <v>89</v>
      </c>
      <c r="J198" s="16" t="str">
        <f>VLOOKUP(A198,Asteriscati25!B:N,13,0)</f>
        <v>#N/A</v>
      </c>
      <c r="K198" s="29">
        <v>0.6</v>
      </c>
      <c r="L198" s="18" t="str">
        <f t="shared" si="2"/>
        <v>#REF!</v>
      </c>
      <c r="M198" s="19">
        <f>VLOOKUP(B198,FVM_Asta2526!A:N,14,0)</f>
        <v>11</v>
      </c>
      <c r="N198" s="18">
        <f>VLOOKUP(A198,FVM_update!B:N,13,0)</f>
        <v>17</v>
      </c>
      <c r="O198" s="20">
        <f>VLOOKUP(B198,'FVM_1luglio-31luglio25'!D:Q,14,0)</f>
        <v>7</v>
      </c>
      <c r="P198" s="20">
        <f t="shared" si="9"/>
        <v>17</v>
      </c>
      <c r="Q198" s="21">
        <f t="shared" si="4"/>
        <v>1.5</v>
      </c>
      <c r="R198" s="21">
        <f t="shared" si="10"/>
        <v>1</v>
      </c>
      <c r="S198" s="20"/>
      <c r="T198" s="22"/>
      <c r="U198" s="23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</row>
    <row r="199" ht="22.5" customHeight="1">
      <c r="A199" s="9">
        <f>VLOOKUP(B199,FVM_update!A:B,2,0)</f>
        <v>6875</v>
      </c>
      <c r="B199" s="10" t="s">
        <v>267</v>
      </c>
      <c r="C199" s="11" t="s">
        <v>235</v>
      </c>
      <c r="D199" s="12" t="str">
        <f>VLOOKUP(B199,FVM_update!A:F,6,0)</f>
        <v>Como</v>
      </c>
      <c r="E199" s="13" t="str">
        <f>VLOOKUP(B199,FVM_update!A:E,4,0)</f>
        <v>T;A</v>
      </c>
      <c r="F199" s="11" t="s">
        <v>59</v>
      </c>
      <c r="G199" s="14">
        <v>45839.0</v>
      </c>
      <c r="H199" s="15">
        <f t="shared" si="1"/>
        <v>46935</v>
      </c>
      <c r="I199" s="11" t="s">
        <v>48</v>
      </c>
      <c r="J199" s="16" t="str">
        <f>VLOOKUP(A199,Asteriscati25!B:N,13,0)</f>
        <v>#N/A</v>
      </c>
      <c r="K199" s="17"/>
      <c r="L199" s="18" t="str">
        <f t="shared" si="2"/>
        <v>#REF!</v>
      </c>
      <c r="M199" s="19">
        <f>VLOOKUP(B199,FVM_Asta2526!A:N,14,0)</f>
        <v>132</v>
      </c>
      <c r="N199" s="18">
        <f>VLOOKUP(A199,FVM_update!B:N,13,0)</f>
        <v>264</v>
      </c>
      <c r="O199" s="20">
        <f>VLOOKUP(B199,'FVM_1luglio-31luglio25'!D:Q,14,0)</f>
        <v>53</v>
      </c>
      <c r="P199" s="20">
        <f t="shared" si="9"/>
        <v>264</v>
      </c>
      <c r="Q199" s="21">
        <f t="shared" si="4"/>
        <v>15.5</v>
      </c>
      <c r="R199" s="21">
        <f t="shared" si="10"/>
        <v>15.5</v>
      </c>
      <c r="S199" s="20"/>
      <c r="T199" s="22"/>
      <c r="U199" s="23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</row>
    <row r="200" ht="22.5" customHeight="1">
      <c r="A200" s="9">
        <f>VLOOKUP(B200,FVM_update!A:B,2,0)</f>
        <v>479</v>
      </c>
      <c r="B200" s="10" t="s">
        <v>268</v>
      </c>
      <c r="C200" s="11" t="s">
        <v>235</v>
      </c>
      <c r="D200" s="12" t="str">
        <f>VLOOKUP(B200,FVM_update!A:F,6,0)</f>
        <v>Cremonese</v>
      </c>
      <c r="E200" s="13" t="str">
        <f>VLOOKUP(B200,FVM_update!A:E,4,0)</f>
        <v>Pc</v>
      </c>
      <c r="F200" s="11" t="s">
        <v>45</v>
      </c>
      <c r="G200" s="14">
        <v>45839.0</v>
      </c>
      <c r="H200" s="15">
        <f t="shared" si="1"/>
        <v>46204</v>
      </c>
      <c r="I200" s="11" t="s">
        <v>46</v>
      </c>
      <c r="J200" s="16" t="str">
        <f>VLOOKUP(A200,Asteriscati25!B:N,13,0)</f>
        <v>#N/A</v>
      </c>
      <c r="K200" s="17"/>
      <c r="L200" s="18" t="str">
        <f t="shared" si="2"/>
        <v>#REF!</v>
      </c>
      <c r="M200" s="19">
        <f>VLOOKUP(B200,FVM_Asta2526!A:N,14,0)</f>
        <v>32</v>
      </c>
      <c r="N200" s="18">
        <f>VLOOKUP(A200,FVM_update!B:N,13,0)</f>
        <v>10</v>
      </c>
      <c r="O200" s="20">
        <f>VLOOKUP(B200,'FVM_1luglio-31luglio25'!D:Q,14,0)</f>
        <v>13</v>
      </c>
      <c r="P200" s="20">
        <f t="shared" si="9"/>
        <v>10</v>
      </c>
      <c r="Q200" s="21">
        <f t="shared" si="4"/>
        <v>3.5</v>
      </c>
      <c r="R200" s="21">
        <f t="shared" si="10"/>
        <v>2</v>
      </c>
      <c r="S200" s="20"/>
      <c r="T200" s="22"/>
      <c r="U200" s="23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</row>
    <row r="201" ht="22.5" customHeight="1">
      <c r="A201" s="9">
        <f>VLOOKUP(B201,FVM_update!A:B,2,0)</f>
        <v>5526</v>
      </c>
      <c r="B201" s="25" t="s">
        <v>269</v>
      </c>
      <c r="C201" s="11" t="s">
        <v>235</v>
      </c>
      <c r="D201" s="12" t="str">
        <f>VLOOKUP(B201,FVM_update!A:F,6,0)</f>
        <v>Atalanta</v>
      </c>
      <c r="E201" s="13" t="str">
        <f>VLOOKUP(B201,FVM_update!A:E,4,0)</f>
        <v>Dc</v>
      </c>
      <c r="F201" s="17" t="str">
        <f>VLOOKUP(B201,'situazione contratti estate 24'!A:I,9,0)</f>
        <v>Obbligo 1+2</v>
      </c>
      <c r="G201" s="14">
        <v>45108.0</v>
      </c>
      <c r="H201" s="15">
        <f t="shared" si="1"/>
        <v>46204</v>
      </c>
      <c r="I201" s="11" t="s">
        <v>68</v>
      </c>
      <c r="J201" s="16" t="str">
        <f>VLOOKUP(A201,Asteriscati25!B:N,13,0)</f>
        <v>#N/A</v>
      </c>
      <c r="K201" s="26">
        <v>0.0</v>
      </c>
      <c r="L201" s="18" t="str">
        <f t="shared" si="2"/>
        <v>#REF!</v>
      </c>
      <c r="M201" s="19">
        <f>VLOOKUP(B201,FVM_Asta2324!C:M,11,0)</f>
        <v>30</v>
      </c>
      <c r="N201" s="18">
        <f>VLOOKUP(A201,FVM_update!B:N,13,0)</f>
        <v>17</v>
      </c>
      <c r="O201" s="20">
        <f>VLOOKUP(B201,'FVM_1luglio-31luglio25'!D:Q,14,0)</f>
        <v>9</v>
      </c>
      <c r="P201" s="20">
        <f t="shared" si="9"/>
        <v>17</v>
      </c>
      <c r="Q201" s="21">
        <f t="shared" si="4"/>
        <v>3.5</v>
      </c>
      <c r="R201" s="21">
        <f t="shared" si="10"/>
        <v>2</v>
      </c>
      <c r="S201" s="20"/>
      <c r="T201" s="22"/>
      <c r="U201" s="23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</row>
    <row r="202" ht="22.5" customHeight="1">
      <c r="A202" s="9">
        <f>VLOOKUP(B202,FVM_update!A:B,2,0)</f>
        <v>5319</v>
      </c>
      <c r="B202" s="10" t="s">
        <v>270</v>
      </c>
      <c r="C202" s="11" t="s">
        <v>235</v>
      </c>
      <c r="D202" s="12" t="str">
        <f>VLOOKUP(B202,FVM_update!A:F,6,0)</f>
        <v>Bologna</v>
      </c>
      <c r="E202" s="13" t="str">
        <f>VLOOKUP(B202,FVM_update!A:E,4,0)</f>
        <v>C</v>
      </c>
      <c r="F202" s="11" t="s">
        <v>45</v>
      </c>
      <c r="G202" s="14">
        <v>45839.0</v>
      </c>
      <c r="H202" s="15">
        <f t="shared" si="1"/>
        <v>46204</v>
      </c>
      <c r="I202" s="11" t="s">
        <v>89</v>
      </c>
      <c r="J202" s="16" t="str">
        <f>VLOOKUP(A202,Asteriscati25!B:N,13,0)</f>
        <v>#N/A</v>
      </c>
      <c r="K202" s="29">
        <v>0.8</v>
      </c>
      <c r="L202" s="18" t="str">
        <f t="shared" si="2"/>
        <v>#REF!</v>
      </c>
      <c r="M202" s="19">
        <f>VLOOKUP(B202,FVM_Asta2526!A:N,14,0)</f>
        <v>34</v>
      </c>
      <c r="N202" s="18">
        <f>VLOOKUP(A202,FVM_update!B:N,13,0)</f>
        <v>10</v>
      </c>
      <c r="O202" s="20">
        <f>VLOOKUP(B202,'FVM_1luglio-31luglio25'!D:Q,14,0)</f>
        <v>19</v>
      </c>
      <c r="P202" s="20">
        <f t="shared" si="9"/>
        <v>10</v>
      </c>
      <c r="Q202" s="21">
        <f t="shared" si="4"/>
        <v>3.5</v>
      </c>
      <c r="R202" s="21">
        <f t="shared" si="10"/>
        <v>3</v>
      </c>
      <c r="S202" s="20"/>
      <c r="T202" s="11" t="s">
        <v>90</v>
      </c>
      <c r="U202" s="23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</row>
    <row r="203" ht="22.5" customHeight="1">
      <c r="A203" s="9">
        <f>VLOOKUP(B203,FVM_update!A:B,2,0)</f>
        <v>7135</v>
      </c>
      <c r="B203" s="10" t="s">
        <v>271</v>
      </c>
      <c r="C203" s="11" t="s">
        <v>235</v>
      </c>
      <c r="D203" s="12" t="str">
        <f>VLOOKUP(B203,FVM_update!A:F,6,0)</f>
        <v>Genoa</v>
      </c>
      <c r="E203" s="13" t="str">
        <f>VLOOKUP(B203,FVM_update!A:E,4,0)</f>
        <v>C;T</v>
      </c>
      <c r="F203" s="11" t="s">
        <v>45</v>
      </c>
      <c r="G203" s="14">
        <v>45839.0</v>
      </c>
      <c r="H203" s="15">
        <f t="shared" si="1"/>
        <v>46204</v>
      </c>
      <c r="I203" s="11" t="s">
        <v>46</v>
      </c>
      <c r="J203" s="16" t="str">
        <f>VLOOKUP(A203,Asteriscati25!B:N,13,0)</f>
        <v>#N/A</v>
      </c>
      <c r="K203" s="17"/>
      <c r="L203" s="18" t="str">
        <f t="shared" si="2"/>
        <v>#REF!</v>
      </c>
      <c r="M203" s="19">
        <f>VLOOKUP(B203,FVM_Asta2526!A:N,14,0)</f>
        <v>26</v>
      </c>
      <c r="N203" s="18">
        <f>VLOOKUP(A203,FVM_update!B:N,13,0)</f>
        <v>5</v>
      </c>
      <c r="O203" s="20" t="str">
        <f>VLOOKUP(B203,'FVM_1luglio-31luglio25'!D:Q,14,0)</f>
        <v>#N/A</v>
      </c>
      <c r="P203" s="20">
        <f t="shared" si="9"/>
        <v>5</v>
      </c>
      <c r="Q203" s="21">
        <f t="shared" si="4"/>
        <v>3</v>
      </c>
      <c r="R203" s="21">
        <f t="shared" si="10"/>
        <v>1.5</v>
      </c>
      <c r="S203" s="20"/>
      <c r="T203" s="22"/>
      <c r="U203" s="23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</row>
    <row r="204" ht="22.5" customHeight="1">
      <c r="A204" s="9">
        <f>VLOOKUP(B204,FVM_update!A:B,2,0)</f>
        <v>2815</v>
      </c>
      <c r="B204" s="10" t="s">
        <v>272</v>
      </c>
      <c r="C204" s="11" t="s">
        <v>235</v>
      </c>
      <c r="D204" s="12" t="str">
        <f>VLOOKUP(B204,FVM_update!A:F,6,0)</f>
        <v>Milan</v>
      </c>
      <c r="E204" s="13" t="str">
        <f>VLOOKUP(B204,FVM_update!A:E,4,0)</f>
        <v>Por</v>
      </c>
      <c r="F204" s="11" t="s">
        <v>45</v>
      </c>
      <c r="G204" s="14">
        <v>45839.0</v>
      </c>
      <c r="H204" s="15">
        <f t="shared" si="1"/>
        <v>46204</v>
      </c>
      <c r="I204" s="11" t="s">
        <v>48</v>
      </c>
      <c r="J204" s="16" t="str">
        <f>VLOOKUP(A204,Asteriscati25!B:N,13,0)</f>
        <v>#N/A</v>
      </c>
      <c r="K204" s="17"/>
      <c r="L204" s="18" t="str">
        <f t="shared" si="2"/>
        <v>#REF!</v>
      </c>
      <c r="M204" s="19">
        <f>VLOOKUP(B204,FVM_Asta2526!A:N,14,0)</f>
        <v>1</v>
      </c>
      <c r="N204" s="18">
        <f>VLOOKUP(A204,FVM_update!B:N,13,0)</f>
        <v>1</v>
      </c>
      <c r="O204" s="20">
        <f>VLOOKUP(B204,'FVM_1luglio-31luglio25'!D:Q,14,0)</f>
        <v>10</v>
      </c>
      <c r="P204" s="20">
        <f t="shared" si="9"/>
        <v>1</v>
      </c>
      <c r="Q204" s="21">
        <f t="shared" si="4"/>
        <v>0.5</v>
      </c>
      <c r="R204" s="21">
        <f t="shared" si="10"/>
        <v>0.5</v>
      </c>
      <c r="S204" s="20"/>
      <c r="T204" s="22"/>
      <c r="U204" s="23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</row>
    <row r="205" ht="22.5" customHeight="1">
      <c r="A205" s="9">
        <f>VLOOKUP(B205,FVM_update!A:B,2,0)</f>
        <v>4871</v>
      </c>
      <c r="B205" s="25" t="s">
        <v>273</v>
      </c>
      <c r="C205" s="11" t="s">
        <v>235</v>
      </c>
      <c r="D205" s="12" t="str">
        <f>VLOOKUP(B205,FVM_update!A:F,6,0)</f>
        <v>Inter</v>
      </c>
      <c r="E205" s="13" t="str">
        <f>VLOOKUP(B205,FVM_update!A:E,4,0)</f>
        <v>Pc</v>
      </c>
      <c r="F205" s="17" t="str">
        <f>VLOOKUP(B205,'situazione contratti estate 24'!A:I,9,0)</f>
        <v>Obbligo 1+2</v>
      </c>
      <c r="G205" s="14">
        <v>45108.0</v>
      </c>
      <c r="H205" s="15">
        <f t="shared" si="1"/>
        <v>46204</v>
      </c>
      <c r="I205" s="11" t="s">
        <v>48</v>
      </c>
      <c r="J205" s="16" t="str">
        <f>VLOOKUP(A205,Asteriscati25!B:N,13,0)</f>
        <v>#N/A</v>
      </c>
      <c r="K205" s="26">
        <v>0.0</v>
      </c>
      <c r="L205" s="18" t="str">
        <f t="shared" si="2"/>
        <v>#REF!</v>
      </c>
      <c r="M205" s="19">
        <f>VLOOKUP(B205,FVM_Asta2324!C:M,11,0)</f>
        <v>185</v>
      </c>
      <c r="N205" s="18">
        <f>VLOOKUP(A205,FVM_update!B:N,13,0)</f>
        <v>228</v>
      </c>
      <c r="O205" s="20">
        <f>VLOOKUP(B205,'FVM_1luglio-31luglio25'!D:Q,14,0)</f>
        <v>286</v>
      </c>
      <c r="P205" s="20">
        <f t="shared" si="9"/>
        <v>228</v>
      </c>
      <c r="Q205" s="21">
        <f t="shared" si="4"/>
        <v>21.5</v>
      </c>
      <c r="R205" s="21">
        <f t="shared" si="10"/>
        <v>21.5</v>
      </c>
      <c r="S205" s="20"/>
      <c r="T205" s="22"/>
      <c r="U205" s="23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</row>
    <row r="206" ht="22.5" customHeight="1">
      <c r="A206" s="9">
        <f>VLOOKUP(B206,FVM_update!A:B,2,0)</f>
        <v>632</v>
      </c>
      <c r="B206" s="10" t="s">
        <v>274</v>
      </c>
      <c r="C206" s="11" t="s">
        <v>235</v>
      </c>
      <c r="D206" s="12" t="str">
        <f>VLOOKUP(B206,FVM_update!A:F,6,0)</f>
        <v>Lazio</v>
      </c>
      <c r="E206" s="13" t="str">
        <f>VLOOKUP(B206,FVM_update!A:E,4,0)</f>
        <v>W;A</v>
      </c>
      <c r="F206" s="17" t="str">
        <f>VLOOKUP(B206,'situazione contratti estate 24'!A:I,9,0)</f>
        <v>Obbligo 1+1</v>
      </c>
      <c r="G206" s="14">
        <v>45839.0</v>
      </c>
      <c r="H206" s="15">
        <f t="shared" si="1"/>
        <v>46569</v>
      </c>
      <c r="I206" s="11" t="s">
        <v>122</v>
      </c>
      <c r="J206" s="16" t="str">
        <f>VLOOKUP(A206,Asteriscati25!B:N,13,0)</f>
        <v>#N/A</v>
      </c>
      <c r="K206" s="29">
        <v>0.6</v>
      </c>
      <c r="L206" s="18" t="str">
        <f t="shared" si="2"/>
        <v>#REF!</v>
      </c>
      <c r="M206" s="19">
        <f>VLOOKUP(B206,FVM_Asta2526!A:N,14,0)</f>
        <v>206</v>
      </c>
      <c r="N206" s="18">
        <f>VLOOKUP(A206,FVM_update!B:N,13,0)</f>
        <v>65</v>
      </c>
      <c r="O206" s="20">
        <f>VLOOKUP(B206,'FVM_1luglio-31luglio25'!D:Q,14,0)</f>
        <v>152</v>
      </c>
      <c r="P206" s="20">
        <f t="shared" si="9"/>
        <v>65</v>
      </c>
      <c r="Q206" s="21">
        <f t="shared" si="4"/>
        <v>24</v>
      </c>
      <c r="R206" s="21">
        <f t="shared" si="10"/>
        <v>14.5</v>
      </c>
      <c r="S206" s="20"/>
      <c r="T206" s="22"/>
      <c r="U206" s="23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</row>
    <row r="207" ht="22.5" customHeight="1">
      <c r="A207" s="9">
        <f>VLOOKUP(B207,FVM_update!A:B,2,0)</f>
        <v>2766</v>
      </c>
      <c r="B207" s="10" t="s">
        <v>275</v>
      </c>
      <c r="C207" s="11" t="s">
        <v>235</v>
      </c>
      <c r="D207" s="12" t="str">
        <f>VLOOKUP(B207,FVM_update!A:F,6,0)</f>
        <v>Udinese</v>
      </c>
      <c r="E207" s="13" t="str">
        <f>VLOOKUP(B207,FVM_update!A:E,4,0)</f>
        <v>T;A</v>
      </c>
      <c r="F207" s="11" t="s">
        <v>45</v>
      </c>
      <c r="G207" s="14">
        <v>45839.0</v>
      </c>
      <c r="H207" s="15">
        <f t="shared" si="1"/>
        <v>46204</v>
      </c>
      <c r="I207" s="11" t="s">
        <v>71</v>
      </c>
      <c r="J207" s="16" t="str">
        <f>VLOOKUP(A207,Asteriscati25!B:N,13,0)</f>
        <v>#N/A</v>
      </c>
      <c r="K207" s="29">
        <v>0.2</v>
      </c>
      <c r="L207" s="18" t="str">
        <f t="shared" si="2"/>
        <v>#REF!</v>
      </c>
      <c r="M207" s="19">
        <f>VLOOKUP(B207,FVM_Asta2526!A:N,14,0)</f>
        <v>25</v>
      </c>
      <c r="N207" s="18">
        <f>VLOOKUP(A207,FVM_update!B:N,13,0)</f>
        <v>80</v>
      </c>
      <c r="O207" s="20">
        <f>VLOOKUP(B207,'FVM_1luglio-31luglio25'!D:Q,14,0)</f>
        <v>20</v>
      </c>
      <c r="P207" s="20">
        <f t="shared" si="9"/>
        <v>80</v>
      </c>
      <c r="Q207" s="21">
        <f t="shared" si="4"/>
        <v>2.5</v>
      </c>
      <c r="R207" s="21">
        <f t="shared" si="10"/>
        <v>0.5</v>
      </c>
      <c r="S207" s="20"/>
      <c r="T207" s="22"/>
      <c r="U207" s="23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</row>
    <row r="208" ht="22.5" customHeight="1">
      <c r="A208" s="9">
        <f>VLOOKUP(B208,FVM_update!A:B,2,0)</f>
        <v>7014</v>
      </c>
      <c r="B208" s="25" t="s">
        <v>276</v>
      </c>
      <c r="C208" s="11" t="s">
        <v>235</v>
      </c>
      <c r="D208" s="12" t="str">
        <f>VLOOKUP(B208,FVM_update!A:F,6,0)</f>
        <v>Como</v>
      </c>
      <c r="E208" s="13" t="str">
        <f>VLOOKUP(B208,FVM_update!A:E,4,0)</f>
        <v>Dd;Dc</v>
      </c>
      <c r="F208" s="11" t="s">
        <v>92</v>
      </c>
      <c r="G208" s="14">
        <v>45839.0</v>
      </c>
      <c r="H208" s="15">
        <f t="shared" si="1"/>
        <v>46204</v>
      </c>
      <c r="I208" s="11" t="s">
        <v>93</v>
      </c>
      <c r="J208" s="16" t="str">
        <f>VLOOKUP(A208,Asteriscati25!B:N,13,0)</f>
        <v>#N/A</v>
      </c>
      <c r="K208" s="17"/>
      <c r="L208" s="18" t="str">
        <f t="shared" si="2"/>
        <v>#REF!</v>
      </c>
      <c r="M208" s="19">
        <v>12.0</v>
      </c>
      <c r="N208" s="18">
        <f>VLOOKUP(A208,FVM_update!B:N,13,0)</f>
        <v>12</v>
      </c>
      <c r="O208" s="20">
        <f>VLOOKUP(B208,'FVM_1luglio-31luglio25'!D:Q,14,0)</f>
        <v>6</v>
      </c>
      <c r="P208" s="20">
        <f t="shared" si="9"/>
        <v>12</v>
      </c>
      <c r="Q208" s="21">
        <f t="shared" si="4"/>
        <v>1.5</v>
      </c>
      <c r="R208" s="21">
        <f t="shared" si="10"/>
        <v>1</v>
      </c>
      <c r="S208" s="20"/>
      <c r="T208" s="22"/>
      <c r="U208" s="23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</row>
    <row r="209" ht="22.5" customHeight="1">
      <c r="A209" s="9">
        <f>VLOOKUP(B209,FVM_update!A:B,2,0)</f>
        <v>4374</v>
      </c>
      <c r="B209" s="25" t="s">
        <v>277</v>
      </c>
      <c r="C209" s="11" t="s">
        <v>235</v>
      </c>
      <c r="D209" s="12" t="str">
        <f>VLOOKUP(B209,FVM_update!A:F,6,0)</f>
        <v>Sassuolo</v>
      </c>
      <c r="E209" s="13" t="str">
        <f>VLOOKUP(B209,FVM_update!A:E,4,0)</f>
        <v>Dd;Dc</v>
      </c>
      <c r="F209" s="11" t="s">
        <v>92</v>
      </c>
      <c r="G209" s="14">
        <v>45839.0</v>
      </c>
      <c r="H209" s="15">
        <f t="shared" si="1"/>
        <v>46204</v>
      </c>
      <c r="I209" s="11" t="s">
        <v>93</v>
      </c>
      <c r="J209" s="16" t="str">
        <f>VLOOKUP(A209,Asteriscati25!B:N,13,0)</f>
        <v>#N/A</v>
      </c>
      <c r="K209" s="17"/>
      <c r="L209" s="18" t="str">
        <f t="shared" si="2"/>
        <v>#REF!</v>
      </c>
      <c r="M209" s="19">
        <v>15.0</v>
      </c>
      <c r="N209" s="18">
        <f>VLOOKUP(A209,FVM_update!B:N,13,0)</f>
        <v>15</v>
      </c>
      <c r="O209" s="20">
        <f>VLOOKUP(B209,'FVM_1luglio-31luglio25'!D:Q,14,0)</f>
        <v>8</v>
      </c>
      <c r="P209" s="20">
        <f t="shared" si="9"/>
        <v>15</v>
      </c>
      <c r="Q209" s="21">
        <f t="shared" si="4"/>
        <v>1.5</v>
      </c>
      <c r="R209" s="21">
        <f t="shared" si="10"/>
        <v>1</v>
      </c>
      <c r="S209" s="20"/>
      <c r="T209" s="22"/>
      <c r="U209" s="23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</row>
    <row r="210" ht="22.5" customHeight="1">
      <c r="A210" s="9">
        <f>VLOOKUP(B210,FVM_update!A:B,2,0)</f>
        <v>6112</v>
      </c>
      <c r="B210" s="25" t="s">
        <v>278</v>
      </c>
      <c r="C210" s="11" t="s">
        <v>235</v>
      </c>
      <c r="D210" s="12" t="str">
        <f>VLOOKUP(B210,FVM_update!A:F,6,0)</f>
        <v>Pisa</v>
      </c>
      <c r="E210" s="13" t="str">
        <f>VLOOKUP(B210,FVM_update!A:E,4,0)</f>
        <v>E;W</v>
      </c>
      <c r="F210" s="11" t="s">
        <v>92</v>
      </c>
      <c r="G210" s="14">
        <v>45839.0</v>
      </c>
      <c r="H210" s="15">
        <f t="shared" si="1"/>
        <v>46204</v>
      </c>
      <c r="I210" s="11" t="s">
        <v>93</v>
      </c>
      <c r="J210" s="16" t="str">
        <f>VLOOKUP(A210,Asteriscati25!B:N,13,0)</f>
        <v>#N/A</v>
      </c>
      <c r="K210" s="17"/>
      <c r="L210" s="18" t="str">
        <f t="shared" si="2"/>
        <v>#REF!</v>
      </c>
      <c r="M210" s="19">
        <v>13.0</v>
      </c>
      <c r="N210" s="18">
        <f>VLOOKUP(A210,FVM_update!B:N,13,0)</f>
        <v>13</v>
      </c>
      <c r="O210" s="20" t="str">
        <f>VLOOKUP(B210,'FVM_1luglio-31luglio25'!D:Q,14,0)</f>
        <v>#N/A</v>
      </c>
      <c r="P210" s="20">
        <f t="shared" si="9"/>
        <v>13</v>
      </c>
      <c r="Q210" s="21">
        <f t="shared" si="4"/>
        <v>1.5</v>
      </c>
      <c r="R210" s="21">
        <f t="shared" si="10"/>
        <v>1</v>
      </c>
      <c r="S210" s="20"/>
      <c r="T210" s="22"/>
      <c r="U210" s="23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</row>
    <row r="211" ht="22.5" customHeight="1">
      <c r="A211" s="9">
        <f>VLOOKUP(B211,FVM_update!A:B,2,0)</f>
        <v>5301</v>
      </c>
      <c r="B211" s="25" t="s">
        <v>279</v>
      </c>
      <c r="C211" s="11" t="s">
        <v>235</v>
      </c>
      <c r="D211" s="12" t="str">
        <f>VLOOKUP(B211,FVM_update!A:F,6,0)</f>
        <v>Inter</v>
      </c>
      <c r="E211" s="13" t="str">
        <f>VLOOKUP(B211,FVM_update!A:E,4,0)</f>
        <v>E;W</v>
      </c>
      <c r="F211" s="11" t="s">
        <v>92</v>
      </c>
      <c r="G211" s="14">
        <v>45839.0</v>
      </c>
      <c r="H211" s="15">
        <f t="shared" si="1"/>
        <v>46204</v>
      </c>
      <c r="I211" s="11" t="s">
        <v>93</v>
      </c>
      <c r="J211" s="16" t="str">
        <f>VLOOKUP(A211,Asteriscati25!B:N,13,0)</f>
        <v>#N/A</v>
      </c>
      <c r="K211" s="17"/>
      <c r="L211" s="18" t="str">
        <f t="shared" si="2"/>
        <v>#REF!</v>
      </c>
      <c r="M211" s="19">
        <v>15.0</v>
      </c>
      <c r="N211" s="18">
        <f>VLOOKUP(A211,FVM_update!B:N,13,0)</f>
        <v>15</v>
      </c>
      <c r="O211" s="20" t="str">
        <f>VLOOKUP(B211,'FVM_1luglio-31luglio25'!D:Q,14,0)</f>
        <v>#N/A</v>
      </c>
      <c r="P211" s="20">
        <f t="shared" si="9"/>
        <v>15</v>
      </c>
      <c r="Q211" s="21">
        <f t="shared" si="4"/>
        <v>1.5</v>
      </c>
      <c r="R211" s="21">
        <f t="shared" si="10"/>
        <v>1</v>
      </c>
      <c r="S211" s="20"/>
      <c r="T211" s="22"/>
      <c r="U211" s="23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</row>
    <row r="212" ht="22.5" customHeight="1">
      <c r="A212" s="9">
        <f>VLOOKUP(B212,FVM_update!A:B,2,0)</f>
        <v>1976</v>
      </c>
      <c r="B212" s="25" t="s">
        <v>280</v>
      </c>
      <c r="C212" s="11" t="s">
        <v>235</v>
      </c>
      <c r="D212" s="12" t="str">
        <f>VLOOKUP(B212,FVM_update!A:F,6,0)</f>
        <v>Cagliari</v>
      </c>
      <c r="E212" s="13" t="str">
        <f>VLOOKUP(B212,FVM_update!A:E,4,0)</f>
        <v>M;C</v>
      </c>
      <c r="F212" s="11" t="s">
        <v>92</v>
      </c>
      <c r="G212" s="14">
        <v>45839.0</v>
      </c>
      <c r="H212" s="15">
        <f t="shared" si="1"/>
        <v>46204</v>
      </c>
      <c r="I212" s="11" t="s">
        <v>93</v>
      </c>
      <c r="J212" s="16" t="str">
        <f>VLOOKUP(A212,Asteriscati25!B:N,13,0)</f>
        <v>#N/A</v>
      </c>
      <c r="K212" s="17"/>
      <c r="L212" s="18" t="str">
        <f t="shared" si="2"/>
        <v>#REF!</v>
      </c>
      <c r="M212" s="19">
        <v>22.0</v>
      </c>
      <c r="N212" s="18">
        <f>VLOOKUP(A212,FVM_update!B:N,13,0)</f>
        <v>22</v>
      </c>
      <c r="O212" s="20" t="str">
        <f>VLOOKUP(B212,'FVM_1luglio-31luglio25'!D:Q,14,0)</f>
        <v>#N/A</v>
      </c>
      <c r="P212" s="20">
        <f t="shared" si="9"/>
        <v>22</v>
      </c>
      <c r="Q212" s="21">
        <f t="shared" si="4"/>
        <v>2.5</v>
      </c>
      <c r="R212" s="21">
        <f t="shared" si="10"/>
        <v>1.5</v>
      </c>
      <c r="S212" s="20"/>
      <c r="T212" s="22"/>
      <c r="U212" s="23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</row>
    <row r="213" ht="22.5" customHeight="1">
      <c r="A213" s="9">
        <f>VLOOKUP(B213,FVM_update!A:B,2,0)</f>
        <v>530</v>
      </c>
      <c r="B213" s="25" t="s">
        <v>281</v>
      </c>
      <c r="C213" s="11" t="s">
        <v>235</v>
      </c>
      <c r="D213" s="12" t="str">
        <f>VLOOKUP(B213,FVM_update!A:F,6,0)</f>
        <v>Roma</v>
      </c>
      <c r="E213" s="13" t="str">
        <f>VLOOKUP(B213,FVM_update!A:E,4,0)</f>
        <v>C;T</v>
      </c>
      <c r="F213" s="11" t="s">
        <v>92</v>
      </c>
      <c r="G213" s="14">
        <v>45839.0</v>
      </c>
      <c r="H213" s="15">
        <f t="shared" si="1"/>
        <v>46204</v>
      </c>
      <c r="I213" s="11" t="s">
        <v>93</v>
      </c>
      <c r="J213" s="16" t="str">
        <f>VLOOKUP(A213,Asteriscati25!B:N,13,0)</f>
        <v>#N/A</v>
      </c>
      <c r="K213" s="17"/>
      <c r="L213" s="18" t="str">
        <f t="shared" si="2"/>
        <v>#REF!</v>
      </c>
      <c r="M213" s="19">
        <v>29.0</v>
      </c>
      <c r="N213" s="18">
        <f>VLOOKUP(A213,FVM_update!B:N,13,0)</f>
        <v>29</v>
      </c>
      <c r="O213" s="20">
        <f>VLOOKUP(B213,'FVM_1luglio-31luglio25'!D:Q,14,0)</f>
        <v>43</v>
      </c>
      <c r="P213" s="20">
        <f t="shared" si="9"/>
        <v>29</v>
      </c>
      <c r="Q213" s="21">
        <f t="shared" si="4"/>
        <v>3</v>
      </c>
      <c r="R213" s="21">
        <f t="shared" si="10"/>
        <v>1.5</v>
      </c>
      <c r="S213" s="20"/>
      <c r="T213" s="22"/>
      <c r="U213" s="23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</row>
    <row r="214" ht="22.5" customHeight="1">
      <c r="A214" s="9">
        <f>VLOOKUP(B214,FVM_update!A:B,2,0)</f>
        <v>2841</v>
      </c>
      <c r="B214" s="25" t="s">
        <v>282</v>
      </c>
      <c r="C214" s="11" t="s">
        <v>235</v>
      </c>
      <c r="D214" s="12" t="str">
        <f>VLOOKUP(B214,FVM_update!A:F,6,0)</f>
        <v>Juventus</v>
      </c>
      <c r="E214" s="13" t="str">
        <f>VLOOKUP(B214,FVM_update!A:E,4,0)</f>
        <v>Pc</v>
      </c>
      <c r="F214" s="11" t="s">
        <v>74</v>
      </c>
      <c r="G214" s="14">
        <v>45839.0</v>
      </c>
      <c r="H214" s="15">
        <f t="shared" si="1"/>
        <v>46753</v>
      </c>
      <c r="I214" s="11" t="s">
        <v>93</v>
      </c>
      <c r="J214" s="16" t="str">
        <f>VLOOKUP(A214,Asteriscati25!B:N,13,0)</f>
        <v>#N/A</v>
      </c>
      <c r="K214" s="17"/>
      <c r="L214" s="18" t="str">
        <f t="shared" si="2"/>
        <v>#REF!</v>
      </c>
      <c r="M214" s="19">
        <v>47.0</v>
      </c>
      <c r="N214" s="18">
        <f>VLOOKUP(A214,FVM_update!B:N,13,0)</f>
        <v>47</v>
      </c>
      <c r="O214" s="20">
        <f>VLOOKUP(B214,'FVM_1luglio-31luglio25'!D:Q,14,0)</f>
        <v>261</v>
      </c>
      <c r="P214" s="20">
        <f t="shared" si="9"/>
        <v>47</v>
      </c>
      <c r="Q214" s="21">
        <f t="shared" si="4"/>
        <v>5.5</v>
      </c>
      <c r="R214" s="21">
        <f t="shared" si="10"/>
        <v>3</v>
      </c>
      <c r="S214" s="20"/>
      <c r="T214" s="22"/>
      <c r="U214" s="23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</row>
    <row r="215" ht="22.5" customHeight="1">
      <c r="A215" s="9">
        <f>VLOOKUP(B215,FVM_update!A:B,2,0)</f>
        <v>5585</v>
      </c>
      <c r="B215" s="25" t="s">
        <v>283</v>
      </c>
      <c r="C215" s="11" t="s">
        <v>235</v>
      </c>
      <c r="D215" s="12" t="str">
        <f>VLOOKUP(B215,FVM_update!A:F,6,0)</f>
        <v>Roma</v>
      </c>
      <c r="E215" s="13" t="str">
        <f>VLOOKUP(B215,FVM_update!A:E,4,0)</f>
        <v>A</v>
      </c>
      <c r="F215" s="11" t="s">
        <v>74</v>
      </c>
      <c r="G215" s="14">
        <v>45839.0</v>
      </c>
      <c r="H215" s="15">
        <f t="shared" si="1"/>
        <v>46753</v>
      </c>
      <c r="I215" s="11" t="s">
        <v>93</v>
      </c>
      <c r="J215" s="16" t="str">
        <f>VLOOKUP(A215,Asteriscati25!B:N,13,0)</f>
        <v>#N/A</v>
      </c>
      <c r="K215" s="17"/>
      <c r="L215" s="18" t="str">
        <f t="shared" si="2"/>
        <v>#REF!</v>
      </c>
      <c r="M215" s="19">
        <v>67.0</v>
      </c>
      <c r="N215" s="18">
        <f>VLOOKUP(A215,FVM_update!B:N,13,0)</f>
        <v>67</v>
      </c>
      <c r="O215" s="20" t="str">
        <f>VLOOKUP(B215,'FVM_1luglio-31luglio25'!D:Q,14,0)</f>
        <v>#N/A</v>
      </c>
      <c r="P215" s="20">
        <f t="shared" si="9"/>
        <v>67</v>
      </c>
      <c r="Q215" s="21">
        <f t="shared" si="4"/>
        <v>8</v>
      </c>
      <c r="R215" s="21">
        <f t="shared" si="10"/>
        <v>4</v>
      </c>
      <c r="S215" s="20"/>
      <c r="T215" s="22"/>
      <c r="U215" s="23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</row>
    <row r="216" ht="22.5" customHeight="1">
      <c r="A216" s="9">
        <f>VLOOKUP(B216,FVM_update!A:B,2,0)</f>
        <v>254</v>
      </c>
      <c r="B216" s="25" t="s">
        <v>284</v>
      </c>
      <c r="C216" s="11" t="s">
        <v>235</v>
      </c>
      <c r="D216" s="12" t="str">
        <f>VLOOKUP(B216,FVM_update!A:F,6,0)</f>
        <v>Inter</v>
      </c>
      <c r="E216" s="13" t="str">
        <f>VLOOKUP(B216,FVM_update!A:E,4,0)</f>
        <v>E</v>
      </c>
      <c r="F216" s="17" t="str">
        <f>VLOOKUP(B216,'situazione contratti estate 24'!A:I,9,0)</f>
        <v>Obbligo 1+2</v>
      </c>
      <c r="G216" s="14">
        <v>45108.0</v>
      </c>
      <c r="H216" s="15">
        <f t="shared" si="1"/>
        <v>46204</v>
      </c>
      <c r="I216" s="11" t="s">
        <v>126</v>
      </c>
      <c r="J216" s="16" t="str">
        <f>VLOOKUP(A216,Asteriscati25!B:N,13,0)</f>
        <v>#N/A</v>
      </c>
      <c r="K216" s="26">
        <v>0.4</v>
      </c>
      <c r="L216" s="18" t="str">
        <f t="shared" si="2"/>
        <v>#REF!</v>
      </c>
      <c r="M216" s="19">
        <f>VLOOKUP(B216,FVM_Asta2324!C:M,11,0)</f>
        <v>72</v>
      </c>
      <c r="N216" s="18">
        <f>VLOOKUP(A216,FVM_update!B:N,13,0)</f>
        <v>170</v>
      </c>
      <c r="O216" s="20">
        <f>VLOOKUP(B216,'FVM_1luglio-31luglio25'!D:Q,14,0)</f>
        <v>91</v>
      </c>
      <c r="P216" s="20">
        <f t="shared" si="9"/>
        <v>170</v>
      </c>
      <c r="Q216" s="21">
        <f t="shared" si="4"/>
        <v>8.5</v>
      </c>
      <c r="R216" s="21">
        <f t="shared" si="10"/>
        <v>3.5</v>
      </c>
      <c r="S216" s="20"/>
      <c r="T216" s="22"/>
      <c r="U216" s="23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</row>
    <row r="217" ht="22.5" customHeight="1">
      <c r="A217" s="9">
        <f>VLOOKUP(B217,FVM_update!A:B,2,0)</f>
        <v>6010</v>
      </c>
      <c r="B217" s="25" t="s">
        <v>285</v>
      </c>
      <c r="C217" s="11" t="s">
        <v>235</v>
      </c>
      <c r="D217" s="12" t="str">
        <f>VLOOKUP(B217,FVM_update!A:F,6,0)</f>
        <v>Fiorentina</v>
      </c>
      <c r="E217" s="13" t="str">
        <f>VLOOKUP(B217,FVM_update!A:E,4,0)</f>
        <v>C;T</v>
      </c>
      <c r="F217" s="11" t="s">
        <v>55</v>
      </c>
      <c r="G217" s="14">
        <v>45474.0</v>
      </c>
      <c r="H217" s="15">
        <f t="shared" si="1"/>
        <v>46204</v>
      </c>
      <c r="I217" s="11" t="s">
        <v>126</v>
      </c>
      <c r="J217" s="16" t="str">
        <f>VLOOKUP(A217,Asteriscati25!B:N,13,0)</f>
        <v>#N/A</v>
      </c>
      <c r="K217" s="26">
        <v>0.4</v>
      </c>
      <c r="L217" s="18" t="str">
        <f t="shared" si="2"/>
        <v>#REF!</v>
      </c>
      <c r="M217" s="19">
        <f>VLOOKUP(B217,FVM_Asta2425!A:M,13,0)</f>
        <v>19</v>
      </c>
      <c r="N217" s="18">
        <f>VLOOKUP(A217,FVM_update!B:N,13,0)</f>
        <v>8</v>
      </c>
      <c r="O217" s="20">
        <f>VLOOKUP(B217,'FVM_1luglio-31luglio25'!D:Q,14,0)</f>
        <v>36</v>
      </c>
      <c r="P217" s="20">
        <f t="shared" si="9"/>
        <v>8</v>
      </c>
      <c r="Q217" s="21">
        <f t="shared" si="4"/>
        <v>2.5</v>
      </c>
      <c r="R217" s="21">
        <f t="shared" si="10"/>
        <v>1</v>
      </c>
      <c r="S217" s="20"/>
      <c r="T217" s="22"/>
      <c r="U217" s="23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</row>
    <row r="218" ht="22.5" customHeight="1">
      <c r="A218" s="9">
        <f>VLOOKUP(B218,FVM_update!A:B,2,0)</f>
        <v>2061</v>
      </c>
      <c r="B218" s="10" t="s">
        <v>286</v>
      </c>
      <c r="C218" s="11" t="s">
        <v>235</v>
      </c>
      <c r="D218" s="12" t="str">
        <f>VLOOKUP(B218,FVM_update!A:F,6,0)</f>
        <v>Torino</v>
      </c>
      <c r="E218" s="13" t="str">
        <f>VLOOKUP(B218,FVM_update!A:E,4,0)</f>
        <v>Pc</v>
      </c>
      <c r="F218" s="11" t="s">
        <v>45</v>
      </c>
      <c r="G218" s="14">
        <v>45839.0</v>
      </c>
      <c r="H218" s="15">
        <f t="shared" si="1"/>
        <v>46204</v>
      </c>
      <c r="I218" s="11" t="s">
        <v>89</v>
      </c>
      <c r="J218" s="16" t="str">
        <f>VLOOKUP(A218,Asteriscati25!B:N,13,0)</f>
        <v>#N/A</v>
      </c>
      <c r="K218" s="29">
        <v>0.4</v>
      </c>
      <c r="L218" s="18" t="str">
        <f t="shared" si="2"/>
        <v>#REF!</v>
      </c>
      <c r="M218" s="19">
        <f>VLOOKUP(B218,FVM_Asta2526!A:N,14,0)</f>
        <v>24</v>
      </c>
      <c r="N218" s="18">
        <f>VLOOKUP(A218,FVM_update!B:N,13,0)</f>
        <v>54</v>
      </c>
      <c r="O218" s="20">
        <f>VLOOKUP(B218,'FVM_1luglio-31luglio25'!D:Q,14,0)</f>
        <v>10</v>
      </c>
      <c r="P218" s="20">
        <f t="shared" si="9"/>
        <v>54</v>
      </c>
      <c r="Q218" s="21">
        <f t="shared" si="4"/>
        <v>2.5</v>
      </c>
      <c r="R218" s="21">
        <f t="shared" si="10"/>
        <v>1</v>
      </c>
      <c r="S218" s="20"/>
      <c r="T218" s="22"/>
      <c r="U218" s="23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</row>
    <row r="219" ht="22.5" customHeight="1">
      <c r="A219" s="9">
        <f>VLOOKUP(B219,FVM_update!A:B,2,0)</f>
        <v>6908</v>
      </c>
      <c r="B219" s="10" t="s">
        <v>287</v>
      </c>
      <c r="C219" s="11" t="s">
        <v>245</v>
      </c>
      <c r="D219" s="12" t="str">
        <f>VLOOKUP(B219,FVM_update!A:F,6,0)</f>
        <v>Udinese</v>
      </c>
      <c r="E219" s="13" t="str">
        <f>VLOOKUP(B219,FVM_update!A:E,4,0)</f>
        <v>C</v>
      </c>
      <c r="F219" s="11" t="s">
        <v>59</v>
      </c>
      <c r="G219" s="82">
        <v>45839.0</v>
      </c>
      <c r="H219" s="15">
        <f t="shared" si="1"/>
        <v>46935</v>
      </c>
      <c r="I219" s="11" t="s">
        <v>48</v>
      </c>
      <c r="J219" s="16" t="str">
        <f>VLOOKUP(A219,Asteriscati25!B:N,13,0)</f>
        <v>#N/A</v>
      </c>
      <c r="K219" s="17"/>
      <c r="L219" s="18" t="str">
        <f t="shared" si="2"/>
        <v>#REF!</v>
      </c>
      <c r="M219" s="19">
        <f>VLOOKUP(B219,FVM_Asta2526!A:N,14,0)</f>
        <v>32</v>
      </c>
      <c r="N219" s="18">
        <f>VLOOKUP(A219,FVM_update!B:N,13,0)</f>
        <v>60</v>
      </c>
      <c r="O219" s="20">
        <f>VLOOKUP(B219,'FVM_1luglio-31luglio25'!D:Q,14,0)</f>
        <v>9</v>
      </c>
      <c r="P219" s="20">
        <f t="shared" si="9"/>
        <v>60</v>
      </c>
      <c r="Q219" s="21">
        <f t="shared" si="4"/>
        <v>4</v>
      </c>
      <c r="R219" s="21">
        <f t="shared" si="10"/>
        <v>4</v>
      </c>
      <c r="S219" s="20"/>
      <c r="T219" s="22"/>
      <c r="U219" s="23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</row>
    <row r="220" ht="22.5" customHeight="1">
      <c r="A220" s="9">
        <f>VLOOKUP(B220,FVM_update!A:B,2,0)</f>
        <v>6191</v>
      </c>
      <c r="B220" s="25" t="s">
        <v>288</v>
      </c>
      <c r="C220" s="11" t="s">
        <v>245</v>
      </c>
      <c r="D220" s="12" t="str">
        <f>VLOOKUP(B220,FVM_update!A:F,6,0)</f>
        <v>Lazio</v>
      </c>
      <c r="E220" s="13" t="str">
        <f>VLOOKUP(B220,FVM_update!A:E,4,0)</f>
        <v>M;C</v>
      </c>
      <c r="F220" s="11" t="s">
        <v>43</v>
      </c>
      <c r="G220" s="14">
        <v>45839.0</v>
      </c>
      <c r="H220" s="15">
        <f t="shared" si="1"/>
        <v>401768</v>
      </c>
      <c r="I220" s="11" t="s">
        <v>43</v>
      </c>
      <c r="J220" s="16" t="str">
        <f>VLOOKUP(A220,Asteriscati25!B:N,13,0)</f>
        <v>#N/A</v>
      </c>
      <c r="K220" s="17"/>
      <c r="L220" s="18" t="str">
        <f t="shared" si="2"/>
        <v>#REF!</v>
      </c>
      <c r="M220" s="19">
        <f>VLOOKUP(B220,FVM_Asta2526!A:N,14,0)</f>
        <v>6</v>
      </c>
      <c r="N220" s="18">
        <f>VLOOKUP(A220,FVM_update!B:N,13,0)</f>
        <v>10</v>
      </c>
      <c r="O220" s="20">
        <f>VLOOKUP(B220,'FVM_1luglio-31luglio25'!D:Q,14,0)</f>
        <v>9</v>
      </c>
      <c r="P220" s="20">
        <f t="shared" si="9"/>
        <v>10</v>
      </c>
      <c r="Q220" s="21">
        <f t="shared" si="4"/>
        <v>1</v>
      </c>
      <c r="R220" s="21">
        <f t="shared" si="10"/>
        <v>0.5</v>
      </c>
      <c r="S220" s="20"/>
      <c r="T220" s="17"/>
      <c r="U220" s="10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</row>
    <row r="221" ht="22.5" customHeight="1">
      <c r="A221" s="9">
        <f>VLOOKUP(B221,FVM_update!A:B,2,0)</f>
        <v>6653</v>
      </c>
      <c r="B221" s="12" t="s">
        <v>289</v>
      </c>
      <c r="C221" s="11" t="s">
        <v>245</v>
      </c>
      <c r="D221" s="12" t="str">
        <f>VLOOKUP(B221,FVM_update!A:F,6,0)</f>
        <v>Udinese</v>
      </c>
      <c r="E221" s="13" t="str">
        <f>VLOOKUP(B221,FVM_update!A:E,4,0)</f>
        <v>A</v>
      </c>
      <c r="F221" s="11" t="s">
        <v>55</v>
      </c>
      <c r="G221" s="83">
        <v>45474.0</v>
      </c>
      <c r="H221" s="15">
        <f t="shared" si="1"/>
        <v>46204</v>
      </c>
      <c r="I221" s="11" t="s">
        <v>46</v>
      </c>
      <c r="J221" s="16" t="e">
        <v>#N/A</v>
      </c>
      <c r="K221" s="26">
        <v>0.0</v>
      </c>
      <c r="L221" s="18" t="e">
        <v>#REF!</v>
      </c>
      <c r="M221" s="19">
        <v>8.0</v>
      </c>
      <c r="N221" s="18" t="e">
        <v>#REF!</v>
      </c>
      <c r="O221" s="20">
        <v>9.0</v>
      </c>
      <c r="P221" s="20">
        <v>9.0</v>
      </c>
      <c r="Q221" s="21">
        <f t="shared" si="4"/>
        <v>1.5</v>
      </c>
      <c r="R221" s="21">
        <f t="shared" si="10"/>
        <v>1</v>
      </c>
      <c r="S221" s="20"/>
      <c r="T221" s="22"/>
      <c r="U221" s="23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</row>
    <row r="222" ht="22.5" customHeight="1">
      <c r="A222" s="9">
        <f>VLOOKUP(B222,FVM_update!A:B,2,0)</f>
        <v>6039</v>
      </c>
      <c r="B222" s="10" t="s">
        <v>290</v>
      </c>
      <c r="C222" s="11" t="s">
        <v>245</v>
      </c>
      <c r="D222" s="12" t="str">
        <f>VLOOKUP(B222,FVM_update!A:F,6,0)</f>
        <v>Juventus</v>
      </c>
      <c r="E222" s="13" t="str">
        <f>VLOOKUP(B222,FVM_update!A:E,4,0)</f>
        <v>B;Ds;E</v>
      </c>
      <c r="F222" s="11" t="s">
        <v>45</v>
      </c>
      <c r="G222" s="82">
        <v>45839.0</v>
      </c>
      <c r="H222" s="15">
        <f t="shared" si="1"/>
        <v>46204</v>
      </c>
      <c r="I222" s="11" t="s">
        <v>48</v>
      </c>
      <c r="J222" s="16" t="str">
        <f>VLOOKUP(A222,Asteriscati25!B:N,13,0)</f>
        <v>#N/A</v>
      </c>
      <c r="K222" s="17"/>
      <c r="L222" s="18" t="str">
        <f t="shared" ref="L222:L284" si="11">VLOOKUP(B222,Rose!B:D,3,0)</f>
        <v>#REF!</v>
      </c>
      <c r="M222" s="19">
        <f>VLOOKUP(B222,FVM_Asta2526!A:N,14,0)</f>
        <v>11</v>
      </c>
      <c r="N222" s="18">
        <f>VLOOKUP(A222,FVM_update!B:N,13,0)</f>
        <v>12</v>
      </c>
      <c r="O222" s="20">
        <f>VLOOKUP(B222,'FVM_1luglio-31luglio25'!D:Q,14,0)</f>
        <v>12</v>
      </c>
      <c r="P222" s="20">
        <f t="shared" ref="P222:P284" si="12">IFERROR(N222,O222)</f>
        <v>12</v>
      </c>
      <c r="Q222" s="21">
        <f t="shared" si="4"/>
        <v>1.5</v>
      </c>
      <c r="R222" s="21">
        <f t="shared" si="10"/>
        <v>1.5</v>
      </c>
      <c r="S222" s="20"/>
      <c r="T222" s="22"/>
      <c r="U222" s="23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</row>
    <row r="223" ht="22.5" customHeight="1">
      <c r="A223" s="9">
        <f>VLOOKUP(B223,FVM_update!A:B,2,0)</f>
        <v>6572</v>
      </c>
      <c r="B223" s="77" t="s">
        <v>291</v>
      </c>
      <c r="C223" s="11" t="s">
        <v>245</v>
      </c>
      <c r="D223" s="12" t="str">
        <f>VLOOKUP(B223,FVM_update!A:F,6,0)</f>
        <v>Bologna</v>
      </c>
      <c r="E223" s="13" t="str">
        <f>VLOOKUP(B223,FVM_update!A:E,4,0)</f>
        <v>Pc</v>
      </c>
      <c r="F223" s="11" t="s">
        <v>55</v>
      </c>
      <c r="G223" s="14">
        <v>45474.0</v>
      </c>
      <c r="H223" s="15">
        <f t="shared" si="1"/>
        <v>46204</v>
      </c>
      <c r="I223" s="11" t="s">
        <v>48</v>
      </c>
      <c r="J223" s="16" t="str">
        <f>VLOOKUP(A223,Asteriscati25!B:N,13,0)</f>
        <v>#N/A</v>
      </c>
      <c r="K223" s="26">
        <v>0.0</v>
      </c>
      <c r="L223" s="19" t="str">
        <f t="shared" si="11"/>
        <v>#REF!</v>
      </c>
      <c r="M223" s="19">
        <f>VLOOKUP(B223,FVM_Asta2425!A:M,13,0)</f>
        <v>45</v>
      </c>
      <c r="N223" s="18">
        <f>VLOOKUP(A223,FVM_update!B:N,13,0)</f>
        <v>59</v>
      </c>
      <c r="O223" s="20">
        <f>VLOOKUP(B223,'FVM_1luglio-31luglio25'!D:Q,14,0)</f>
        <v>49</v>
      </c>
      <c r="P223" s="20">
        <f t="shared" si="12"/>
        <v>59</v>
      </c>
      <c r="Q223" s="21">
        <f t="shared" si="4"/>
        <v>6</v>
      </c>
      <c r="R223" s="21">
        <f>IF(OR(I223="asta", I223="Svincolato riconferma anno corrente", I223="vivaio"), Q223,
IF(OR(I223="asta riparazione", I223="Svincolato obbligo anno precedente", I223="Svincolo pausa invernale"), MAX(0.5, CEILING(Q223 / 2, 0.5)),
IF(OR(I223="ceduto in prestito", I223="acquisito in prestito", I223="acquistato tit definitivo", I223="Ceduto tit definitivo"),CEILING(Q223 * K223, 0.5),
IF(I223="asteriscato", "inserire a mano", ""))))
</f>
        <v>6</v>
      </c>
      <c r="S223" s="20"/>
      <c r="T223" s="11" t="s">
        <v>245</v>
      </c>
      <c r="U223" s="10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</row>
    <row r="224" ht="22.5" customHeight="1">
      <c r="A224" s="9">
        <f>VLOOKUP(B224,FVM_update!A:B,2,0)</f>
        <v>7222</v>
      </c>
      <c r="B224" s="25" t="s">
        <v>292</v>
      </c>
      <c r="C224" s="11" t="s">
        <v>245</v>
      </c>
      <c r="D224" s="12" t="str">
        <f>VLOOKUP(B224,FVM_update!A:F,6,0)</f>
        <v>Verona</v>
      </c>
      <c r="E224" s="13" t="str">
        <f>VLOOKUP(B224,FVM_update!A:E,4,0)</f>
        <v>Dd;Ds;E</v>
      </c>
      <c r="F224" s="11" t="s">
        <v>43</v>
      </c>
      <c r="G224" s="14">
        <v>45839.0</v>
      </c>
      <c r="H224" s="15">
        <f t="shared" si="1"/>
        <v>401768</v>
      </c>
      <c r="I224" s="11" t="s">
        <v>43</v>
      </c>
      <c r="J224" s="16" t="str">
        <f>VLOOKUP(A224,Asteriscati25!B:N,13,0)</f>
        <v>#N/A</v>
      </c>
      <c r="K224" s="17"/>
      <c r="L224" s="18" t="str">
        <f t="shared" si="11"/>
        <v>#REF!</v>
      </c>
      <c r="M224" s="19">
        <f>VLOOKUP(B224,FVM_Asta2526!A:N,14,0)</f>
        <v>1</v>
      </c>
      <c r="N224" s="18">
        <f>VLOOKUP(A224,FVM_update!B:N,13,0)</f>
        <v>6</v>
      </c>
      <c r="O224" s="20" t="str">
        <f>VLOOKUP(B224,'FVM_1luglio-31luglio25'!D:Q,14,0)</f>
        <v>#N/A</v>
      </c>
      <c r="P224" s="20">
        <f t="shared" si="12"/>
        <v>6</v>
      </c>
      <c r="Q224" s="21">
        <f t="shared" si="4"/>
        <v>0.5</v>
      </c>
      <c r="R224" s="21">
        <f t="shared" ref="R224:R239" si="13">IF(I224="vivaio", 0.5,
IF(OR(I224="asta", I224="Svincolato riconferma anno corrente", I224="vivaio", I224="promosso da vivaio"), Q224,
IF(OR(I224="asta riparazione", I224="Svincolato obbligo anno precedente", I224="Svincolo pausa invernale"), MAX(0.5, CEILING(Q224 / 2, 0.5)),
IF(OR(I224="ceduto in prestito", I224="acquisito in prestito", I224="acquistato tit definitivo", I224="Ceduto tit definitivo"),CEILING(Q224 * K224, 0.5),
IF(I224="asteriscato", "inserire a mano", ""))))
)</f>
        <v>0.5</v>
      </c>
      <c r="S224" s="20"/>
      <c r="T224" s="17"/>
      <c r="U224" s="10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</row>
    <row r="225" ht="22.5" customHeight="1">
      <c r="A225" s="9">
        <f>VLOOKUP(B225,FVM_update!A:B,2,0)</f>
        <v>5739</v>
      </c>
      <c r="B225" s="10" t="s">
        <v>293</v>
      </c>
      <c r="C225" s="11" t="s">
        <v>245</v>
      </c>
      <c r="D225" s="12" t="str">
        <f>VLOOKUP(B225,FVM_update!A:F,6,0)</f>
        <v>Milan</v>
      </c>
      <c r="E225" s="13" t="str">
        <f>VLOOKUP(B225,FVM_update!A:E,4,0)</f>
        <v>Dd;Dc</v>
      </c>
      <c r="F225" s="11" t="s">
        <v>45</v>
      </c>
      <c r="G225" s="82">
        <v>45839.0</v>
      </c>
      <c r="H225" s="15">
        <f t="shared" si="1"/>
        <v>46204</v>
      </c>
      <c r="I225" s="11" t="s">
        <v>48</v>
      </c>
      <c r="J225" s="16" t="str">
        <f>VLOOKUP(A225,Asteriscati25!B:N,13,0)</f>
        <v>#N/A</v>
      </c>
      <c r="K225" s="17"/>
      <c r="L225" s="18" t="str">
        <f t="shared" si="11"/>
        <v>#REF!</v>
      </c>
      <c r="M225" s="19">
        <f>VLOOKUP(B225,FVM_Asta2526!A:N,14,0)</f>
        <v>19</v>
      </c>
      <c r="N225" s="18">
        <f>VLOOKUP(A225,FVM_update!B:N,13,0)</f>
        <v>13</v>
      </c>
      <c r="O225" s="20">
        <f>VLOOKUP(B225,'FVM_1luglio-31luglio25'!D:Q,14,0)</f>
        <v>16</v>
      </c>
      <c r="P225" s="20">
        <f t="shared" si="12"/>
        <v>13</v>
      </c>
      <c r="Q225" s="21">
        <f t="shared" si="4"/>
        <v>2</v>
      </c>
      <c r="R225" s="21">
        <f t="shared" si="13"/>
        <v>2</v>
      </c>
      <c r="S225" s="20"/>
      <c r="T225" s="22"/>
      <c r="U225" s="23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</row>
    <row r="226" ht="22.5" customHeight="1">
      <c r="A226" s="9">
        <f>VLOOKUP(B226,FVM_update!A:B,2,0)</f>
        <v>6629</v>
      </c>
      <c r="B226" s="10" t="s">
        <v>294</v>
      </c>
      <c r="C226" s="11" t="s">
        <v>245</v>
      </c>
      <c r="D226" s="12" t="str">
        <f>VLOOKUP(B226,FVM_update!A:F,6,0)</f>
        <v>Lazio</v>
      </c>
      <c r="E226" s="13" t="str">
        <f>VLOOKUP(B226,FVM_update!A:E,4,0)</f>
        <v>C;T</v>
      </c>
      <c r="F226" s="11" t="s">
        <v>45</v>
      </c>
      <c r="G226" s="84">
        <v>45839.0</v>
      </c>
      <c r="H226" s="15">
        <f t="shared" si="1"/>
        <v>46204</v>
      </c>
      <c r="I226" s="11" t="s">
        <v>46</v>
      </c>
      <c r="J226" s="16" t="str">
        <f>VLOOKUP(A226,Asteriscati25!B:N,13,0)</f>
        <v>#N/A</v>
      </c>
      <c r="K226" s="17"/>
      <c r="L226" s="18" t="str">
        <f t="shared" si="11"/>
        <v>#REF!</v>
      </c>
      <c r="M226" s="19">
        <f>VLOOKUP(B226,FVM_Asta2526!A:N,14,0)</f>
        <v>31</v>
      </c>
      <c r="N226" s="18">
        <f>VLOOKUP(A226,FVM_update!B:N,13,0)</f>
        <v>10</v>
      </c>
      <c r="O226" s="20">
        <f>VLOOKUP(B226,'FVM_1luglio-31luglio25'!D:Q,14,0)</f>
        <v>18</v>
      </c>
      <c r="P226" s="20">
        <f t="shared" si="12"/>
        <v>10</v>
      </c>
      <c r="Q226" s="21">
        <f t="shared" si="4"/>
        <v>3.5</v>
      </c>
      <c r="R226" s="21">
        <f t="shared" si="13"/>
        <v>2</v>
      </c>
      <c r="S226" s="20"/>
      <c r="T226" s="22"/>
      <c r="U226" s="23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</row>
    <row r="227" ht="22.5" customHeight="1">
      <c r="A227" s="9">
        <f>VLOOKUP(B227,FVM_update!A:B,2,0)</f>
        <v>5876</v>
      </c>
      <c r="B227" s="25" t="s">
        <v>295</v>
      </c>
      <c r="C227" s="11" t="s">
        <v>245</v>
      </c>
      <c r="D227" s="12" t="str">
        <f>VLOOKUP(B227,FVM_update!A:F,6,0)</f>
        <v>Juventus</v>
      </c>
      <c r="E227" s="13" t="str">
        <f>VLOOKUP(B227,FVM_update!A:E,4,0)</f>
        <v>Por</v>
      </c>
      <c r="F227" s="11" t="s">
        <v>59</v>
      </c>
      <c r="G227" s="85">
        <v>45474.0</v>
      </c>
      <c r="H227" s="15">
        <f t="shared" si="1"/>
        <v>46569</v>
      </c>
      <c r="I227" s="11" t="s">
        <v>48</v>
      </c>
      <c r="J227" s="16" t="str">
        <f>VLOOKUP(A227,Asteriscati25!B:N,13,0)</f>
        <v>#N/A</v>
      </c>
      <c r="K227" s="26">
        <v>0.0</v>
      </c>
      <c r="L227" s="18" t="str">
        <f t="shared" si="11"/>
        <v>#REF!</v>
      </c>
      <c r="M227" s="19">
        <f>VLOOKUP(B227,FVM_Asta2425!A:M,13,0)</f>
        <v>100</v>
      </c>
      <c r="N227" s="18">
        <f>VLOOKUP(A227,FVM_update!B:N,13,0)</f>
        <v>67</v>
      </c>
      <c r="O227" s="20">
        <f>VLOOKUP(B227,'FVM_1luglio-31luglio25'!D:Q,14,0)</f>
        <v>86</v>
      </c>
      <c r="P227" s="20">
        <f t="shared" si="12"/>
        <v>67</v>
      </c>
      <c r="Q227" s="21">
        <f t="shared" si="4"/>
        <v>11.5</v>
      </c>
      <c r="R227" s="21">
        <f t="shared" si="13"/>
        <v>11.5</v>
      </c>
      <c r="S227" s="20"/>
      <c r="T227" s="22"/>
      <c r="U227" s="23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</row>
    <row r="228" ht="22.5" customHeight="1">
      <c r="A228" s="9">
        <f>VLOOKUP(B228,FVM_update!A:B,2,0)</f>
        <v>5672</v>
      </c>
      <c r="B228" s="10" t="s">
        <v>296</v>
      </c>
      <c r="C228" s="11" t="s">
        <v>245</v>
      </c>
      <c r="D228" s="12" t="str">
        <f>VLOOKUP(B228,FVM_update!A:F,6,0)</f>
        <v>Lazio</v>
      </c>
      <c r="E228" s="13" t="str">
        <f>VLOOKUP(B228,FVM_update!A:E,4,0)</f>
        <v>Pc</v>
      </c>
      <c r="F228" s="11" t="s">
        <v>45</v>
      </c>
      <c r="G228" s="84">
        <v>45839.0</v>
      </c>
      <c r="H228" s="15">
        <f t="shared" si="1"/>
        <v>46204</v>
      </c>
      <c r="I228" s="11" t="s">
        <v>71</v>
      </c>
      <c r="J228" s="16" t="str">
        <f>VLOOKUP(A228,Asteriscati25!B:N,13,0)</f>
        <v>#N/A</v>
      </c>
      <c r="K228" s="29">
        <v>0.0</v>
      </c>
      <c r="L228" s="18" t="str">
        <f t="shared" si="11"/>
        <v>#REF!</v>
      </c>
      <c r="M228" s="19">
        <f>VLOOKUP(B228,FVM_Asta2526!A:N,14,0)</f>
        <v>102</v>
      </c>
      <c r="N228" s="18">
        <f>VLOOKUP(A228,FVM_update!B:N,13,0)</f>
        <v>10</v>
      </c>
      <c r="O228" s="20">
        <f>VLOOKUP(B228,'FVM_1luglio-31luglio25'!D:Q,14,0)</f>
        <v>67</v>
      </c>
      <c r="P228" s="20">
        <f t="shared" si="12"/>
        <v>10</v>
      </c>
      <c r="Q228" s="21">
        <f t="shared" si="4"/>
        <v>10.5</v>
      </c>
      <c r="R228" s="21">
        <f t="shared" si="13"/>
        <v>0</v>
      </c>
      <c r="S228" s="20"/>
      <c r="T228" s="22"/>
      <c r="U228" s="23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</row>
    <row r="229" ht="22.5" customHeight="1">
      <c r="A229" s="9">
        <f>VLOOKUP(B229,FVM_update!A:B,2,0)</f>
        <v>309</v>
      </c>
      <c r="B229" s="25" t="s">
        <v>297</v>
      </c>
      <c r="C229" s="11" t="s">
        <v>245</v>
      </c>
      <c r="D229" s="12" t="str">
        <f>VLOOKUP(B229,FVM_update!A:F,6,0)</f>
        <v>Roma</v>
      </c>
      <c r="E229" s="13" t="str">
        <f>VLOOKUP(B229,FVM_update!A:E,4,0)</f>
        <v>A</v>
      </c>
      <c r="F229" s="17" t="str">
        <f>VLOOKUP(B229,'situazione contratti estate 24'!A:I,9,0)</f>
        <v>Obbligo 1+2</v>
      </c>
      <c r="G229" s="85">
        <v>45108.0</v>
      </c>
      <c r="H229" s="15">
        <f t="shared" si="1"/>
        <v>46204</v>
      </c>
      <c r="I229" s="11" t="s">
        <v>48</v>
      </c>
      <c r="J229" s="16" t="str">
        <f>VLOOKUP(A229,Asteriscati25!B:N,13,0)</f>
        <v>#N/A</v>
      </c>
      <c r="K229" s="26">
        <v>0.0</v>
      </c>
      <c r="L229" s="18" t="str">
        <f t="shared" si="11"/>
        <v>#REF!</v>
      </c>
      <c r="M229" s="19">
        <f>VLOOKUP(B229,FVM_Asta2324!C:M,11,0)</f>
        <v>292</v>
      </c>
      <c r="N229" s="18">
        <f>VLOOKUP(A229,FVM_update!B:N,13,0)</f>
        <v>65</v>
      </c>
      <c r="O229" s="20">
        <f>VLOOKUP(B229,'FVM_1luglio-31luglio25'!D:Q,14,0)</f>
        <v>206</v>
      </c>
      <c r="P229" s="20">
        <f t="shared" si="12"/>
        <v>65</v>
      </c>
      <c r="Q229" s="21">
        <f t="shared" si="4"/>
        <v>34</v>
      </c>
      <c r="R229" s="21">
        <f t="shared" si="13"/>
        <v>34</v>
      </c>
      <c r="S229" s="20"/>
      <c r="T229" s="22"/>
      <c r="U229" s="23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</row>
    <row r="230" ht="22.5" customHeight="1">
      <c r="A230" s="9">
        <f>VLOOKUP(B230,FVM_update!A:B,2,0)</f>
        <v>4465</v>
      </c>
      <c r="B230" s="10" t="s">
        <v>298</v>
      </c>
      <c r="C230" s="11" t="s">
        <v>245</v>
      </c>
      <c r="D230" s="12" t="str">
        <f>VLOOKUP(B230,FVM_update!A:F,6,0)</f>
        <v>Fiorentina</v>
      </c>
      <c r="E230" s="13" t="str">
        <f>VLOOKUP(B230,FVM_update!A:E,4,0)</f>
        <v>C</v>
      </c>
      <c r="F230" s="11" t="s">
        <v>45</v>
      </c>
      <c r="G230" s="85">
        <v>45839.0</v>
      </c>
      <c r="H230" s="15">
        <f t="shared" si="1"/>
        <v>46204</v>
      </c>
      <c r="I230" s="11" t="s">
        <v>126</v>
      </c>
      <c r="J230" s="16" t="str">
        <f>VLOOKUP(A230,Asteriscati25!B:N,13,0)</f>
        <v>#N/A</v>
      </c>
      <c r="K230" s="29">
        <v>0.6</v>
      </c>
      <c r="L230" s="18" t="str">
        <f t="shared" si="11"/>
        <v>#REF!</v>
      </c>
      <c r="M230" s="19">
        <f>VLOOKUP(B230,FVM_Asta2526!A:N,14,0)</f>
        <v>21</v>
      </c>
      <c r="N230" s="18">
        <f>VLOOKUP(A230,FVM_update!B:N,13,0)</f>
        <v>27</v>
      </c>
      <c r="O230" s="20">
        <f>VLOOKUP(B230,'FVM_1luglio-31luglio25'!D:Q,14,0)</f>
        <v>19</v>
      </c>
      <c r="P230" s="20">
        <f t="shared" si="12"/>
        <v>27</v>
      </c>
      <c r="Q230" s="21">
        <f t="shared" si="4"/>
        <v>2.5</v>
      </c>
      <c r="R230" s="21">
        <f t="shared" si="13"/>
        <v>1.5</v>
      </c>
      <c r="S230" s="20"/>
      <c r="T230" s="22"/>
      <c r="U230" s="23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</row>
    <row r="231" ht="22.5" customHeight="1">
      <c r="A231" s="9">
        <f>VLOOKUP(B231,FVM_update!A:B,2,0)</f>
        <v>4364</v>
      </c>
      <c r="B231" s="10" t="s">
        <v>299</v>
      </c>
      <c r="C231" s="11" t="s">
        <v>245</v>
      </c>
      <c r="D231" s="12" t="str">
        <f>VLOOKUP(B231,FVM_update!A:F,6,0)</f>
        <v>Cagliari</v>
      </c>
      <c r="E231" s="13" t="str">
        <f>VLOOKUP(B231,FVM_update!A:E,4,0)</f>
        <v>T</v>
      </c>
      <c r="F231" s="11" t="s">
        <v>45</v>
      </c>
      <c r="G231" s="84">
        <v>45839.0</v>
      </c>
      <c r="H231" s="15">
        <f t="shared" si="1"/>
        <v>46204</v>
      </c>
      <c r="I231" s="11" t="s">
        <v>48</v>
      </c>
      <c r="J231" s="16" t="str">
        <f>VLOOKUP(A231,Asteriscati25!B:N,13,0)</f>
        <v>#N/A</v>
      </c>
      <c r="K231" s="17"/>
      <c r="L231" s="18" t="str">
        <f t="shared" si="11"/>
        <v>#REF!</v>
      </c>
      <c r="M231" s="19">
        <f>VLOOKUP(B231,FVM_Asta2526!A:N,14,0)</f>
        <v>14</v>
      </c>
      <c r="N231" s="18">
        <f>VLOOKUP(A231,FVM_update!B:N,13,0)</f>
        <v>17</v>
      </c>
      <c r="O231" s="20">
        <f>VLOOKUP(B231,'FVM_1luglio-31luglio25'!D:Q,14,0)</f>
        <v>23</v>
      </c>
      <c r="P231" s="20">
        <f t="shared" si="12"/>
        <v>17</v>
      </c>
      <c r="Q231" s="21">
        <f t="shared" si="4"/>
        <v>1.5</v>
      </c>
      <c r="R231" s="21">
        <f t="shared" si="13"/>
        <v>1.5</v>
      </c>
      <c r="S231" s="20"/>
      <c r="T231" s="22"/>
      <c r="U231" s="23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</row>
    <row r="232" ht="22.5" customHeight="1">
      <c r="A232" s="86">
        <f>VLOOKUP(B232,FVM_update!A:B,2,0)</f>
        <v>6632</v>
      </c>
      <c r="B232" s="87" t="s">
        <v>300</v>
      </c>
      <c r="C232" s="88" t="s">
        <v>245</v>
      </c>
      <c r="D232" s="89" t="str">
        <f>VLOOKUP(B232,FVM_update!A:F,6,0)</f>
        <v>Lecce</v>
      </c>
      <c r="E232" s="90" t="str">
        <f>VLOOKUP(B232,FVM_update!A:E,4,0)</f>
        <v>Dc</v>
      </c>
      <c r="F232" s="88" t="s">
        <v>45</v>
      </c>
      <c r="G232" s="84">
        <v>45839.0</v>
      </c>
      <c r="H232" s="91">
        <f t="shared" si="1"/>
        <v>46204</v>
      </c>
      <c r="I232" s="88" t="s">
        <v>48</v>
      </c>
      <c r="J232" s="92" t="str">
        <f>VLOOKUP(A232,Asteriscati25!B:N,13,0)</f>
        <v>#N/A</v>
      </c>
      <c r="K232" s="93"/>
      <c r="L232" s="58" t="str">
        <f t="shared" si="11"/>
        <v>#REF!</v>
      </c>
      <c r="M232" s="94">
        <f>VLOOKUP(B232,FVM_Asta2526!A:N,14,0)</f>
        <v>19</v>
      </c>
      <c r="N232" s="58">
        <f>VLOOKUP(A232,FVM_update!B:N,13,0)</f>
        <v>15</v>
      </c>
      <c r="O232" s="59">
        <f>VLOOKUP(B232,'FVM_1luglio-31luglio25'!D:Q,14,0)</f>
        <v>16</v>
      </c>
      <c r="P232" s="59">
        <f t="shared" si="12"/>
        <v>15</v>
      </c>
      <c r="Q232" s="95">
        <f t="shared" si="4"/>
        <v>2</v>
      </c>
      <c r="R232" s="95">
        <f t="shared" si="13"/>
        <v>2</v>
      </c>
      <c r="S232" s="59"/>
      <c r="T232" s="96"/>
      <c r="U232" s="97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</row>
    <row r="233" ht="22.5" customHeight="1">
      <c r="A233" s="9">
        <f>VLOOKUP(B233,FVM_update!A:B,2,0)</f>
        <v>5833</v>
      </c>
      <c r="B233" s="10" t="s">
        <v>301</v>
      </c>
      <c r="C233" s="11" t="s">
        <v>245</v>
      </c>
      <c r="D233" s="12" t="str">
        <f>VLOOKUP(B233,FVM_update!A:F,6,0)</f>
        <v>Lazio</v>
      </c>
      <c r="E233" s="13" t="str">
        <f>VLOOKUP(B233,FVM_update!A:E,4,0)</f>
        <v>Dc</v>
      </c>
      <c r="F233" s="11" t="s">
        <v>45</v>
      </c>
      <c r="G233" s="84">
        <v>45839.0</v>
      </c>
      <c r="H233" s="15">
        <f t="shared" si="1"/>
        <v>46204</v>
      </c>
      <c r="I233" s="11" t="s">
        <v>48</v>
      </c>
      <c r="J233" s="16" t="str">
        <f>VLOOKUP(A233,Asteriscati25!B:N,13,0)</f>
        <v>#N/A</v>
      </c>
      <c r="K233" s="17"/>
      <c r="L233" s="18" t="str">
        <f t="shared" si="11"/>
        <v>#REF!</v>
      </c>
      <c r="M233" s="19">
        <f>VLOOKUP(B233,FVM_Asta2526!A:N,14,0)</f>
        <v>20</v>
      </c>
      <c r="N233" s="18">
        <f>VLOOKUP(A233,FVM_update!B:N,13,0)</f>
        <v>22</v>
      </c>
      <c r="O233" s="20">
        <f>VLOOKUP(B233,'FVM_1luglio-31luglio25'!D:Q,14,0)</f>
        <v>15</v>
      </c>
      <c r="P233" s="20">
        <f t="shared" si="12"/>
        <v>22</v>
      </c>
      <c r="Q233" s="21">
        <f t="shared" si="4"/>
        <v>2</v>
      </c>
      <c r="R233" s="21">
        <f t="shared" si="13"/>
        <v>2</v>
      </c>
      <c r="S233" s="20"/>
      <c r="T233" s="22"/>
      <c r="U233" s="23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</row>
    <row r="234" ht="22.5" customHeight="1">
      <c r="A234" s="9">
        <f>VLOOKUP(B234,FVM_update!A:B,2,0)</f>
        <v>5427</v>
      </c>
      <c r="B234" s="69" t="s">
        <v>302</v>
      </c>
      <c r="C234" s="70" t="s">
        <v>245</v>
      </c>
      <c r="D234" s="12" t="str">
        <f>VLOOKUP(B234,FVM_update!A:F,6,0)</f>
        <v>Napoli</v>
      </c>
      <c r="E234" s="13" t="str">
        <f>VLOOKUP(B234,FVM_update!A:E,4,0)</f>
        <v>Ds;E</v>
      </c>
      <c r="F234" s="11" t="s">
        <v>45</v>
      </c>
      <c r="G234" s="84">
        <v>45839.0</v>
      </c>
      <c r="H234" s="15">
        <f t="shared" si="1"/>
        <v>46204</v>
      </c>
      <c r="I234" s="70" t="s">
        <v>48</v>
      </c>
      <c r="J234" s="71" t="str">
        <f>VLOOKUP(A234,Asteriscati25!B:N,13,0)</f>
        <v>#N/A</v>
      </c>
      <c r="K234" s="72"/>
      <c r="L234" s="98" t="str">
        <f t="shared" si="11"/>
        <v>#REF!</v>
      </c>
      <c r="M234" s="19">
        <f>VLOOKUP(B234,FVM_Asta2526!A:N,14,0)</f>
        <v>18</v>
      </c>
      <c r="N234" s="18">
        <f>VLOOKUP(A234,FVM_update!B:N,13,0)</f>
        <v>10</v>
      </c>
      <c r="O234" s="73" t="str">
        <f>VLOOKUP(B234,'FVM_1luglio-31luglio25'!D:Q,14,0)</f>
        <v>#N/A</v>
      </c>
      <c r="P234" s="73">
        <f t="shared" si="12"/>
        <v>10</v>
      </c>
      <c r="Q234" s="21">
        <f t="shared" si="4"/>
        <v>2</v>
      </c>
      <c r="R234" s="21">
        <f t="shared" si="13"/>
        <v>2</v>
      </c>
      <c r="S234" s="73"/>
      <c r="T234" s="99"/>
      <c r="U234" s="100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</row>
    <row r="235" ht="22.5" customHeight="1">
      <c r="A235" s="9">
        <f>VLOOKUP(B235,FVM_update!A:B,2,0)</f>
        <v>5678</v>
      </c>
      <c r="B235" s="10" t="s">
        <v>303</v>
      </c>
      <c r="C235" s="11" t="s">
        <v>245</v>
      </c>
      <c r="D235" s="12" t="str">
        <f>VLOOKUP(B235,FVM_update!A:F,6,0)</f>
        <v>Juventus</v>
      </c>
      <c r="E235" s="13" t="str">
        <f>VLOOKUP(B235,FVM_update!A:E,4,0)</f>
        <v>Dd;E</v>
      </c>
      <c r="F235" s="11" t="s">
        <v>45</v>
      </c>
      <c r="G235" s="84">
        <v>45839.0</v>
      </c>
      <c r="H235" s="15">
        <f t="shared" si="1"/>
        <v>46204</v>
      </c>
      <c r="I235" s="11" t="s">
        <v>48</v>
      </c>
      <c r="J235" s="16" t="str">
        <f>VLOOKUP(A235,Asteriscati25!B:N,13,0)</f>
        <v>#N/A</v>
      </c>
      <c r="K235" s="17"/>
      <c r="L235" s="18" t="str">
        <f t="shared" si="11"/>
        <v>#REF!</v>
      </c>
      <c r="M235" s="19">
        <f>VLOOKUP(B235,FVM_Asta2526!A:N,14,0)</f>
        <v>15</v>
      </c>
      <c r="N235" s="18">
        <f>VLOOKUP(A235,FVM_update!B:N,13,0)</f>
        <v>18</v>
      </c>
      <c r="O235" s="20">
        <f>VLOOKUP(B235,'FVM_1luglio-31luglio25'!D:Q,14,0)</f>
        <v>17</v>
      </c>
      <c r="P235" s="20">
        <f t="shared" si="12"/>
        <v>18</v>
      </c>
      <c r="Q235" s="21">
        <f t="shared" si="4"/>
        <v>1.5</v>
      </c>
      <c r="R235" s="21">
        <f t="shared" si="13"/>
        <v>1.5</v>
      </c>
      <c r="S235" s="20"/>
      <c r="T235" s="22"/>
      <c r="U235" s="23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</row>
    <row r="236" ht="22.5" customHeight="1">
      <c r="A236" s="9">
        <f>VLOOKUP(B236,FVM_update!A:B,2,0)</f>
        <v>4976</v>
      </c>
      <c r="B236" s="10" t="s">
        <v>304</v>
      </c>
      <c r="C236" s="11" t="s">
        <v>245</v>
      </c>
      <c r="D236" s="12" t="str">
        <f>VLOOKUP(B236,FVM_update!A:F,6,0)</f>
        <v>Juventus</v>
      </c>
      <c r="E236" s="13" t="str">
        <f>VLOOKUP(B236,FVM_update!A:E,4,0)</f>
        <v>Dd;Dc</v>
      </c>
      <c r="F236" s="11" t="s">
        <v>45</v>
      </c>
      <c r="G236" s="84">
        <v>45839.0</v>
      </c>
      <c r="H236" s="15">
        <f t="shared" si="1"/>
        <v>46204</v>
      </c>
      <c r="I236" s="11" t="s">
        <v>48</v>
      </c>
      <c r="J236" s="16" t="str">
        <f>VLOOKUP(A236,Asteriscati25!B:N,13,0)</f>
        <v>#N/A</v>
      </c>
      <c r="K236" s="17"/>
      <c r="L236" s="18" t="str">
        <f t="shared" si="11"/>
        <v>#REF!</v>
      </c>
      <c r="M236" s="19">
        <f>VLOOKUP(B236,FVM_Asta2526!A:N,14,0)</f>
        <v>31</v>
      </c>
      <c r="N236" s="18">
        <f>VLOOKUP(A236,FVM_update!B:N,13,0)</f>
        <v>58</v>
      </c>
      <c r="O236" s="20">
        <f>VLOOKUP(B236,'FVM_1luglio-31luglio25'!D:Q,14,0)</f>
        <v>19</v>
      </c>
      <c r="P236" s="20">
        <f t="shared" si="12"/>
        <v>58</v>
      </c>
      <c r="Q236" s="21">
        <f t="shared" si="4"/>
        <v>3.5</v>
      </c>
      <c r="R236" s="21">
        <f t="shared" si="13"/>
        <v>3.5</v>
      </c>
      <c r="S236" s="20"/>
      <c r="T236" s="22"/>
      <c r="U236" s="23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</row>
    <row r="237" ht="22.5" customHeight="1">
      <c r="A237" s="9">
        <f>VLOOKUP(B237,FVM_update!A:B,2,0)</f>
        <v>5685</v>
      </c>
      <c r="B237" s="25" t="s">
        <v>305</v>
      </c>
      <c r="C237" s="11" t="s">
        <v>245</v>
      </c>
      <c r="D237" s="12" t="str">
        <f>VLOOKUP(B237,FVM_update!A:F,6,0)</f>
        <v>Juventus</v>
      </c>
      <c r="E237" s="13" t="str">
        <f>VLOOKUP(B237,FVM_update!A:E,4,0)</f>
        <v>C;T</v>
      </c>
      <c r="F237" s="17" t="str">
        <f>VLOOKUP(B237,'situazione contratti estate 24'!A:I,9,0)</f>
        <v>Obbligo 1+2</v>
      </c>
      <c r="G237" s="85">
        <v>45108.0</v>
      </c>
      <c r="H237" s="15">
        <f t="shared" si="1"/>
        <v>46204</v>
      </c>
      <c r="I237" s="11" t="s">
        <v>48</v>
      </c>
      <c r="J237" s="16" t="str">
        <f>VLOOKUP(A237,Asteriscati25!B:N,13,0)</f>
        <v>#N/A</v>
      </c>
      <c r="K237" s="26">
        <v>0.0</v>
      </c>
      <c r="L237" s="18" t="str">
        <f t="shared" si="11"/>
        <v>#REF!</v>
      </c>
      <c r="M237" s="19">
        <f>VLOOKUP(B237,FVM_Asta2324!C:M,11,0)</f>
        <v>112</v>
      </c>
      <c r="N237" s="18">
        <f>VLOOKUP(A237,FVM_update!B:N,13,0)</f>
        <v>12</v>
      </c>
      <c r="O237" s="20">
        <f>VLOOKUP(B237,'FVM_1luglio-31luglio25'!D:Q,14,0)</f>
        <v>90</v>
      </c>
      <c r="P237" s="20">
        <f t="shared" si="12"/>
        <v>12</v>
      </c>
      <c r="Q237" s="21">
        <f t="shared" si="4"/>
        <v>13</v>
      </c>
      <c r="R237" s="21">
        <f t="shared" si="13"/>
        <v>13</v>
      </c>
      <c r="S237" s="20"/>
      <c r="T237" s="11" t="s">
        <v>245</v>
      </c>
      <c r="U237" s="10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</row>
    <row r="238" ht="22.5" customHeight="1">
      <c r="A238" s="9">
        <f>VLOOKUP(B238,FVM_update!A:B,2,0)</f>
        <v>4510</v>
      </c>
      <c r="B238" s="25" t="s">
        <v>306</v>
      </c>
      <c r="C238" s="11" t="s">
        <v>245</v>
      </c>
      <c r="D238" s="12" t="str">
        <f>VLOOKUP(B238,FVM_update!A:F,6,0)</f>
        <v>Milan</v>
      </c>
      <c r="E238" s="13" t="str">
        <f>VLOOKUP(B238,FVM_update!A:E,4,0)</f>
        <v>A</v>
      </c>
      <c r="F238" s="17" t="str">
        <f>VLOOKUP(B238,'situazione contratti estate 24'!A:I,9,0)</f>
        <v>Obbligo 1+2</v>
      </c>
      <c r="G238" s="85">
        <v>45108.0</v>
      </c>
      <c r="H238" s="15">
        <f t="shared" si="1"/>
        <v>46204</v>
      </c>
      <c r="I238" s="11" t="s">
        <v>48</v>
      </c>
      <c r="J238" s="16" t="str">
        <f>VLOOKUP(A238,Asteriscati25!B:N,13,0)</f>
        <v>#N/A</v>
      </c>
      <c r="K238" s="26">
        <v>0.0</v>
      </c>
      <c r="L238" s="18" t="str">
        <f t="shared" si="11"/>
        <v>#REF!</v>
      </c>
      <c r="M238" s="19">
        <f>VLOOKUP(B238,FVM_Asta2324!C:M,11,0)</f>
        <v>282</v>
      </c>
      <c r="N238" s="18">
        <f>VLOOKUP(A238,FVM_update!B:N,13,0)</f>
        <v>182</v>
      </c>
      <c r="O238" s="20">
        <f>VLOOKUP(B238,'FVM_1luglio-31luglio25'!D:Q,14,0)</f>
        <v>177</v>
      </c>
      <c r="P238" s="20">
        <f t="shared" si="12"/>
        <v>182</v>
      </c>
      <c r="Q238" s="21">
        <f t="shared" si="4"/>
        <v>32.5</v>
      </c>
      <c r="R238" s="21">
        <f t="shared" si="13"/>
        <v>32.5</v>
      </c>
      <c r="S238" s="20"/>
      <c r="T238" s="22"/>
      <c r="U238" s="23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</row>
    <row r="239" ht="22.5" customHeight="1">
      <c r="A239" s="9">
        <f>VLOOKUP(B239,FVM_update!A:B,2,0)</f>
        <v>827</v>
      </c>
      <c r="B239" s="10" t="s">
        <v>307</v>
      </c>
      <c r="C239" s="11" t="s">
        <v>245</v>
      </c>
      <c r="D239" s="12" t="str">
        <f>VLOOKUP(B239,FVM_update!A:F,6,0)</f>
        <v>Juventus</v>
      </c>
      <c r="E239" s="13" t="str">
        <f>VLOOKUP(B239,FVM_update!A:E,4,0)</f>
        <v>M;C</v>
      </c>
      <c r="F239" s="11" t="s">
        <v>45</v>
      </c>
      <c r="G239" s="84">
        <v>45839.0</v>
      </c>
      <c r="H239" s="15">
        <f t="shared" si="1"/>
        <v>46204</v>
      </c>
      <c r="I239" s="11" t="s">
        <v>48</v>
      </c>
      <c r="J239" s="16" t="str">
        <f>VLOOKUP(A239,Asteriscati25!B:N,13,0)</f>
        <v>#N/A</v>
      </c>
      <c r="K239" s="17"/>
      <c r="L239" s="18" t="str">
        <f t="shared" si="11"/>
        <v>#REF!</v>
      </c>
      <c r="M239" s="19">
        <f>VLOOKUP(B239,FVM_Asta2526!A:N,14,0)</f>
        <v>55</v>
      </c>
      <c r="N239" s="18">
        <f>VLOOKUP(A239,FVM_update!B:N,13,0)</f>
        <v>52</v>
      </c>
      <c r="O239" s="20">
        <f>VLOOKUP(B239,'FVM_1luglio-31luglio25'!D:Q,14,0)</f>
        <v>30</v>
      </c>
      <c r="P239" s="20">
        <f t="shared" si="12"/>
        <v>52</v>
      </c>
      <c r="Q239" s="21">
        <f t="shared" si="4"/>
        <v>5.5</v>
      </c>
      <c r="R239" s="21">
        <f t="shared" si="13"/>
        <v>5.5</v>
      </c>
      <c r="S239" s="20"/>
      <c r="T239" s="22"/>
      <c r="U239" s="23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</row>
    <row r="240" ht="22.5" customHeight="1">
      <c r="A240" s="9">
        <f>VLOOKUP(B240,FVM_update!A:B,2,0)</f>
        <v>6145</v>
      </c>
      <c r="B240" s="10" t="s">
        <v>308</v>
      </c>
      <c r="C240" s="11" t="s">
        <v>245</v>
      </c>
      <c r="D240" s="12" t="str">
        <f>VLOOKUP(B240,FVM_update!A:F,6,0)</f>
        <v>Torino</v>
      </c>
      <c r="E240" s="13" t="str">
        <f>VLOOKUP(B240,FVM_update!A:E,4,0)</f>
        <v>A</v>
      </c>
      <c r="F240" s="11" t="s">
        <v>45</v>
      </c>
      <c r="G240" s="85">
        <v>45839.0</v>
      </c>
      <c r="H240" s="15">
        <f t="shared" si="1"/>
        <v>46204</v>
      </c>
      <c r="I240" s="11" t="s">
        <v>46</v>
      </c>
      <c r="J240" s="16" t="str">
        <f>VLOOKUP(A240,Asteriscati25!B:N,13,0)</f>
        <v>#N/A</v>
      </c>
      <c r="K240" s="29">
        <v>0.0</v>
      </c>
      <c r="L240" s="18" t="str">
        <f t="shared" si="11"/>
        <v>#REF!</v>
      </c>
      <c r="M240" s="19">
        <f>VLOOKUP(B240,FVM_Asta2526!A:N,14,0)</f>
        <v>20</v>
      </c>
      <c r="N240" s="18">
        <f>VLOOKUP(A240,FVM_update!B:N,13,0)</f>
        <v>11</v>
      </c>
      <c r="O240" s="20">
        <f>VLOOKUP(B240,'FVM_1luglio-31luglio25'!D:Q,14,0)</f>
        <v>13</v>
      </c>
      <c r="P240" s="20">
        <f t="shared" si="12"/>
        <v>11</v>
      </c>
      <c r="Q240" s="21">
        <f t="shared" si="4"/>
        <v>2</v>
      </c>
      <c r="R240" s="101">
        <v>0.0</v>
      </c>
      <c r="S240" s="20"/>
      <c r="T240" s="22"/>
      <c r="U240" s="23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</row>
    <row r="241" ht="22.5" customHeight="1">
      <c r="A241" s="9">
        <f>VLOOKUP(B241,FVM_update!A:B,2,0)</f>
        <v>7185</v>
      </c>
      <c r="B241" s="10" t="s">
        <v>309</v>
      </c>
      <c r="C241" s="11" t="s">
        <v>245</v>
      </c>
      <c r="D241" s="12" t="str">
        <f>VLOOKUP(B241,FVM_update!A:F,6,0)</f>
        <v>Udinese</v>
      </c>
      <c r="E241" s="13" t="str">
        <f>VLOOKUP(B241,FVM_update!A:E,4,0)</f>
        <v>Por</v>
      </c>
      <c r="F241" s="11" t="s">
        <v>45</v>
      </c>
      <c r="G241" s="84">
        <v>45839.0</v>
      </c>
      <c r="H241" s="15">
        <f t="shared" si="1"/>
        <v>46204</v>
      </c>
      <c r="I241" s="11" t="s">
        <v>46</v>
      </c>
      <c r="J241" s="16" t="str">
        <f>VLOOKUP(A241,Asteriscati25!B:N,13,0)</f>
        <v>#N/A</v>
      </c>
      <c r="K241" s="17"/>
      <c r="L241" s="18" t="str">
        <f t="shared" si="11"/>
        <v>#REF!</v>
      </c>
      <c r="M241" s="19">
        <f>VLOOKUP(B241,FVM_Asta2526!A:N,14,0)</f>
        <v>1</v>
      </c>
      <c r="N241" s="18">
        <f>VLOOKUP(A241,FVM_update!B:N,13,0)</f>
        <v>1</v>
      </c>
      <c r="O241" s="20" t="str">
        <f>VLOOKUP(B241,'FVM_1luglio-31luglio25'!D:Q,14,0)</f>
        <v>#N/A</v>
      </c>
      <c r="P241" s="20">
        <f t="shared" si="12"/>
        <v>1</v>
      </c>
      <c r="Q241" s="21">
        <f t="shared" si="4"/>
        <v>0.5</v>
      </c>
      <c r="R241" s="21">
        <f t="shared" ref="R241:R435" si="14">IF(I241="vivaio", 0.5,
IF(OR(I241="asta", I241="Svincolato riconferma anno corrente", I241="vivaio", I241="promosso da vivaio"), Q241,
IF(OR(I241="asta riparazione", I241="Svincolato obbligo anno precedente", I241="Svincolo pausa invernale"), MAX(0.5, CEILING(Q241 / 2, 0.5)),
IF(OR(I241="ceduto in prestito", I241="acquisito in prestito", I241="acquistato tit definitivo", I241="Ceduto tit definitivo"),CEILING(Q241 * K241, 0.5),
IF(I241="asteriscato", "inserire a mano", ""))))
)</f>
        <v>0.5</v>
      </c>
      <c r="S241" s="20"/>
      <c r="T241" s="22"/>
      <c r="U241" s="23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</row>
    <row r="242" ht="22.5" customHeight="1">
      <c r="A242" s="9">
        <f>VLOOKUP(B242,FVM_update!A:B,2,0)</f>
        <v>6984</v>
      </c>
      <c r="B242" s="10" t="s">
        <v>310</v>
      </c>
      <c r="C242" s="11" t="s">
        <v>245</v>
      </c>
      <c r="D242" s="12" t="str">
        <f>VLOOKUP(B242,FVM_update!A:F,6,0)</f>
        <v>Parma</v>
      </c>
      <c r="E242" s="13" t="str">
        <f>VLOOKUP(B242,FVM_update!A:E,4,0)</f>
        <v>W;A</v>
      </c>
      <c r="F242" s="11" t="s">
        <v>45</v>
      </c>
      <c r="G242" s="84">
        <v>45839.0</v>
      </c>
      <c r="H242" s="15">
        <f t="shared" si="1"/>
        <v>46204</v>
      </c>
      <c r="I242" s="11" t="s">
        <v>122</v>
      </c>
      <c r="J242" s="16" t="str">
        <f>VLOOKUP(A242,Asteriscati25!B:N,13,0)</f>
        <v>#N/A</v>
      </c>
      <c r="K242" s="29">
        <v>0.4</v>
      </c>
      <c r="L242" s="18" t="str">
        <f t="shared" si="11"/>
        <v>#REF!</v>
      </c>
      <c r="M242" s="19">
        <f>VLOOKUP(B242,FVM_Asta2526!A:N,14,0)</f>
        <v>15</v>
      </c>
      <c r="N242" s="18">
        <f>VLOOKUP(A242,FVM_update!B:N,13,0)</f>
        <v>17</v>
      </c>
      <c r="O242" s="20">
        <f>VLOOKUP(B242,'FVM_1luglio-31luglio25'!D:Q,14,0)</f>
        <v>23</v>
      </c>
      <c r="P242" s="20">
        <f t="shared" si="12"/>
        <v>17</v>
      </c>
      <c r="Q242" s="21">
        <f t="shared" si="4"/>
        <v>1.5</v>
      </c>
      <c r="R242" s="21">
        <f t="shared" si="14"/>
        <v>1</v>
      </c>
      <c r="S242" s="20"/>
      <c r="T242" s="22"/>
      <c r="U242" s="23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</row>
    <row r="243" ht="22.5" customHeight="1">
      <c r="A243" s="9">
        <f>VLOOKUP(B243,FVM_update!A:B,2,0)</f>
        <v>218</v>
      </c>
      <c r="B243" s="69" t="s">
        <v>311</v>
      </c>
      <c r="C243" s="70" t="s">
        <v>245</v>
      </c>
      <c r="D243" s="12" t="str">
        <f>VLOOKUP(B243,FVM_update!A:F,6,0)</f>
        <v>Juventus</v>
      </c>
      <c r="E243" s="13" t="str">
        <f>VLOOKUP(B243,FVM_update!A:E,4,0)</f>
        <v>Por</v>
      </c>
      <c r="F243" s="11" t="s">
        <v>45</v>
      </c>
      <c r="G243" s="84">
        <v>45839.0</v>
      </c>
      <c r="H243" s="15">
        <f t="shared" si="1"/>
        <v>46204</v>
      </c>
      <c r="I243" s="11" t="s">
        <v>48</v>
      </c>
      <c r="J243" s="16" t="str">
        <f>VLOOKUP(A243,Asteriscati25!B:N,13,0)</f>
        <v>#N/A</v>
      </c>
      <c r="K243" s="72"/>
      <c r="L243" s="18" t="str">
        <f t="shared" si="11"/>
        <v>#REF!</v>
      </c>
      <c r="M243" s="19">
        <f>VLOOKUP(B243,FVM_Asta2526!A:N,14,0)</f>
        <v>1</v>
      </c>
      <c r="N243" s="18">
        <f>VLOOKUP(A243,FVM_update!B:N,13,0)</f>
        <v>1</v>
      </c>
      <c r="O243" s="20">
        <f>VLOOKUP(B243,'FVM_1luglio-31luglio25'!D:Q,14,0)</f>
        <v>2</v>
      </c>
      <c r="P243" s="20">
        <f t="shared" si="12"/>
        <v>1</v>
      </c>
      <c r="Q243" s="21">
        <f t="shared" si="4"/>
        <v>0.5</v>
      </c>
      <c r="R243" s="21">
        <f t="shared" si="14"/>
        <v>0.5</v>
      </c>
      <c r="S243" s="73"/>
      <c r="T243" s="99"/>
      <c r="U243" s="100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</row>
    <row r="244" ht="22.5" customHeight="1">
      <c r="A244" s="9">
        <f>VLOOKUP(B244,FVM_update!A:B,2,0)</f>
        <v>5298</v>
      </c>
      <c r="B244" s="10" t="s">
        <v>312</v>
      </c>
      <c r="C244" s="11" t="s">
        <v>245</v>
      </c>
      <c r="D244" s="12" t="str">
        <f>VLOOKUP(B244,FVM_update!A:F,6,0)</f>
        <v>Bologna</v>
      </c>
      <c r="E244" s="13" t="str">
        <f>VLOOKUP(B244,FVM_update!A:E,4,0)</f>
        <v>M;C</v>
      </c>
      <c r="F244" s="11" t="s">
        <v>45</v>
      </c>
      <c r="G244" s="84">
        <v>45839.0</v>
      </c>
      <c r="H244" s="15">
        <f t="shared" si="1"/>
        <v>46204</v>
      </c>
      <c r="I244" s="11" t="s">
        <v>48</v>
      </c>
      <c r="J244" s="16" t="str">
        <f>VLOOKUP(A244,Asteriscati25!B:N,13,0)</f>
        <v>#N/A</v>
      </c>
      <c r="K244" s="17"/>
      <c r="L244" s="18" t="str">
        <f t="shared" si="11"/>
        <v>#REF!</v>
      </c>
      <c r="M244" s="19">
        <f>VLOOKUP(B244,FVM_Asta2526!A:N,14,0)</f>
        <v>24</v>
      </c>
      <c r="N244" s="18">
        <f>VLOOKUP(A244,FVM_update!B:N,13,0)</f>
        <v>21</v>
      </c>
      <c r="O244" s="20">
        <f>VLOOKUP(B244,'FVM_1luglio-31luglio25'!D:Q,14,0)</f>
        <v>17</v>
      </c>
      <c r="P244" s="20">
        <f t="shared" si="12"/>
        <v>21</v>
      </c>
      <c r="Q244" s="21">
        <f t="shared" si="4"/>
        <v>2.5</v>
      </c>
      <c r="R244" s="21">
        <f t="shared" si="14"/>
        <v>2.5</v>
      </c>
      <c r="S244" s="20"/>
      <c r="T244" s="22"/>
      <c r="U244" s="23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</row>
    <row r="245" ht="22.5" customHeight="1">
      <c r="A245" s="9">
        <f>VLOOKUP(B245,FVM_update!A:B,2,0)</f>
        <v>4459</v>
      </c>
      <c r="B245" s="102" t="s">
        <v>313</v>
      </c>
      <c r="C245" s="103" t="s">
        <v>245</v>
      </c>
      <c r="D245" s="12" t="str">
        <f>VLOOKUP(B245,FVM_update!A:F,6,0)</f>
        <v>Lazio</v>
      </c>
      <c r="E245" s="13" t="str">
        <f>VLOOKUP(B245,FVM_update!A:E,4,0)</f>
        <v>M;C</v>
      </c>
      <c r="F245" s="11" t="s">
        <v>45</v>
      </c>
      <c r="G245" s="84">
        <v>45839.0</v>
      </c>
      <c r="H245" s="15">
        <f t="shared" si="1"/>
        <v>46204</v>
      </c>
      <c r="I245" s="103" t="s">
        <v>89</v>
      </c>
      <c r="J245" s="104" t="str">
        <f>VLOOKUP(A245,Asteriscati25!B:N,13,0)</f>
        <v>#N/A</v>
      </c>
      <c r="K245" s="105">
        <v>1.0</v>
      </c>
      <c r="L245" s="106" t="str">
        <f t="shared" si="11"/>
        <v>#REF!</v>
      </c>
      <c r="M245" s="19">
        <f>VLOOKUP(B245,FVM_Asta2526!A:N,14,0)</f>
        <v>24</v>
      </c>
      <c r="N245" s="18">
        <f>VLOOKUP(A245,FVM_update!B:N,13,0)</f>
        <v>15</v>
      </c>
      <c r="O245" s="107">
        <f>VLOOKUP(B245,'FVM_1luglio-31luglio25'!D:Q,14,0)</f>
        <v>18</v>
      </c>
      <c r="P245" s="107">
        <f t="shared" si="12"/>
        <v>15</v>
      </c>
      <c r="Q245" s="21">
        <f t="shared" si="4"/>
        <v>2.5</v>
      </c>
      <c r="R245" s="21">
        <f t="shared" si="14"/>
        <v>2.5</v>
      </c>
      <c r="S245" s="108"/>
      <c r="T245" s="109"/>
      <c r="U245" s="110" t="s">
        <v>90</v>
      </c>
      <c r="V245" s="111"/>
      <c r="W245" s="111"/>
      <c r="X245" s="111"/>
      <c r="Y245" s="111"/>
      <c r="Z245" s="111"/>
      <c r="AA245" s="111"/>
      <c r="AB245" s="111"/>
      <c r="AC245" s="111"/>
      <c r="AD245" s="111"/>
      <c r="AE245" s="111"/>
      <c r="AF245" s="111"/>
      <c r="AG245" s="111"/>
      <c r="AH245" s="111"/>
      <c r="AI245" s="111"/>
      <c r="AJ245" s="111"/>
      <c r="AK245" s="111"/>
      <c r="AL245" s="111"/>
      <c r="AM245" s="111"/>
    </row>
    <row r="246" ht="22.5" customHeight="1">
      <c r="A246" s="9">
        <f>VLOOKUP(B246,FVM_update!A:B,2,0)</f>
        <v>5734</v>
      </c>
      <c r="B246" s="10" t="s">
        <v>314</v>
      </c>
      <c r="C246" s="11" t="s">
        <v>245</v>
      </c>
      <c r="D246" s="12" t="str">
        <f>VLOOKUP(B246,FVM_update!A:F,6,0)</f>
        <v>Roma</v>
      </c>
      <c r="E246" s="13" t="str">
        <f>VLOOKUP(B246,FVM_update!A:E,4,0)</f>
        <v>A</v>
      </c>
      <c r="F246" s="11" t="s">
        <v>59</v>
      </c>
      <c r="G246" s="84">
        <v>45839.0</v>
      </c>
      <c r="H246" s="15">
        <f t="shared" si="1"/>
        <v>46935</v>
      </c>
      <c r="I246" s="11" t="s">
        <v>48</v>
      </c>
      <c r="J246" s="16" t="str">
        <f>VLOOKUP(A246,Asteriscati25!B:N,13,0)</f>
        <v>#N/A</v>
      </c>
      <c r="K246" s="17"/>
      <c r="L246" s="18" t="str">
        <f t="shared" si="11"/>
        <v>#REF!</v>
      </c>
      <c r="M246" s="19">
        <f>VLOOKUP(B246,FVM_Asta2526!A:N,14,0)</f>
        <v>153</v>
      </c>
      <c r="N246" s="18">
        <f>VLOOKUP(A246,FVM_update!B:N,13,0)</f>
        <v>175</v>
      </c>
      <c r="O246" s="20" t="str">
        <f>VLOOKUP(B246,'FVM_1luglio-31luglio25'!D:Q,14,0)</f>
        <v>#N/A</v>
      </c>
      <c r="P246" s="20">
        <f t="shared" si="12"/>
        <v>175</v>
      </c>
      <c r="Q246" s="21">
        <f t="shared" si="4"/>
        <v>18</v>
      </c>
      <c r="R246" s="21">
        <f t="shared" si="14"/>
        <v>18</v>
      </c>
      <c r="S246" s="20"/>
      <c r="T246" s="22"/>
      <c r="U246" s="23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</row>
    <row r="247" ht="22.5" customHeight="1">
      <c r="A247" s="9">
        <f>VLOOKUP(B247,FVM_update!A:B,2,0)</f>
        <v>5561</v>
      </c>
      <c r="B247" s="10" t="s">
        <v>315</v>
      </c>
      <c r="C247" s="11" t="s">
        <v>245</v>
      </c>
      <c r="D247" s="12" t="str">
        <f>VLOOKUP(B247,FVM_update!A:F,6,0)</f>
        <v>Pisa</v>
      </c>
      <c r="E247" s="13" t="str">
        <f>VLOOKUP(B247,FVM_update!A:E,4,0)</f>
        <v>W;T</v>
      </c>
      <c r="F247" s="11" t="s">
        <v>45</v>
      </c>
      <c r="G247" s="84">
        <v>45839.0</v>
      </c>
      <c r="H247" s="15">
        <f t="shared" si="1"/>
        <v>46204</v>
      </c>
      <c r="I247" s="11" t="s">
        <v>46</v>
      </c>
      <c r="J247" s="16" t="str">
        <f>VLOOKUP(A247,Asteriscati25!B:N,13,0)</f>
        <v>#N/A</v>
      </c>
      <c r="K247" s="17"/>
      <c r="L247" s="18" t="str">
        <f t="shared" si="11"/>
        <v>#REF!</v>
      </c>
      <c r="M247" s="19">
        <f>VLOOKUP(B247,FVM_Asta2526!A:N,14,0)</f>
        <v>35</v>
      </c>
      <c r="N247" s="18">
        <f>VLOOKUP(A247,FVM_update!B:N,13,0)</f>
        <v>13</v>
      </c>
      <c r="O247" s="20" t="str">
        <f>VLOOKUP(B247,'FVM_1luglio-31luglio25'!D:Q,14,0)</f>
        <v>#N/A</v>
      </c>
      <c r="P247" s="20">
        <f t="shared" si="12"/>
        <v>13</v>
      </c>
      <c r="Q247" s="21">
        <f t="shared" si="4"/>
        <v>3.5</v>
      </c>
      <c r="R247" s="21">
        <f t="shared" si="14"/>
        <v>2</v>
      </c>
      <c r="S247" s="20"/>
      <c r="T247" s="22"/>
      <c r="U247" s="23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</row>
    <row r="248" ht="22.5" customHeight="1">
      <c r="A248" s="9">
        <f>VLOOKUP(B248,FVM_update!A:B,2,0)</f>
        <v>5812</v>
      </c>
      <c r="B248" s="10" t="s">
        <v>316</v>
      </c>
      <c r="C248" s="11" t="s">
        <v>245</v>
      </c>
      <c r="D248" s="12" t="str">
        <f>VLOOKUP(B248,FVM_update!A:F,6,0)</f>
        <v>Cremonese</v>
      </c>
      <c r="E248" s="13" t="str">
        <f>VLOOKUP(B248,FVM_update!A:E,4,0)</f>
        <v>Dd;Ds;E</v>
      </c>
      <c r="F248" s="11" t="s">
        <v>45</v>
      </c>
      <c r="G248" s="84">
        <v>45839.0</v>
      </c>
      <c r="H248" s="15">
        <f t="shared" si="1"/>
        <v>46204</v>
      </c>
      <c r="I248" s="11" t="s">
        <v>48</v>
      </c>
      <c r="J248" s="16" t="str">
        <f>VLOOKUP(A248,Asteriscati25!B:N,13,0)</f>
        <v>#N/A</v>
      </c>
      <c r="K248" s="17"/>
      <c r="L248" s="18" t="str">
        <f t="shared" si="11"/>
        <v>#REF!</v>
      </c>
      <c r="M248" s="19">
        <f>VLOOKUP(B248,FVM_Asta2526!A:N,14,0)</f>
        <v>13</v>
      </c>
      <c r="N248" s="18">
        <f>VLOOKUP(A248,FVM_update!B:N,13,0)</f>
        <v>17</v>
      </c>
      <c r="O248" s="20">
        <f>VLOOKUP(B248,'FVM_1luglio-31luglio25'!D:Q,14,0)</f>
        <v>5</v>
      </c>
      <c r="P248" s="20">
        <f t="shared" si="12"/>
        <v>17</v>
      </c>
      <c r="Q248" s="21">
        <f t="shared" si="4"/>
        <v>1.5</v>
      </c>
      <c r="R248" s="21">
        <f t="shared" si="14"/>
        <v>1.5</v>
      </c>
      <c r="S248" s="20"/>
      <c r="T248" s="22"/>
      <c r="U248" s="23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</row>
    <row r="249" ht="22.5" customHeight="1">
      <c r="A249" s="9">
        <f>VLOOKUP(B249,FVM_update!A:B,2,0)</f>
        <v>5562</v>
      </c>
      <c r="B249" s="25" t="s">
        <v>317</v>
      </c>
      <c r="C249" s="11" t="s">
        <v>245</v>
      </c>
      <c r="D249" s="12" t="str">
        <f>VLOOKUP(B249,FVM_update!A:F,6,0)</f>
        <v>Juventus</v>
      </c>
      <c r="E249" s="13" t="str">
        <f>VLOOKUP(B249,FVM_update!A:E,4,0)</f>
        <v>M;C</v>
      </c>
      <c r="F249" s="11" t="s">
        <v>59</v>
      </c>
      <c r="G249" s="85">
        <v>45474.0</v>
      </c>
      <c r="H249" s="15">
        <f t="shared" si="1"/>
        <v>46569</v>
      </c>
      <c r="I249" s="11" t="s">
        <v>48</v>
      </c>
      <c r="J249" s="16" t="str">
        <f>VLOOKUP(A249,Asteriscati25!B:N,13,0)</f>
        <v>#N/A</v>
      </c>
      <c r="K249" s="26">
        <v>0.0</v>
      </c>
      <c r="L249" s="18" t="str">
        <f t="shared" si="11"/>
        <v>#REF!</v>
      </c>
      <c r="M249" s="19">
        <f>VLOOKUP(B249,FVM_Asta2425!A:M,13,0)</f>
        <v>30</v>
      </c>
      <c r="N249" s="18">
        <f>VLOOKUP(A249,FVM_update!B:N,13,0)</f>
        <v>54</v>
      </c>
      <c r="O249" s="20">
        <f>VLOOKUP(B249,'FVM_1luglio-31luglio25'!D:Q,14,0)</f>
        <v>43</v>
      </c>
      <c r="P249" s="20">
        <f t="shared" si="12"/>
        <v>54</v>
      </c>
      <c r="Q249" s="21">
        <f t="shared" si="4"/>
        <v>3.5</v>
      </c>
      <c r="R249" s="21">
        <f t="shared" si="14"/>
        <v>3.5</v>
      </c>
      <c r="S249" s="20"/>
      <c r="T249" s="22"/>
      <c r="U249" s="23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</row>
    <row r="250" ht="22.5" customHeight="1">
      <c r="A250" s="9">
        <f>VLOOKUP(B250,FVM_update!A:B,2,0)</f>
        <v>4751</v>
      </c>
      <c r="B250" s="10" t="s">
        <v>318</v>
      </c>
      <c r="C250" s="11" t="s">
        <v>245</v>
      </c>
      <c r="D250" s="12" t="str">
        <f>VLOOKUP(B250,FVM_update!A:F,6,0)</f>
        <v>Milan</v>
      </c>
      <c r="E250" s="13" t="str">
        <f>VLOOKUP(B250,FVM_update!A:E,4,0)</f>
        <v>Dc</v>
      </c>
      <c r="F250" s="11" t="s">
        <v>45</v>
      </c>
      <c r="G250" s="84">
        <v>45839.0</v>
      </c>
      <c r="H250" s="15">
        <f t="shared" si="1"/>
        <v>46204</v>
      </c>
      <c r="I250" s="11" t="s">
        <v>48</v>
      </c>
      <c r="J250" s="16" t="str">
        <f>VLOOKUP(A250,Asteriscati25!B:N,13,0)</f>
        <v>#N/A</v>
      </c>
      <c r="K250" s="17"/>
      <c r="L250" s="18" t="str">
        <f t="shared" si="11"/>
        <v>#REF!</v>
      </c>
      <c r="M250" s="19">
        <f>VLOOKUP(B250,FVM_Asta2526!A:N,14,0)</f>
        <v>25</v>
      </c>
      <c r="N250" s="18">
        <f>VLOOKUP(A250,FVM_update!B:N,13,0)</f>
        <v>30</v>
      </c>
      <c r="O250" s="20">
        <f>VLOOKUP(B250,'FVM_1luglio-31luglio25'!D:Q,14,0)</f>
        <v>28</v>
      </c>
      <c r="P250" s="20">
        <f t="shared" si="12"/>
        <v>30</v>
      </c>
      <c r="Q250" s="21">
        <f t="shared" si="4"/>
        <v>2.5</v>
      </c>
      <c r="R250" s="21">
        <f t="shared" si="14"/>
        <v>2.5</v>
      </c>
      <c r="S250" s="20"/>
      <c r="T250" s="22"/>
      <c r="U250" s="23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</row>
    <row r="251" ht="22.5" customHeight="1">
      <c r="A251" s="9">
        <f>VLOOKUP(B251,FVM_update!A:B,2,0)</f>
        <v>5514</v>
      </c>
      <c r="B251" s="10" t="s">
        <v>319</v>
      </c>
      <c r="C251" s="11" t="s">
        <v>245</v>
      </c>
      <c r="D251" s="12" t="str">
        <f>VLOOKUP(B251,FVM_update!A:F,6,0)</f>
        <v>Genoa</v>
      </c>
      <c r="E251" s="13" t="str">
        <f>VLOOKUP(B251,FVM_update!A:E,4,0)</f>
        <v>Ds;Dc</v>
      </c>
      <c r="F251" s="11" t="s">
        <v>45</v>
      </c>
      <c r="G251" s="84">
        <v>45839.0</v>
      </c>
      <c r="H251" s="15">
        <f t="shared" si="1"/>
        <v>46204</v>
      </c>
      <c r="I251" s="11" t="s">
        <v>48</v>
      </c>
      <c r="J251" s="16" t="str">
        <f>VLOOKUP(A251,Asteriscati25!B:N,13,0)</f>
        <v>#N/A</v>
      </c>
      <c r="K251" s="17"/>
      <c r="L251" s="18" t="str">
        <f t="shared" si="11"/>
        <v>#REF!</v>
      </c>
      <c r="M251" s="19">
        <f>VLOOKUP(B251,FVM_Asta2526!A:N,14,0)</f>
        <v>23</v>
      </c>
      <c r="N251" s="18">
        <f>VLOOKUP(A251,FVM_update!B:N,13,0)</f>
        <v>26</v>
      </c>
      <c r="O251" s="20">
        <f>VLOOKUP(B251,'FVM_1luglio-31luglio25'!D:Q,14,0)</f>
        <v>28</v>
      </c>
      <c r="P251" s="20">
        <f t="shared" si="12"/>
        <v>26</v>
      </c>
      <c r="Q251" s="21">
        <f t="shared" si="4"/>
        <v>2.5</v>
      </c>
      <c r="R251" s="21">
        <f t="shared" si="14"/>
        <v>2.5</v>
      </c>
      <c r="S251" s="20"/>
      <c r="T251" s="22"/>
      <c r="U251" s="23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</row>
    <row r="252" ht="22.5" customHeight="1">
      <c r="A252" s="9">
        <f>VLOOKUP(B252,FVM_update!A:B,2,0)</f>
        <v>449</v>
      </c>
      <c r="B252" s="10" t="s">
        <v>320</v>
      </c>
      <c r="C252" s="11" t="s">
        <v>245</v>
      </c>
      <c r="D252" s="12" t="str">
        <f>VLOOKUP(B252,FVM_update!A:F,6,0)</f>
        <v>Cremonese</v>
      </c>
      <c r="E252" s="13" t="str">
        <f>VLOOKUP(B252,FVM_update!A:E,4,0)</f>
        <v>T;A</v>
      </c>
      <c r="F252" s="11" t="s">
        <v>45</v>
      </c>
      <c r="G252" s="82">
        <v>45839.0</v>
      </c>
      <c r="H252" s="15">
        <f t="shared" si="1"/>
        <v>46204</v>
      </c>
      <c r="I252" s="11" t="s">
        <v>46</v>
      </c>
      <c r="J252" s="16" t="str">
        <f>VLOOKUP(A252,Asteriscati25!B:N,13,0)</f>
        <v>#N/A</v>
      </c>
      <c r="K252" s="17"/>
      <c r="L252" s="18" t="str">
        <f t="shared" si="11"/>
        <v>#REF!</v>
      </c>
      <c r="M252" s="19">
        <f>VLOOKUP(B252,FVM_Asta2526!A:N,14,0)</f>
        <v>24</v>
      </c>
      <c r="N252" s="18">
        <f>VLOOKUP(A252,FVM_update!B:N,13,0)</f>
        <v>11</v>
      </c>
      <c r="O252" s="20" t="str">
        <f>VLOOKUP(B252,'FVM_1luglio-31luglio25'!D:Q,14,0)</f>
        <v>#N/A</v>
      </c>
      <c r="P252" s="20">
        <f t="shared" si="12"/>
        <v>11</v>
      </c>
      <c r="Q252" s="21">
        <f t="shared" si="4"/>
        <v>2.5</v>
      </c>
      <c r="R252" s="21">
        <f t="shared" si="14"/>
        <v>1.5</v>
      </c>
      <c r="S252" s="20"/>
      <c r="T252" s="22"/>
      <c r="U252" s="23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</row>
    <row r="253" ht="22.5" customHeight="1">
      <c r="A253" s="9">
        <f>VLOOKUP(B253,FVM_update!A:B,2,0)</f>
        <v>4772</v>
      </c>
      <c r="B253" s="25" t="s">
        <v>321</v>
      </c>
      <c r="C253" s="11" t="s">
        <v>245</v>
      </c>
      <c r="D253" s="12" t="str">
        <f>VLOOKUP(B253,FVM_update!A:F,6,0)</f>
        <v>Roma</v>
      </c>
      <c r="E253" s="13" t="str">
        <f>VLOOKUP(B253,FVM_update!A:E,4,0)</f>
        <v>E</v>
      </c>
      <c r="F253" s="11" t="s">
        <v>92</v>
      </c>
      <c r="G253" s="14">
        <v>46054.0</v>
      </c>
      <c r="H253" s="15">
        <f t="shared" si="1"/>
        <v>46204</v>
      </c>
      <c r="I253" s="11" t="s">
        <v>93</v>
      </c>
      <c r="J253" s="16" t="str">
        <f>VLOOKUP(A253,Asteriscati25!B:N,13,0)</f>
        <v>#N/A</v>
      </c>
      <c r="K253" s="17"/>
      <c r="L253" s="18" t="str">
        <f t="shared" si="11"/>
        <v>#REF!</v>
      </c>
      <c r="M253" s="19">
        <v>10.0</v>
      </c>
      <c r="N253" s="18">
        <f>VLOOKUP(A253,FVM_update!B:N,13,0)</f>
        <v>10</v>
      </c>
      <c r="O253" s="20">
        <f>VLOOKUP(B253,'FVM_1luglio-31luglio25'!D:Q,14,0)</f>
        <v>35</v>
      </c>
      <c r="P253" s="20">
        <f t="shared" si="12"/>
        <v>10</v>
      </c>
      <c r="Q253" s="21">
        <f t="shared" si="4"/>
        <v>1</v>
      </c>
      <c r="R253" s="21">
        <f t="shared" si="14"/>
        <v>0.5</v>
      </c>
      <c r="S253" s="19"/>
      <c r="T253" s="22"/>
      <c r="U253" s="10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</row>
    <row r="254" ht="22.5" customHeight="1">
      <c r="A254" s="9">
        <f>VLOOKUP(B254,FVM_update!A:B,2,0)</f>
        <v>7314</v>
      </c>
      <c r="B254" s="25" t="s">
        <v>322</v>
      </c>
      <c r="C254" s="11" t="s">
        <v>245</v>
      </c>
      <c r="D254" s="12" t="str">
        <f>VLOOKUP(B254,FVM_update!A:F,6,0)</f>
        <v>Lazio</v>
      </c>
      <c r="E254" s="13" t="str">
        <f>VLOOKUP(B254,FVM_update!A:E,4,0)</f>
        <v>C;T</v>
      </c>
      <c r="F254" s="11" t="s">
        <v>97</v>
      </c>
      <c r="G254" s="14">
        <v>46054.0</v>
      </c>
      <c r="H254" s="15">
        <f t="shared" si="1"/>
        <v>46600</v>
      </c>
      <c r="I254" s="11" t="s">
        <v>93</v>
      </c>
      <c r="J254" s="16" t="str">
        <f>VLOOKUP(A254,Asteriscati25!B:N,13,0)</f>
        <v>#N/A</v>
      </c>
      <c r="K254" s="17"/>
      <c r="L254" s="18" t="str">
        <f t="shared" si="11"/>
        <v>#REF!</v>
      </c>
      <c r="M254" s="19">
        <v>38.0</v>
      </c>
      <c r="N254" s="18">
        <f>VLOOKUP(A254,FVM_update!B:N,13,0)</f>
        <v>38</v>
      </c>
      <c r="O254" s="20" t="str">
        <f>VLOOKUP(B254,'FVM_1luglio-31luglio25'!D:Q,14,0)</f>
        <v>#N/A</v>
      </c>
      <c r="P254" s="20">
        <f t="shared" si="12"/>
        <v>38</v>
      </c>
      <c r="Q254" s="21">
        <f t="shared" si="4"/>
        <v>4.5</v>
      </c>
      <c r="R254" s="21">
        <f t="shared" si="14"/>
        <v>2.5</v>
      </c>
      <c r="S254" s="19"/>
      <c r="T254" s="22"/>
      <c r="U254" s="10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</row>
    <row r="255" ht="22.5" customHeight="1">
      <c r="A255" s="9">
        <f>VLOOKUP(B255,FVM_update!A:B,2,0)</f>
        <v>7318</v>
      </c>
      <c r="B255" s="25" t="s">
        <v>323</v>
      </c>
      <c r="C255" s="11" t="s">
        <v>245</v>
      </c>
      <c r="D255" s="12" t="str">
        <f>VLOOKUP(B255,FVM_update!A:F,6,0)</f>
        <v>Lecce</v>
      </c>
      <c r="E255" s="13" t="str">
        <f>VLOOKUP(B255,FVM_update!A:E,4,0)</f>
        <v>C;T</v>
      </c>
      <c r="F255" s="11" t="s">
        <v>92</v>
      </c>
      <c r="G255" s="14">
        <v>46054.0</v>
      </c>
      <c r="H255" s="15">
        <f t="shared" si="1"/>
        <v>46204</v>
      </c>
      <c r="I255" s="11" t="s">
        <v>93</v>
      </c>
      <c r="J255" s="16" t="str">
        <f>VLOOKUP(A255,Asteriscati25!B:N,13,0)</f>
        <v>#N/A</v>
      </c>
      <c r="K255" s="17"/>
      <c r="L255" s="18" t="str">
        <f t="shared" si="11"/>
        <v>#REF!</v>
      </c>
      <c r="M255" s="19">
        <v>13.0</v>
      </c>
      <c r="N255" s="18">
        <f>VLOOKUP(A255,FVM_update!B:N,13,0)</f>
        <v>13</v>
      </c>
      <c r="O255" s="20" t="str">
        <f>VLOOKUP(B255,'FVM_1luglio-31luglio25'!D:Q,14,0)</f>
        <v>#N/A</v>
      </c>
      <c r="P255" s="20">
        <f t="shared" si="12"/>
        <v>13</v>
      </c>
      <c r="Q255" s="21">
        <f t="shared" si="4"/>
        <v>1.5</v>
      </c>
      <c r="R255" s="21">
        <f t="shared" si="14"/>
        <v>1</v>
      </c>
      <c r="S255" s="19"/>
      <c r="T255" s="22"/>
      <c r="U255" s="10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</row>
    <row r="256" ht="22.5" customHeight="1">
      <c r="A256" s="9">
        <f>VLOOKUP(B256,FVM_update!A:B,2,0)</f>
        <v>5823</v>
      </c>
      <c r="B256" s="25" t="s">
        <v>324</v>
      </c>
      <c r="C256" s="11" t="s">
        <v>245</v>
      </c>
      <c r="D256" s="12" t="str">
        <f>VLOOKUP(B256,FVM_update!A:F,6,0)</f>
        <v>Genoa</v>
      </c>
      <c r="E256" s="13" t="str">
        <f>VLOOKUP(B256,FVM_update!A:E,4,0)</f>
        <v>T;A</v>
      </c>
      <c r="F256" s="11" t="s">
        <v>92</v>
      </c>
      <c r="G256" s="14">
        <v>46054.0</v>
      </c>
      <c r="H256" s="15">
        <f t="shared" si="1"/>
        <v>46204</v>
      </c>
      <c r="I256" s="11" t="s">
        <v>93</v>
      </c>
      <c r="J256" s="16" t="str">
        <f>VLOOKUP(A256,Asteriscati25!B:N,13,0)</f>
        <v>#N/A</v>
      </c>
      <c r="K256" s="17"/>
      <c r="L256" s="18" t="str">
        <f t="shared" si="11"/>
        <v>#REF!</v>
      </c>
      <c r="M256" s="19">
        <v>24.0</v>
      </c>
      <c r="N256" s="18">
        <f>VLOOKUP(A256,FVM_update!B:N,13,0)</f>
        <v>24</v>
      </c>
      <c r="O256" s="20">
        <f>VLOOKUP(B256,'FVM_1luglio-31luglio25'!D:Q,14,0)</f>
        <v>16</v>
      </c>
      <c r="P256" s="20">
        <f t="shared" si="12"/>
        <v>24</v>
      </c>
      <c r="Q256" s="21">
        <f t="shared" si="4"/>
        <v>2.5</v>
      </c>
      <c r="R256" s="21">
        <f t="shared" si="14"/>
        <v>1.5</v>
      </c>
      <c r="S256" s="19"/>
      <c r="T256" s="22"/>
      <c r="U256" s="10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</row>
    <row r="257" ht="22.5" customHeight="1">
      <c r="A257" s="9">
        <f>VLOOKUP(B257,FVM_update!A:B,2,0)</f>
        <v>7008</v>
      </c>
      <c r="B257" s="25" t="s">
        <v>325</v>
      </c>
      <c r="C257" s="11" t="s">
        <v>245</v>
      </c>
      <c r="D257" s="12" t="str">
        <f>VLOOKUP(B257,FVM_update!A:F,6,0)</f>
        <v>Milan</v>
      </c>
      <c r="E257" s="13" t="str">
        <f>VLOOKUP(B257,FVM_update!A:E,4,0)</f>
        <v>Pc</v>
      </c>
      <c r="F257" s="11" t="s">
        <v>74</v>
      </c>
      <c r="G257" s="14">
        <v>45689.0</v>
      </c>
      <c r="H257" s="15">
        <f t="shared" si="1"/>
        <v>46600</v>
      </c>
      <c r="I257" s="11" t="s">
        <v>89</v>
      </c>
      <c r="J257" s="16" t="str">
        <f>VLOOKUP(A257,Asteriscati25!B:N,13,0)</f>
        <v>#N/A</v>
      </c>
      <c r="K257" s="26">
        <v>1.0</v>
      </c>
      <c r="L257" s="18" t="str">
        <f t="shared" si="11"/>
        <v>#REF!</v>
      </c>
      <c r="M257" s="19">
        <v>320.0</v>
      </c>
      <c r="N257" s="18">
        <f>VLOOKUP(A257,FVM_update!B:N,13,0)</f>
        <v>10</v>
      </c>
      <c r="O257" s="20">
        <f>VLOOKUP(B257,'FVM_1luglio-31luglio25'!D:Q,14,0)</f>
        <v>215</v>
      </c>
      <c r="P257" s="20">
        <f t="shared" si="12"/>
        <v>10</v>
      </c>
      <c r="Q257" s="21">
        <f t="shared" si="4"/>
        <v>37</v>
      </c>
      <c r="R257" s="21">
        <f t="shared" si="14"/>
        <v>37</v>
      </c>
      <c r="S257" s="20"/>
      <c r="T257" s="11" t="s">
        <v>245</v>
      </c>
      <c r="U257" s="10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</row>
    <row r="258" ht="22.5" customHeight="1">
      <c r="A258" s="9">
        <f>VLOOKUP(B258,FVM_update!A:B,2,0)</f>
        <v>4436</v>
      </c>
      <c r="B258" s="10" t="s">
        <v>149</v>
      </c>
      <c r="C258" s="11" t="s">
        <v>172</v>
      </c>
      <c r="D258" s="12" t="str">
        <f>VLOOKUP(B258,FVM_update!A:F,6,0)</f>
        <v>Bologna</v>
      </c>
      <c r="E258" s="13" t="str">
        <f>VLOOKUP(B258,FVM_update!A:E,4,0)</f>
        <v>A</v>
      </c>
      <c r="F258" s="11" t="s">
        <v>55</v>
      </c>
      <c r="G258" s="14">
        <v>45839.0</v>
      </c>
      <c r="H258" s="15">
        <f t="shared" si="1"/>
        <v>46569</v>
      </c>
      <c r="I258" s="11" t="s">
        <v>126</v>
      </c>
      <c r="J258" s="16" t="str">
        <f>VLOOKUP(A258,Asteriscati25!B:N,13,0)</f>
        <v>#N/A</v>
      </c>
      <c r="K258" s="29">
        <v>0.4</v>
      </c>
      <c r="L258" s="18" t="str">
        <f t="shared" si="11"/>
        <v>#REF!</v>
      </c>
      <c r="M258" s="19">
        <f>VLOOKUP(B258,FVM_Asta2526!A:N,14,0)</f>
        <v>25</v>
      </c>
      <c r="N258" s="18">
        <f>VLOOKUP(A258,FVM_update!B:N,13,0)</f>
        <v>28</v>
      </c>
      <c r="O258" s="20">
        <f>VLOOKUP(B258,'FVM_1luglio-31luglio25'!D:Q,14,0)</f>
        <v>20</v>
      </c>
      <c r="P258" s="20">
        <f t="shared" si="12"/>
        <v>28</v>
      </c>
      <c r="Q258" s="21">
        <f t="shared" si="4"/>
        <v>3.5</v>
      </c>
      <c r="R258" s="21">
        <f t="shared" si="14"/>
        <v>1.5</v>
      </c>
      <c r="S258" s="20"/>
      <c r="T258" s="17"/>
      <c r="U258" s="10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</row>
    <row r="259" ht="22.5" customHeight="1">
      <c r="A259" s="9">
        <f>VLOOKUP(B259,FVM_update!A:B,2,0)</f>
        <v>7128</v>
      </c>
      <c r="B259" s="10" t="s">
        <v>163</v>
      </c>
      <c r="C259" s="11" t="s">
        <v>172</v>
      </c>
      <c r="D259" s="12" t="str">
        <f>VLOOKUP(B259,FVM_update!A:F,6,0)</f>
        <v>Como</v>
      </c>
      <c r="E259" s="13" t="str">
        <f>VLOOKUP(B259,FVM_update!A:E,4,0)</f>
        <v>W;A</v>
      </c>
      <c r="F259" s="11" t="s">
        <v>45</v>
      </c>
      <c r="G259" s="14">
        <v>45839.0</v>
      </c>
      <c r="H259" s="15">
        <f t="shared" si="1"/>
        <v>46204</v>
      </c>
      <c r="I259" s="11" t="s">
        <v>126</v>
      </c>
      <c r="J259" s="16" t="str">
        <f>VLOOKUP(A259,Asteriscati25!B:N,13,0)</f>
        <v>#N/A</v>
      </c>
      <c r="K259" s="29">
        <v>0.4</v>
      </c>
      <c r="L259" s="18" t="str">
        <f t="shared" si="11"/>
        <v>#REF!</v>
      </c>
      <c r="M259" s="19">
        <f>VLOOKUP(B259,FVM_Asta2526!A:N,14,0)</f>
        <v>38</v>
      </c>
      <c r="N259" s="18">
        <f>VLOOKUP(A259,FVM_update!B:N,13,0)</f>
        <v>14</v>
      </c>
      <c r="O259" s="20" t="str">
        <f>VLOOKUP(B259,'FVM_1luglio-31luglio25'!D:Q,14,0)</f>
        <v>#N/A</v>
      </c>
      <c r="P259" s="20">
        <f t="shared" si="12"/>
        <v>14</v>
      </c>
      <c r="Q259" s="21">
        <f t="shared" si="4"/>
        <v>4</v>
      </c>
      <c r="R259" s="21">
        <f t="shared" si="14"/>
        <v>2</v>
      </c>
      <c r="S259" s="20"/>
      <c r="T259" s="17"/>
      <c r="U259" s="10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</row>
    <row r="260" ht="22.5" customHeight="1">
      <c r="A260" s="9">
        <f>VLOOKUP(B260,FVM_update!A:B,2,0)</f>
        <v>2097</v>
      </c>
      <c r="B260" s="25" t="s">
        <v>108</v>
      </c>
      <c r="C260" s="11" t="s">
        <v>172</v>
      </c>
      <c r="D260" s="12" t="str">
        <f>VLOOKUP(B260,FVM_update!A:F,6,0)</f>
        <v>Fiorentina</v>
      </c>
      <c r="E260" s="13" t="str">
        <f>VLOOKUP(B260,FVM_update!A:E,4,0)</f>
        <v>Pc</v>
      </c>
      <c r="F260" s="11" t="s">
        <v>55</v>
      </c>
      <c r="G260" s="14">
        <v>45474.0</v>
      </c>
      <c r="H260" s="15">
        <f t="shared" si="1"/>
        <v>46204</v>
      </c>
      <c r="I260" s="11" t="s">
        <v>89</v>
      </c>
      <c r="J260" s="16" t="str">
        <f>VLOOKUP(A260,Asteriscati25!B:N,13,0)</f>
        <v>#N/A</v>
      </c>
      <c r="K260" s="26">
        <v>0.4</v>
      </c>
      <c r="L260" s="18" t="str">
        <f t="shared" si="11"/>
        <v>#REF!</v>
      </c>
      <c r="M260" s="19">
        <f>VLOOKUP(B260,FVM_Asta2425!A:M,13,0)</f>
        <v>97</v>
      </c>
      <c r="N260" s="18">
        <f>VLOOKUP(A260,FVM_update!B:N,13,0)</f>
        <v>127</v>
      </c>
      <c r="O260" s="20">
        <f>VLOOKUP(B260,'FVM_1luglio-31luglio25'!D:Q,14,0)</f>
        <v>241</v>
      </c>
      <c r="P260" s="20">
        <f t="shared" si="12"/>
        <v>127</v>
      </c>
      <c r="Q260" s="21">
        <f t="shared" si="4"/>
        <v>13</v>
      </c>
      <c r="R260" s="21">
        <f t="shared" si="14"/>
        <v>5.5</v>
      </c>
      <c r="S260" s="19"/>
      <c r="T260" s="22"/>
      <c r="U260" s="10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</row>
    <row r="261" ht="22.5" customHeight="1">
      <c r="A261" s="9">
        <f>VLOOKUP(B261,FVM_update!A:B,2,0)</f>
        <v>2167</v>
      </c>
      <c r="B261" s="41" t="s">
        <v>121</v>
      </c>
      <c r="C261" s="42" t="s">
        <v>172</v>
      </c>
      <c r="D261" s="12" t="str">
        <f>VLOOKUP(B261,FVM_update!A:F,6,0)</f>
        <v>Bologna</v>
      </c>
      <c r="E261" s="13" t="str">
        <f>VLOOKUP(B261,FVM_update!A:E,4,0)</f>
        <v>W;A</v>
      </c>
      <c r="F261" s="31" t="s">
        <v>67</v>
      </c>
      <c r="G261" s="32">
        <v>45839.0</v>
      </c>
      <c r="H261" s="15">
        <f t="shared" si="1"/>
        <v>46569</v>
      </c>
      <c r="I261" s="33" t="s">
        <v>126</v>
      </c>
      <c r="J261" s="34" t="str">
        <f>VLOOKUP(A261,Asteriscati25!B:N,13,0)</f>
        <v>#N/A</v>
      </c>
      <c r="K261" s="64">
        <v>0.4</v>
      </c>
      <c r="L261" s="18" t="str">
        <f t="shared" si="11"/>
        <v>#REF!</v>
      </c>
      <c r="M261" s="19">
        <f>VLOOKUP(B261,FVM_Asta2526!A:N,14,0)</f>
        <v>218</v>
      </c>
      <c r="N261" s="18">
        <f>VLOOKUP(A261,FVM_update!B:N,13,0)</f>
        <v>207</v>
      </c>
      <c r="O261" s="20">
        <f>VLOOKUP(B261,'FVM_1luglio-31luglio25'!D:Q,14,0)</f>
        <v>152</v>
      </c>
      <c r="P261" s="36">
        <f t="shared" si="12"/>
        <v>207</v>
      </c>
      <c r="Q261" s="21">
        <f t="shared" si="4"/>
        <v>25.5</v>
      </c>
      <c r="R261" s="21">
        <f t="shared" si="14"/>
        <v>10.5</v>
      </c>
      <c r="S261" s="37"/>
      <c r="T261" s="38"/>
      <c r="U261" s="39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</row>
    <row r="262" ht="22.5" customHeight="1">
      <c r="A262" s="9">
        <f>VLOOKUP(B262,FVM_update!A:B,2,0)</f>
        <v>6916</v>
      </c>
      <c r="B262" s="10" t="s">
        <v>326</v>
      </c>
      <c r="C262" s="11" t="s">
        <v>172</v>
      </c>
      <c r="D262" s="12" t="str">
        <f>VLOOKUP(B262,FVM_update!A:F,6,0)</f>
        <v>Atalanta</v>
      </c>
      <c r="E262" s="13" t="str">
        <f>VLOOKUP(B262,FVM_update!A:E,4,0)</f>
        <v>B;Ds;E</v>
      </c>
      <c r="F262" s="11" t="s">
        <v>45</v>
      </c>
      <c r="G262" s="14">
        <v>45839.0</v>
      </c>
      <c r="H262" s="15">
        <f t="shared" si="1"/>
        <v>46204</v>
      </c>
      <c r="I262" s="11" t="s">
        <v>48</v>
      </c>
      <c r="J262" s="16" t="str">
        <f>VLOOKUP(A262,Asteriscati25!B:N,13,0)</f>
        <v>#N/A</v>
      </c>
      <c r="K262" s="17"/>
      <c r="L262" s="18" t="str">
        <f t="shared" si="11"/>
        <v>#REF!</v>
      </c>
      <c r="M262" s="19">
        <f>VLOOKUP(B262,FVM_Asta2526!A:N,14,0)</f>
        <v>12</v>
      </c>
      <c r="N262" s="18">
        <f>VLOOKUP(A262,FVM_update!B:N,13,0)</f>
        <v>14</v>
      </c>
      <c r="O262" s="20">
        <f>VLOOKUP(B262,'FVM_1luglio-31luglio25'!D:Q,14,0)</f>
        <v>5</v>
      </c>
      <c r="P262" s="20">
        <f t="shared" si="12"/>
        <v>14</v>
      </c>
      <c r="Q262" s="21">
        <f t="shared" si="4"/>
        <v>1.5</v>
      </c>
      <c r="R262" s="21">
        <f t="shared" si="14"/>
        <v>1.5</v>
      </c>
      <c r="S262" s="20"/>
      <c r="T262" s="22"/>
      <c r="U262" s="23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</row>
    <row r="263" ht="22.5" customHeight="1">
      <c r="A263" s="9">
        <f>VLOOKUP(B263,FVM_update!A:B,2,0)</f>
        <v>5719</v>
      </c>
      <c r="B263" s="10" t="s">
        <v>327</v>
      </c>
      <c r="C263" s="11" t="s">
        <v>172</v>
      </c>
      <c r="D263" s="12" t="str">
        <f>VLOOKUP(B263,FVM_update!A:F,6,0)</f>
        <v>Torino</v>
      </c>
      <c r="E263" s="13" t="str">
        <f>VLOOKUP(B263,FVM_update!A:E,4,0)</f>
        <v>M;C</v>
      </c>
      <c r="F263" s="11" t="s">
        <v>45</v>
      </c>
      <c r="G263" s="14">
        <v>45839.0</v>
      </c>
      <c r="H263" s="15">
        <f t="shared" si="1"/>
        <v>46204</v>
      </c>
      <c r="I263" s="11" t="s">
        <v>46</v>
      </c>
      <c r="J263" s="16" t="str">
        <f>VLOOKUP(A263,Asteriscati25!B:N,13,0)</f>
        <v>#N/A</v>
      </c>
      <c r="K263" s="17"/>
      <c r="L263" s="18" t="str">
        <f t="shared" si="11"/>
        <v>#REF!</v>
      </c>
      <c r="M263" s="19">
        <f>VLOOKUP(B263,FVM_Asta2526!A:N,14,0)</f>
        <v>9</v>
      </c>
      <c r="N263" s="18">
        <f>VLOOKUP(A263,FVM_update!B:N,13,0)</f>
        <v>19</v>
      </c>
      <c r="O263" s="20">
        <f>VLOOKUP(B263,'FVM_1luglio-31luglio25'!D:Q,14,0)</f>
        <v>21</v>
      </c>
      <c r="P263" s="20">
        <f t="shared" si="12"/>
        <v>19</v>
      </c>
      <c r="Q263" s="21">
        <f t="shared" si="4"/>
        <v>1</v>
      </c>
      <c r="R263" s="21">
        <f t="shared" si="14"/>
        <v>0.5</v>
      </c>
      <c r="S263" s="20"/>
      <c r="T263" s="22"/>
      <c r="U263" s="23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</row>
    <row r="264" ht="22.5" customHeight="1">
      <c r="A264" s="9">
        <f>VLOOKUP(B264,FVM_update!A:B,2,0)</f>
        <v>6202</v>
      </c>
      <c r="B264" s="10" t="s">
        <v>328</v>
      </c>
      <c r="C264" s="11" t="s">
        <v>172</v>
      </c>
      <c r="D264" s="12" t="str">
        <f>VLOOKUP(B264,FVM_update!A:F,6,0)</f>
        <v>Napoli</v>
      </c>
      <c r="E264" s="13" t="str">
        <f>VLOOKUP(B264,FVM_update!A:E,4,0)</f>
        <v>Dc</v>
      </c>
      <c r="F264" s="11" t="s">
        <v>59</v>
      </c>
      <c r="G264" s="14">
        <v>45839.0</v>
      </c>
      <c r="H264" s="15">
        <f t="shared" si="1"/>
        <v>46935</v>
      </c>
      <c r="I264" s="11" t="s">
        <v>48</v>
      </c>
      <c r="J264" s="16" t="str">
        <f>VLOOKUP(A264,Asteriscati25!B:N,13,0)</f>
        <v>#N/A</v>
      </c>
      <c r="K264" s="17"/>
      <c r="L264" s="18" t="str">
        <f t="shared" si="11"/>
        <v>#REF!</v>
      </c>
      <c r="M264" s="19">
        <f>VLOOKUP(B264,FVM_Asta2526!A:N,14,0)</f>
        <v>18</v>
      </c>
      <c r="N264" s="18">
        <f>VLOOKUP(A264,FVM_update!B:N,13,0)</f>
        <v>11</v>
      </c>
      <c r="O264" s="20">
        <f>VLOOKUP(B264,'FVM_1luglio-31luglio25'!D:Q,14,0)</f>
        <v>19</v>
      </c>
      <c r="P264" s="20">
        <f t="shared" si="12"/>
        <v>11</v>
      </c>
      <c r="Q264" s="21">
        <f t="shared" si="4"/>
        <v>2.5</v>
      </c>
      <c r="R264" s="21">
        <f t="shared" si="14"/>
        <v>2.5</v>
      </c>
      <c r="S264" s="20"/>
      <c r="T264" s="22"/>
      <c r="U264" s="23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</row>
    <row r="265" ht="22.5" customHeight="1">
      <c r="A265" s="9">
        <f>VLOOKUP(B265,FVM_update!A:B,2,0)</f>
        <v>6966</v>
      </c>
      <c r="B265" s="10" t="s">
        <v>329</v>
      </c>
      <c r="C265" s="11" t="s">
        <v>172</v>
      </c>
      <c r="D265" s="12" t="str">
        <f>VLOOKUP(B265,FVM_update!A:F,6,0)</f>
        <v>Como</v>
      </c>
      <c r="E265" s="13" t="str">
        <f>VLOOKUP(B265,FVM_update!A:E,4,0)</f>
        <v>Por</v>
      </c>
      <c r="F265" s="11" t="s">
        <v>45</v>
      </c>
      <c r="G265" s="14">
        <v>45839.0</v>
      </c>
      <c r="H265" s="15">
        <f t="shared" si="1"/>
        <v>46204</v>
      </c>
      <c r="I265" s="11" t="s">
        <v>48</v>
      </c>
      <c r="J265" s="16" t="str">
        <f>VLOOKUP(A265,Asteriscati25!B:N,13,0)</f>
        <v>#N/A</v>
      </c>
      <c r="K265" s="17"/>
      <c r="L265" s="18" t="str">
        <f t="shared" si="11"/>
        <v>#REF!</v>
      </c>
      <c r="M265" s="19">
        <f>VLOOKUP(B265,FVM_Asta2526!A:N,14,0)</f>
        <v>34</v>
      </c>
      <c r="N265" s="18">
        <f>VLOOKUP(A265,FVM_update!B:N,13,0)</f>
        <v>74</v>
      </c>
      <c r="O265" s="20">
        <f>VLOOKUP(B265,'FVM_1luglio-31luglio25'!D:Q,14,0)</f>
        <v>18</v>
      </c>
      <c r="P265" s="20">
        <f t="shared" si="12"/>
        <v>74</v>
      </c>
      <c r="Q265" s="21">
        <f t="shared" si="4"/>
        <v>3.5</v>
      </c>
      <c r="R265" s="21">
        <f t="shared" si="14"/>
        <v>3.5</v>
      </c>
      <c r="S265" s="20"/>
      <c r="T265" s="22"/>
      <c r="U265" s="23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</row>
    <row r="266" ht="22.5" customHeight="1">
      <c r="A266" s="9">
        <f>VLOOKUP(B266,FVM_update!A:B,2,0)</f>
        <v>5877</v>
      </c>
      <c r="B266" s="43" t="s">
        <v>330</v>
      </c>
      <c r="C266" s="112" t="s">
        <v>172</v>
      </c>
      <c r="D266" s="12" t="str">
        <f>VLOOKUP(B266,FVM_update!A:F,6,0)</f>
        <v>Inter</v>
      </c>
      <c r="E266" s="13" t="str">
        <f>VLOOKUP(B266,FVM_update!A:E,4,0)</f>
        <v>B;Ds;E</v>
      </c>
      <c r="F266" s="113" t="s">
        <v>55</v>
      </c>
      <c r="G266" s="15">
        <v>45474.0</v>
      </c>
      <c r="H266" s="15">
        <f t="shared" si="1"/>
        <v>46204</v>
      </c>
      <c r="I266" s="33" t="s">
        <v>126</v>
      </c>
      <c r="J266" s="34" t="str">
        <f>VLOOKUP(A266,Asteriscati25!B:N,13,0)</f>
        <v>#N/A</v>
      </c>
      <c r="K266" s="67">
        <v>1.0</v>
      </c>
      <c r="L266" s="18" t="str">
        <f t="shared" si="11"/>
        <v>#REF!</v>
      </c>
      <c r="M266" s="47">
        <f>VLOOKUP(B266,FVM_Asta2425!A:M,13,0)</f>
        <v>16</v>
      </c>
      <c r="N266" s="18">
        <f>VLOOKUP(A266,FVM_update!B:N,13,0)</f>
        <v>20</v>
      </c>
      <c r="O266" s="20">
        <f>VLOOKUP(B266,'FVM_1luglio-31luglio25'!D:Q,14,0)</f>
        <v>23</v>
      </c>
      <c r="P266" s="36">
        <f t="shared" si="12"/>
        <v>20</v>
      </c>
      <c r="Q266" s="21">
        <f t="shared" si="4"/>
        <v>2.5</v>
      </c>
      <c r="R266" s="21">
        <f t="shared" si="14"/>
        <v>2.5</v>
      </c>
      <c r="S266" s="37"/>
      <c r="T266" s="114" t="s">
        <v>148</v>
      </c>
      <c r="U266" s="115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</row>
    <row r="267" ht="22.5" customHeight="1">
      <c r="A267" s="9">
        <f>VLOOKUP(B267,FVM_update!A:B,2,0)</f>
        <v>6663</v>
      </c>
      <c r="B267" s="10" t="s">
        <v>331</v>
      </c>
      <c r="C267" s="11" t="s">
        <v>172</v>
      </c>
      <c r="D267" s="12" t="str">
        <f>VLOOKUP(B267,FVM_update!A:F,6,0)</f>
        <v>Parma</v>
      </c>
      <c r="E267" s="13" t="str">
        <f>VLOOKUP(B267,FVM_update!A:E,4,0)</f>
        <v>Dc</v>
      </c>
      <c r="F267" s="11" t="s">
        <v>45</v>
      </c>
      <c r="G267" s="14">
        <v>45839.0</v>
      </c>
      <c r="H267" s="15">
        <f t="shared" si="1"/>
        <v>46204</v>
      </c>
      <c r="I267" s="11" t="s">
        <v>48</v>
      </c>
      <c r="J267" s="16" t="str">
        <f>VLOOKUP(A267,Asteriscati25!B:N,13,0)</f>
        <v>#N/A</v>
      </c>
      <c r="K267" s="17"/>
      <c r="L267" s="18" t="str">
        <f t="shared" si="11"/>
        <v>#REF!</v>
      </c>
      <c r="M267" s="19">
        <f>VLOOKUP(B267,FVM_Asta2526!A:N,14,0)</f>
        <v>13</v>
      </c>
      <c r="N267" s="18">
        <f>VLOOKUP(A267,FVM_update!B:N,13,0)</f>
        <v>15</v>
      </c>
      <c r="O267" s="20">
        <f>VLOOKUP(B267,'FVM_1luglio-31luglio25'!D:Q,14,0)</f>
        <v>8</v>
      </c>
      <c r="P267" s="20">
        <f t="shared" si="12"/>
        <v>15</v>
      </c>
      <c r="Q267" s="21">
        <f t="shared" si="4"/>
        <v>1.5</v>
      </c>
      <c r="R267" s="21">
        <f t="shared" si="14"/>
        <v>1.5</v>
      </c>
      <c r="S267" s="20"/>
      <c r="T267" s="22"/>
      <c r="U267" s="23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</row>
    <row r="268" ht="22.5" customHeight="1">
      <c r="A268" s="9">
        <f>VLOOKUP(B268,FVM_update!A:B,2,0)</f>
        <v>6895</v>
      </c>
      <c r="B268" s="10" t="s">
        <v>332</v>
      </c>
      <c r="C268" s="11" t="s">
        <v>172</v>
      </c>
      <c r="D268" s="12" t="str">
        <f>VLOOKUP(B268,FVM_update!A:F,6,0)</f>
        <v>Bologna</v>
      </c>
      <c r="E268" s="13" t="str">
        <f>VLOOKUP(B268,FVM_update!A:E,4,0)</f>
        <v>W;A</v>
      </c>
      <c r="F268" s="11" t="s">
        <v>45</v>
      </c>
      <c r="G268" s="14">
        <v>45839.0</v>
      </c>
      <c r="H268" s="15">
        <f t="shared" si="1"/>
        <v>46204</v>
      </c>
      <c r="I268" s="11" t="s">
        <v>48</v>
      </c>
      <c r="J268" s="16" t="str">
        <f>VLOOKUP(A268,Asteriscati25!B:N,13,0)</f>
        <v>#N/A</v>
      </c>
      <c r="K268" s="17"/>
      <c r="L268" s="18" t="str">
        <f t="shared" si="11"/>
        <v>#REF!</v>
      </c>
      <c r="M268" s="19">
        <f>VLOOKUP(B268,FVM_Asta2526!A:N,14,0)</f>
        <v>20</v>
      </c>
      <c r="N268" s="18">
        <f>VLOOKUP(A268,FVM_update!B:N,13,0)</f>
        <v>15</v>
      </c>
      <c r="O268" s="20">
        <f>VLOOKUP(B268,'FVM_1luglio-31luglio25'!D:Q,14,0)</f>
        <v>13</v>
      </c>
      <c r="P268" s="20">
        <f t="shared" si="12"/>
        <v>15</v>
      </c>
      <c r="Q268" s="21">
        <f t="shared" si="4"/>
        <v>2</v>
      </c>
      <c r="R268" s="21">
        <f t="shared" si="14"/>
        <v>2</v>
      </c>
      <c r="S268" s="20"/>
      <c r="T268" s="22"/>
      <c r="U268" s="23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</row>
    <row r="269" ht="22.5" customHeight="1">
      <c r="A269" s="9">
        <f>VLOOKUP(B269,FVM_update!A:B,2,0)</f>
        <v>6675</v>
      </c>
      <c r="B269" s="25" t="s">
        <v>333</v>
      </c>
      <c r="C269" s="11" t="s">
        <v>172</v>
      </c>
      <c r="D269" s="12" t="str">
        <f>VLOOKUP(B269,FVM_update!A:F,6,0)</f>
        <v>Roma</v>
      </c>
      <c r="E269" s="13" t="str">
        <f>VLOOKUP(B269,FVM_update!A:E,4,0)</f>
        <v>Pc</v>
      </c>
      <c r="F269" s="11" t="s">
        <v>59</v>
      </c>
      <c r="G269" s="14">
        <v>45474.0</v>
      </c>
      <c r="H269" s="15">
        <f t="shared" si="1"/>
        <v>46569</v>
      </c>
      <c r="I269" s="11" t="s">
        <v>48</v>
      </c>
      <c r="J269" s="16" t="str">
        <f>VLOOKUP(A269,Asteriscati25!B:N,13,0)</f>
        <v>#N/A</v>
      </c>
      <c r="K269" s="26">
        <v>0.0</v>
      </c>
      <c r="L269" s="18" t="str">
        <f t="shared" si="11"/>
        <v>#REF!</v>
      </c>
      <c r="M269" s="19">
        <f>VLOOKUP(B269,FVM_Asta2425!A:M,13,0)</f>
        <v>235</v>
      </c>
      <c r="N269" s="18">
        <f>VLOOKUP(A269,FVM_update!B:N,13,0)</f>
        <v>10</v>
      </c>
      <c r="O269" s="20">
        <f>VLOOKUP(B269,'FVM_1luglio-31luglio25'!D:Q,14,0)</f>
        <v>231</v>
      </c>
      <c r="P269" s="20">
        <f t="shared" si="12"/>
        <v>10</v>
      </c>
      <c r="Q269" s="21">
        <f t="shared" si="4"/>
        <v>27.5</v>
      </c>
      <c r="R269" s="21">
        <f t="shared" si="14"/>
        <v>27.5</v>
      </c>
      <c r="S269" s="20"/>
      <c r="T269" s="22"/>
      <c r="U269" s="23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</row>
    <row r="270" ht="22.5" customHeight="1">
      <c r="A270" s="9">
        <f>VLOOKUP(B270,FVM_update!A:B,2,0)</f>
        <v>6684</v>
      </c>
      <c r="B270" s="10" t="s">
        <v>334</v>
      </c>
      <c r="C270" s="11" t="s">
        <v>172</v>
      </c>
      <c r="D270" s="12" t="str">
        <f>VLOOKUP(B270,FVM_update!A:F,6,0)</f>
        <v>Udinese</v>
      </c>
      <c r="E270" s="13" t="str">
        <f>VLOOKUP(B270,FVM_update!A:E,4,0)</f>
        <v>C;T</v>
      </c>
      <c r="F270" s="11" t="s">
        <v>45</v>
      </c>
      <c r="G270" s="14">
        <v>45839.0</v>
      </c>
      <c r="H270" s="15">
        <f t="shared" si="1"/>
        <v>46204</v>
      </c>
      <c r="I270" s="11" t="s">
        <v>48</v>
      </c>
      <c r="J270" s="16" t="str">
        <f>VLOOKUP(A270,Asteriscati25!B:N,13,0)</f>
        <v>#N/A</v>
      </c>
      <c r="K270" s="17"/>
      <c r="L270" s="18" t="str">
        <f t="shared" si="11"/>
        <v>#REF!</v>
      </c>
      <c r="M270" s="19">
        <f>VLOOKUP(B270,FVM_Asta2526!A:N,14,0)</f>
        <v>21</v>
      </c>
      <c r="N270" s="18">
        <f>VLOOKUP(A270,FVM_update!B:N,13,0)</f>
        <v>27</v>
      </c>
      <c r="O270" s="20">
        <f>VLOOKUP(B270,'FVM_1luglio-31luglio25'!D:Q,14,0)</f>
        <v>17</v>
      </c>
      <c r="P270" s="20">
        <f t="shared" si="12"/>
        <v>27</v>
      </c>
      <c r="Q270" s="21">
        <f t="shared" si="4"/>
        <v>2.5</v>
      </c>
      <c r="R270" s="21">
        <f t="shared" si="14"/>
        <v>2.5</v>
      </c>
      <c r="S270" s="20"/>
      <c r="T270" s="22"/>
      <c r="U270" s="23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</row>
    <row r="271" ht="22.5" customHeight="1">
      <c r="A271" s="9">
        <f>VLOOKUP(B271,FVM_update!A:B,2,0)</f>
        <v>6206</v>
      </c>
      <c r="B271" s="10" t="s">
        <v>335</v>
      </c>
      <c r="C271" s="11" t="s">
        <v>172</v>
      </c>
      <c r="D271" s="12" t="str">
        <f>VLOOKUP(B271,FVM_update!A:F,6,0)</f>
        <v>Fiorentina</v>
      </c>
      <c r="E271" s="13" t="str">
        <f>VLOOKUP(B271,FVM_update!A:E,4,0)</f>
        <v>C;T</v>
      </c>
      <c r="F271" s="11" t="s">
        <v>45</v>
      </c>
      <c r="G271" s="14">
        <v>45839.0</v>
      </c>
      <c r="H271" s="15">
        <f t="shared" si="1"/>
        <v>46204</v>
      </c>
      <c r="I271" s="11" t="s">
        <v>48</v>
      </c>
      <c r="J271" s="16" t="str">
        <f>VLOOKUP(A271,Asteriscati25!B:N,13,0)</f>
        <v>#N/A</v>
      </c>
      <c r="K271" s="17"/>
      <c r="L271" s="18" t="str">
        <f t="shared" si="11"/>
        <v>#REF!</v>
      </c>
      <c r="M271" s="19">
        <f>VLOOKUP(B271,FVM_Asta2526!A:N,14,0)</f>
        <v>17</v>
      </c>
      <c r="N271" s="18">
        <f>VLOOKUP(A271,FVM_update!B:N,13,0)</f>
        <v>16</v>
      </c>
      <c r="O271" s="20">
        <f>VLOOKUP(B271,'FVM_1luglio-31luglio25'!D:Q,14,0)</f>
        <v>28</v>
      </c>
      <c r="P271" s="20">
        <f t="shared" si="12"/>
        <v>16</v>
      </c>
      <c r="Q271" s="21">
        <f t="shared" si="4"/>
        <v>2</v>
      </c>
      <c r="R271" s="21">
        <f t="shared" si="14"/>
        <v>2</v>
      </c>
      <c r="S271" s="20"/>
      <c r="T271" s="22"/>
      <c r="U271" s="23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</row>
    <row r="272" ht="22.5" customHeight="1">
      <c r="A272" s="9">
        <f>VLOOKUP(B272,FVM_update!A:B,2,0)</f>
        <v>5858</v>
      </c>
      <c r="B272" s="10" t="s">
        <v>336</v>
      </c>
      <c r="C272" s="11" t="s">
        <v>172</v>
      </c>
      <c r="D272" s="12" t="str">
        <f>VLOOKUP(B272,FVM_update!A:F,6,0)</f>
        <v>Bologna</v>
      </c>
      <c r="E272" s="13" t="str">
        <f>VLOOKUP(B272,FVM_update!A:E,4,0)</f>
        <v>C;T</v>
      </c>
      <c r="F272" s="11" t="s">
        <v>59</v>
      </c>
      <c r="G272" s="14">
        <v>45839.0</v>
      </c>
      <c r="H272" s="15">
        <f t="shared" si="1"/>
        <v>46935</v>
      </c>
      <c r="I272" s="11" t="s">
        <v>48</v>
      </c>
      <c r="J272" s="16" t="str">
        <f>VLOOKUP(A272,Asteriscati25!B:N,13,0)</f>
        <v>#N/A</v>
      </c>
      <c r="K272" s="17"/>
      <c r="L272" s="18" t="str">
        <f t="shared" si="11"/>
        <v>#REF!</v>
      </c>
      <c r="M272" s="19">
        <f>VLOOKUP(B272,FVM_Asta2526!A:N,14,0)</f>
        <v>23</v>
      </c>
      <c r="N272" s="18">
        <f>VLOOKUP(A272,FVM_update!B:N,13,0)</f>
        <v>16</v>
      </c>
      <c r="O272" s="20">
        <f>VLOOKUP(B272,'FVM_1luglio-31luglio25'!D:Q,14,0)</f>
        <v>29</v>
      </c>
      <c r="P272" s="20">
        <f t="shared" si="12"/>
        <v>16</v>
      </c>
      <c r="Q272" s="21">
        <f t="shared" si="4"/>
        <v>3</v>
      </c>
      <c r="R272" s="21">
        <f t="shared" si="14"/>
        <v>3</v>
      </c>
      <c r="S272" s="20"/>
      <c r="T272" s="22"/>
      <c r="U272" s="23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</row>
    <row r="273" ht="22.5" customHeight="1">
      <c r="A273" s="9">
        <f>VLOOKUP(B273,FVM_update!A:B,2,0)</f>
        <v>7131</v>
      </c>
      <c r="B273" s="10" t="s">
        <v>337</v>
      </c>
      <c r="C273" s="11" t="s">
        <v>172</v>
      </c>
      <c r="D273" s="12" t="str">
        <f>VLOOKUP(B273,FVM_update!A:F,6,0)</f>
        <v>Cremonese</v>
      </c>
      <c r="E273" s="13" t="str">
        <f>VLOOKUP(B273,FVM_update!A:E,4,0)</f>
        <v>Dd;E</v>
      </c>
      <c r="F273" s="11" t="s">
        <v>45</v>
      </c>
      <c r="G273" s="14">
        <v>45839.0</v>
      </c>
      <c r="H273" s="15">
        <f t="shared" si="1"/>
        <v>46204</v>
      </c>
      <c r="I273" s="11" t="s">
        <v>48</v>
      </c>
      <c r="J273" s="16" t="str">
        <f>VLOOKUP(A273,Asteriscati25!B:N,13,0)</f>
        <v>#N/A</v>
      </c>
      <c r="K273" s="17"/>
      <c r="L273" s="18" t="str">
        <f t="shared" si="11"/>
        <v>#REF!</v>
      </c>
      <c r="M273" s="19">
        <f>VLOOKUP(B273,FVM_Asta2526!A:N,14,0)</f>
        <v>9</v>
      </c>
      <c r="N273" s="18">
        <f>VLOOKUP(A273,FVM_update!B:N,13,0)</f>
        <v>10</v>
      </c>
      <c r="O273" s="20" t="str">
        <f>VLOOKUP(B273,'FVM_1luglio-31luglio25'!D:Q,14,0)</f>
        <v>#N/A</v>
      </c>
      <c r="P273" s="20">
        <f t="shared" si="12"/>
        <v>10</v>
      </c>
      <c r="Q273" s="21">
        <f t="shared" si="4"/>
        <v>1</v>
      </c>
      <c r="R273" s="21">
        <f t="shared" si="14"/>
        <v>1</v>
      </c>
      <c r="S273" s="20"/>
      <c r="T273" s="22"/>
      <c r="U273" s="23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</row>
    <row r="274" ht="22.5" customHeight="1">
      <c r="A274" s="9">
        <f>VLOOKUP(B274,FVM_update!A:B,2,0)</f>
        <v>7212</v>
      </c>
      <c r="B274" s="87" t="s">
        <v>338</v>
      </c>
      <c r="C274" s="88" t="s">
        <v>172</v>
      </c>
      <c r="D274" s="12" t="str">
        <f>VLOOKUP(B274,FVM_update!A:F,6,0)</f>
        <v>Bologna</v>
      </c>
      <c r="E274" s="13" t="str">
        <f>VLOOKUP(B274,FVM_update!A:E,4,0)</f>
        <v>Ds;Dc</v>
      </c>
      <c r="F274" s="88" t="s">
        <v>59</v>
      </c>
      <c r="G274" s="14">
        <v>45839.0</v>
      </c>
      <c r="H274" s="15">
        <f t="shared" si="1"/>
        <v>46935</v>
      </c>
      <c r="I274" s="11" t="s">
        <v>48</v>
      </c>
      <c r="J274" s="92" t="str">
        <f>VLOOKUP(A274,Asteriscati25!B:N,13,0)</f>
        <v>#N/A</v>
      </c>
      <c r="K274" s="93"/>
      <c r="L274" s="18" t="str">
        <f t="shared" si="11"/>
        <v>#REF!</v>
      </c>
      <c r="M274" s="19">
        <f>VLOOKUP(B274,FVM_Asta2526!A:N,14,0)</f>
        <v>13</v>
      </c>
      <c r="N274" s="18">
        <f>VLOOKUP(A274,FVM_update!B:N,13,0)</f>
        <v>20</v>
      </c>
      <c r="O274" s="20" t="str">
        <f>VLOOKUP(B274,'FVM_1luglio-31luglio25'!D:Q,14,0)</f>
        <v>#N/A</v>
      </c>
      <c r="P274" s="20">
        <f t="shared" si="12"/>
        <v>20</v>
      </c>
      <c r="Q274" s="21">
        <f t="shared" si="4"/>
        <v>1.5</v>
      </c>
      <c r="R274" s="21">
        <f t="shared" si="14"/>
        <v>1.5</v>
      </c>
      <c r="S274" s="59"/>
      <c r="T274" s="96"/>
      <c r="U274" s="97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</row>
    <row r="275" ht="22.5" customHeight="1">
      <c r="A275" s="9">
        <f>VLOOKUP(B275,FVM_update!A:B,2,0)</f>
        <v>6052</v>
      </c>
      <c r="B275" s="10" t="s">
        <v>339</v>
      </c>
      <c r="C275" s="11" t="s">
        <v>172</v>
      </c>
      <c r="D275" s="12" t="str">
        <f>VLOOKUP(B275,FVM_update!A:F,6,0)</f>
        <v>Napoli</v>
      </c>
      <c r="E275" s="13" t="str">
        <f>VLOOKUP(B275,FVM_update!A:E,4,0)</f>
        <v>Pc</v>
      </c>
      <c r="F275" s="11" t="s">
        <v>59</v>
      </c>
      <c r="G275" s="14">
        <v>45839.0</v>
      </c>
      <c r="H275" s="15">
        <f t="shared" si="1"/>
        <v>46935</v>
      </c>
      <c r="I275" s="11" t="s">
        <v>48</v>
      </c>
      <c r="J275" s="16" t="str">
        <f>VLOOKUP(A275,Asteriscati25!B:N,13,0)</f>
        <v>#N/A</v>
      </c>
      <c r="K275" s="17"/>
      <c r="L275" s="18" t="str">
        <f t="shared" si="11"/>
        <v>#REF!</v>
      </c>
      <c r="M275" s="19">
        <f>VLOOKUP(B275,FVM_Asta2526!A:N,14,0)</f>
        <v>186</v>
      </c>
      <c r="N275" s="18">
        <f>VLOOKUP(A275,FVM_update!B:N,13,0)</f>
        <v>181</v>
      </c>
      <c r="O275" s="20" t="str">
        <f>VLOOKUP(B275,'FVM_1luglio-31luglio25'!D:Q,14,0)</f>
        <v>#N/A</v>
      </c>
      <c r="P275" s="20">
        <f t="shared" si="12"/>
        <v>181</v>
      </c>
      <c r="Q275" s="21">
        <f t="shared" si="4"/>
        <v>21.5</v>
      </c>
      <c r="R275" s="21">
        <f t="shared" si="14"/>
        <v>21.5</v>
      </c>
      <c r="S275" s="20"/>
      <c r="T275" s="22"/>
      <c r="U275" s="23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</row>
    <row r="276" ht="22.5" customHeight="1">
      <c r="A276" s="9">
        <f>VLOOKUP(B276,FVM_update!A:B,2,0)</f>
        <v>6005</v>
      </c>
      <c r="B276" s="25" t="s">
        <v>340</v>
      </c>
      <c r="C276" s="11" t="s">
        <v>172</v>
      </c>
      <c r="D276" s="12" t="str">
        <f>VLOOKUP(B276,FVM_update!A:F,6,0)</f>
        <v>Torino</v>
      </c>
      <c r="E276" s="13" t="str">
        <f>VLOOKUP(B276,FVM_update!A:E,4,0)</f>
        <v>C;T</v>
      </c>
      <c r="F276" s="11" t="s">
        <v>43</v>
      </c>
      <c r="G276" s="14">
        <v>45839.0</v>
      </c>
      <c r="H276" s="15">
        <f t="shared" si="1"/>
        <v>401768</v>
      </c>
      <c r="I276" s="11" t="s">
        <v>43</v>
      </c>
      <c r="J276" s="16" t="str">
        <f>VLOOKUP(A276,Asteriscati25!B:N,13,0)</f>
        <v>#N/A</v>
      </c>
      <c r="K276" s="17"/>
      <c r="L276" s="18" t="str">
        <f t="shared" si="11"/>
        <v>#REF!</v>
      </c>
      <c r="M276" s="19">
        <f>VLOOKUP(B276,FVM_Asta2526!A:N,14,0)</f>
        <v>1</v>
      </c>
      <c r="N276" s="18">
        <f>VLOOKUP(A276,FVM_update!B:N,13,0)</f>
        <v>10</v>
      </c>
      <c r="O276" s="20" t="str">
        <f>VLOOKUP(B276,'FVM_1luglio-31luglio25'!D:Q,14,0)</f>
        <v>#N/A</v>
      </c>
      <c r="P276" s="20">
        <f t="shared" si="12"/>
        <v>10</v>
      </c>
      <c r="Q276" s="21">
        <f t="shared" si="4"/>
        <v>0.5</v>
      </c>
      <c r="R276" s="21">
        <f t="shared" si="14"/>
        <v>0.5</v>
      </c>
      <c r="S276" s="20"/>
      <c r="T276" s="22"/>
      <c r="U276" s="23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</row>
    <row r="277" ht="22.5" customHeight="1">
      <c r="A277" s="9">
        <f>VLOOKUP(B277,FVM_update!A:B,2,0)</f>
        <v>6435</v>
      </c>
      <c r="B277" s="25" t="s">
        <v>341</v>
      </c>
      <c r="C277" s="11" t="s">
        <v>172</v>
      </c>
      <c r="D277" s="12" t="str">
        <f>VLOOKUP(B277,FVM_update!A:F,6,0)</f>
        <v>Atalanta</v>
      </c>
      <c r="E277" s="13" t="str">
        <f>VLOOKUP(B277,FVM_update!A:E,4,0)</f>
        <v>Pc</v>
      </c>
      <c r="F277" s="17" t="str">
        <f>VLOOKUP(B277,'situazione contratti estate 24'!A:I,9,0)</f>
        <v>Obbligo 1+2</v>
      </c>
      <c r="G277" s="14">
        <v>45108.0</v>
      </c>
      <c r="H277" s="15">
        <f t="shared" si="1"/>
        <v>46204</v>
      </c>
      <c r="I277" s="11" t="s">
        <v>48</v>
      </c>
      <c r="J277" s="16" t="str">
        <f>VLOOKUP(A277,Asteriscati25!B:N,13,0)</f>
        <v>#N/A</v>
      </c>
      <c r="K277" s="26">
        <v>0.0</v>
      </c>
      <c r="L277" s="18" t="str">
        <f t="shared" si="11"/>
        <v>#REF!</v>
      </c>
      <c r="M277" s="19">
        <f>VLOOKUP(B277,FVM_Asta2324!C:M,11,0)</f>
        <v>55</v>
      </c>
      <c r="N277" s="18">
        <f>VLOOKUP(A277,FVM_update!B:N,13,0)</f>
        <v>37</v>
      </c>
      <c r="O277" s="20">
        <f>VLOOKUP(B277,'FVM_1luglio-31luglio25'!D:Q,14,0)</f>
        <v>82</v>
      </c>
      <c r="P277" s="20">
        <f t="shared" si="12"/>
        <v>37</v>
      </c>
      <c r="Q277" s="21">
        <f t="shared" si="4"/>
        <v>6.5</v>
      </c>
      <c r="R277" s="21">
        <f t="shared" si="14"/>
        <v>6.5</v>
      </c>
      <c r="S277" s="20"/>
      <c r="T277" s="22"/>
      <c r="U277" s="23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</row>
    <row r="278" ht="22.5" customHeight="1">
      <c r="A278" s="9">
        <f>VLOOKUP(B278,FVM_update!A:B,2,0)</f>
        <v>6246</v>
      </c>
      <c r="B278" s="25" t="s">
        <v>342</v>
      </c>
      <c r="C278" s="11" t="s">
        <v>172</v>
      </c>
      <c r="D278" s="12" t="str">
        <f>VLOOKUP(B278,FVM_update!A:F,6,0)</f>
        <v>Sassuolo</v>
      </c>
      <c r="E278" s="13" t="str">
        <f>VLOOKUP(B278,FVM_update!A:E,4,0)</f>
        <v>M;C</v>
      </c>
      <c r="F278" s="11" t="s">
        <v>43</v>
      </c>
      <c r="G278" s="14">
        <v>45839.0</v>
      </c>
      <c r="H278" s="15">
        <f t="shared" si="1"/>
        <v>401768</v>
      </c>
      <c r="I278" s="11" t="s">
        <v>43</v>
      </c>
      <c r="J278" s="16" t="str">
        <f>VLOOKUP(A278,Asteriscati25!B:N,13,0)</f>
        <v>#N/A</v>
      </c>
      <c r="K278" s="17"/>
      <c r="L278" s="18" t="str">
        <f t="shared" si="11"/>
        <v>#REF!</v>
      </c>
      <c r="M278" s="19">
        <f>VLOOKUP(B278,FVM_Asta2526!A:N,14,0)</f>
        <v>11</v>
      </c>
      <c r="N278" s="18">
        <f>VLOOKUP(A278,FVM_update!B:N,13,0)</f>
        <v>11</v>
      </c>
      <c r="O278" s="20" t="str">
        <f>VLOOKUP(B278,'FVM_1luglio-31luglio25'!D:Q,14,0)</f>
        <v>#N/A</v>
      </c>
      <c r="P278" s="20">
        <f t="shared" si="12"/>
        <v>11</v>
      </c>
      <c r="Q278" s="21">
        <f t="shared" si="4"/>
        <v>1.5</v>
      </c>
      <c r="R278" s="21">
        <f t="shared" si="14"/>
        <v>0.5</v>
      </c>
      <c r="S278" s="20"/>
      <c r="T278" s="22"/>
      <c r="U278" s="23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</row>
    <row r="279" ht="22.5" customHeight="1">
      <c r="A279" s="9">
        <f>VLOOKUP(B279,FVM_update!A:B,2,0)</f>
        <v>7254</v>
      </c>
      <c r="B279" s="25" t="s">
        <v>144</v>
      </c>
      <c r="C279" s="11" t="s">
        <v>172</v>
      </c>
      <c r="D279" s="12" t="str">
        <f>VLOOKUP(B279,FVM_update!A:F,6,0)</f>
        <v>Pisa</v>
      </c>
      <c r="E279" s="13" t="str">
        <f>VLOOKUP(B279,FVM_update!A:E,4,0)</f>
        <v>T</v>
      </c>
      <c r="F279" s="11" t="s">
        <v>43</v>
      </c>
      <c r="G279" s="14">
        <v>45839.0</v>
      </c>
      <c r="H279" s="15">
        <f t="shared" si="1"/>
        <v>401768</v>
      </c>
      <c r="I279" s="11" t="s">
        <v>122</v>
      </c>
      <c r="J279" s="16" t="str">
        <f>VLOOKUP(A279,Asteriscati25!B:N,13,0)</f>
        <v>#N/A</v>
      </c>
      <c r="K279" s="29">
        <v>0.6</v>
      </c>
      <c r="L279" s="18" t="str">
        <f t="shared" si="11"/>
        <v>#REF!</v>
      </c>
      <c r="M279" s="19">
        <f>VLOOKUP(B279,FVM_Asta2526!A:N,14,0)</f>
        <v>13</v>
      </c>
      <c r="N279" s="18">
        <f>VLOOKUP(A279,FVM_update!B:N,13,0)</f>
        <v>10</v>
      </c>
      <c r="O279" s="20" t="str">
        <f>VLOOKUP(B279,'FVM_1luglio-31luglio25'!D:Q,14,0)</f>
        <v>#N/A</v>
      </c>
      <c r="P279" s="20">
        <f t="shared" si="12"/>
        <v>10</v>
      </c>
      <c r="Q279" s="21">
        <f t="shared" si="4"/>
        <v>1.5</v>
      </c>
      <c r="R279" s="21">
        <f t="shared" si="14"/>
        <v>1</v>
      </c>
      <c r="S279" s="20"/>
      <c r="T279" s="22"/>
      <c r="U279" s="23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</row>
    <row r="280" ht="22.5" customHeight="1">
      <c r="A280" s="9">
        <f>VLOOKUP(B280,FVM_update!A:B,2,0)</f>
        <v>6482</v>
      </c>
      <c r="B280" s="10" t="s">
        <v>343</v>
      </c>
      <c r="C280" s="11" t="s">
        <v>172</v>
      </c>
      <c r="D280" s="12" t="str">
        <f>VLOOKUP(B280,FVM_update!A:F,6,0)</f>
        <v>Lazio</v>
      </c>
      <c r="E280" s="13" t="str">
        <f>VLOOKUP(B280,FVM_update!A:E,4,0)</f>
        <v>Por</v>
      </c>
      <c r="F280" s="11" t="s">
        <v>45</v>
      </c>
      <c r="G280" s="14">
        <v>45839.0</v>
      </c>
      <c r="H280" s="15">
        <f t="shared" si="1"/>
        <v>46204</v>
      </c>
      <c r="I280" s="11" t="s">
        <v>46</v>
      </c>
      <c r="J280" s="16" t="str">
        <f>VLOOKUP(A280,Asteriscati25!B:N,13,0)</f>
        <v>#N/A</v>
      </c>
      <c r="K280" s="17"/>
      <c r="L280" s="18" t="str">
        <f t="shared" si="11"/>
        <v>#REF!</v>
      </c>
      <c r="M280" s="19">
        <f>VLOOKUP(B280,FVM_Asta2526!A:N,14,0)</f>
        <v>3</v>
      </c>
      <c r="N280" s="18">
        <f>VLOOKUP(A280,FVM_update!B:N,13,0)</f>
        <v>1</v>
      </c>
      <c r="O280" s="20">
        <f>VLOOKUP(B280,'FVM_1luglio-31luglio25'!D:Q,14,0)</f>
        <v>19</v>
      </c>
      <c r="P280" s="20">
        <f t="shared" si="12"/>
        <v>1</v>
      </c>
      <c r="Q280" s="21">
        <f t="shared" si="4"/>
        <v>0.5</v>
      </c>
      <c r="R280" s="21">
        <f t="shared" si="14"/>
        <v>0.5</v>
      </c>
      <c r="S280" s="20"/>
      <c r="T280" s="22"/>
      <c r="U280" s="23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</row>
    <row r="281" ht="22.5" customHeight="1">
      <c r="A281" s="9">
        <f>VLOOKUP(B281,FVM_update!A:B,2,0)</f>
        <v>2764</v>
      </c>
      <c r="B281" s="25" t="s">
        <v>145</v>
      </c>
      <c r="C281" s="11" t="s">
        <v>172</v>
      </c>
      <c r="D281" s="12" t="str">
        <f>VLOOKUP(B281,FVM_update!A:F,6,0)</f>
        <v>Inter</v>
      </c>
      <c r="E281" s="13" t="str">
        <f>VLOOKUP(B281,FVM_update!A:E,4,0)</f>
        <v>Pc</v>
      </c>
      <c r="F281" s="17" t="str">
        <f>VLOOKUP(B281,'situazione contratti estate 24'!A:I,9,0)</f>
        <v>Obbligo 1+2</v>
      </c>
      <c r="G281" s="14">
        <v>45108.0</v>
      </c>
      <c r="H281" s="15">
        <f t="shared" si="1"/>
        <v>46204</v>
      </c>
      <c r="I281" s="11" t="s">
        <v>71</v>
      </c>
      <c r="J281" s="16" t="str">
        <f>VLOOKUP(A281,Asteriscati25!B:N,13,0)</f>
        <v>#N/A</v>
      </c>
      <c r="K281" s="26">
        <v>0.6</v>
      </c>
      <c r="L281" s="18" t="str">
        <f t="shared" si="11"/>
        <v>#REF!</v>
      </c>
      <c r="M281" s="19">
        <f>VLOOKUP(B281,FVM_Asta2324!C:M,11,0)</f>
        <v>436</v>
      </c>
      <c r="N281" s="18">
        <f>VLOOKUP(A281,FVM_update!B:N,13,0)</f>
        <v>370</v>
      </c>
      <c r="O281" s="20">
        <f>VLOOKUP(B281,'FVM_1luglio-31luglio25'!D:Q,14,0)</f>
        <v>358</v>
      </c>
      <c r="P281" s="20">
        <f t="shared" si="12"/>
        <v>370</v>
      </c>
      <c r="Q281" s="21">
        <f t="shared" si="4"/>
        <v>50.5</v>
      </c>
      <c r="R281" s="21">
        <f t="shared" si="14"/>
        <v>30.5</v>
      </c>
      <c r="S281" s="20"/>
      <c r="T281" s="22"/>
      <c r="U281" s="23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</row>
    <row r="282" ht="22.5" customHeight="1">
      <c r="A282" s="9">
        <f>VLOOKUP(B282,FVM_update!A:B,2,0)</f>
        <v>6054</v>
      </c>
      <c r="B282" s="10" t="s">
        <v>344</v>
      </c>
      <c r="C282" s="11" t="s">
        <v>172</v>
      </c>
      <c r="D282" s="12" t="str">
        <f>VLOOKUP(B282,FVM_update!A:F,6,0)</f>
        <v>Bologna</v>
      </c>
      <c r="E282" s="13" t="str">
        <f>VLOOKUP(B282,FVM_update!A:E,4,0)</f>
        <v>M;C</v>
      </c>
      <c r="F282" s="11" t="s">
        <v>45</v>
      </c>
      <c r="G282" s="14">
        <v>45839.0</v>
      </c>
      <c r="H282" s="15">
        <f t="shared" si="1"/>
        <v>46204</v>
      </c>
      <c r="I282" s="11" t="s">
        <v>48</v>
      </c>
      <c r="J282" s="16" t="str">
        <f>VLOOKUP(A282,Asteriscati25!B:N,13,0)</f>
        <v>#N/A</v>
      </c>
      <c r="K282" s="17"/>
      <c r="L282" s="18" t="str">
        <f t="shared" si="11"/>
        <v>#REF!</v>
      </c>
      <c r="M282" s="19">
        <f>VLOOKUP(B282,FVM_Asta2526!A:N,14,0)</f>
        <v>7</v>
      </c>
      <c r="N282" s="18">
        <f>VLOOKUP(A282,FVM_update!B:N,13,0)</f>
        <v>16</v>
      </c>
      <c r="O282" s="20">
        <f>VLOOKUP(B282,'FVM_1luglio-31luglio25'!D:Q,14,0)</f>
        <v>11</v>
      </c>
      <c r="P282" s="20">
        <f t="shared" si="12"/>
        <v>16</v>
      </c>
      <c r="Q282" s="21">
        <f t="shared" si="4"/>
        <v>1</v>
      </c>
      <c r="R282" s="21">
        <f t="shared" si="14"/>
        <v>1</v>
      </c>
      <c r="S282" s="20"/>
      <c r="T282" s="22"/>
      <c r="U282" s="23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</row>
    <row r="283" ht="22.5" customHeight="1">
      <c r="A283" s="9">
        <f>VLOOKUP(B283,FVM_update!A:B,2,0)</f>
        <v>7138</v>
      </c>
      <c r="B283" s="10" t="s">
        <v>345</v>
      </c>
      <c r="C283" s="11" t="s">
        <v>172</v>
      </c>
      <c r="D283" s="12" t="str">
        <f>VLOOKUP(B283,FVM_update!A:F,6,0)</f>
        <v>Parma</v>
      </c>
      <c r="E283" s="13" t="str">
        <f>VLOOKUP(B283,FVM_update!A:E,4,0)</f>
        <v>M;C</v>
      </c>
      <c r="F283" s="11" t="s">
        <v>45</v>
      </c>
      <c r="G283" s="14">
        <v>45839.0</v>
      </c>
      <c r="H283" s="15">
        <f t="shared" si="1"/>
        <v>46204</v>
      </c>
      <c r="I283" s="11" t="s">
        <v>48</v>
      </c>
      <c r="J283" s="16" t="str">
        <f>VLOOKUP(A283,Asteriscati25!B:N,13,0)</f>
        <v>#N/A</v>
      </c>
      <c r="K283" s="17"/>
      <c r="L283" s="18" t="str">
        <f t="shared" si="11"/>
        <v>#REF!</v>
      </c>
      <c r="M283" s="19">
        <f>VLOOKUP(B283,FVM_Asta2526!A:N,14,0)</f>
        <v>15</v>
      </c>
      <c r="N283" s="18">
        <f>VLOOKUP(A283,FVM_update!B:N,13,0)</f>
        <v>13</v>
      </c>
      <c r="O283" s="20" t="str">
        <f>VLOOKUP(B283,'FVM_1luglio-31luglio25'!D:Q,14,0)</f>
        <v>#N/A</v>
      </c>
      <c r="P283" s="20">
        <f t="shared" si="12"/>
        <v>13</v>
      </c>
      <c r="Q283" s="21">
        <f t="shared" si="4"/>
        <v>1.5</v>
      </c>
      <c r="R283" s="21">
        <f t="shared" si="14"/>
        <v>1.5</v>
      </c>
      <c r="S283" s="20"/>
      <c r="T283" s="22"/>
      <c r="U283" s="23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</row>
    <row r="284" ht="22.5" customHeight="1">
      <c r="A284" s="9">
        <f>VLOOKUP(B284,FVM_update!A:B,2,0)</f>
        <v>6190</v>
      </c>
      <c r="B284" s="25" t="s">
        <v>189</v>
      </c>
      <c r="C284" s="11" t="s">
        <v>172</v>
      </c>
      <c r="D284" s="12" t="str">
        <f>VLOOKUP(B284,FVM_update!A:F,6,0)</f>
        <v>Roma</v>
      </c>
      <c r="E284" s="13" t="str">
        <f>VLOOKUP(B284,FVM_update!A:E,4,0)</f>
        <v>C</v>
      </c>
      <c r="F284" s="11" t="s">
        <v>45</v>
      </c>
      <c r="G284" s="14">
        <v>45839.0</v>
      </c>
      <c r="H284" s="15">
        <f t="shared" si="1"/>
        <v>46204</v>
      </c>
      <c r="I284" s="11" t="s">
        <v>122</v>
      </c>
      <c r="J284" s="16" t="str">
        <f>VLOOKUP(A284,Asteriscati25!B:N,13,0)</f>
        <v>#N/A</v>
      </c>
      <c r="K284" s="26">
        <v>0.6</v>
      </c>
      <c r="L284" s="18" t="str">
        <f t="shared" si="11"/>
        <v>#REF!</v>
      </c>
      <c r="M284" s="27">
        <f>VLOOKUP(B284,FVM_Asta2526!A:N,14,0)</f>
        <v>15</v>
      </c>
      <c r="N284" s="18">
        <f>VLOOKUP(A284,FVM_update!B:N,13,0)</f>
        <v>16</v>
      </c>
      <c r="O284" s="20">
        <f>VLOOKUP(B284,'FVM_1luglio-31luglio25'!D:Q,14,0)</f>
        <v>6</v>
      </c>
      <c r="P284" s="20">
        <f t="shared" si="12"/>
        <v>16</v>
      </c>
      <c r="Q284" s="21">
        <f t="shared" si="4"/>
        <v>1.5</v>
      </c>
      <c r="R284" s="21">
        <f t="shared" si="14"/>
        <v>1</v>
      </c>
      <c r="S284" s="20"/>
      <c r="T284" s="22"/>
      <c r="U284" s="23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</row>
    <row r="285" ht="22.5" customHeight="1">
      <c r="A285" s="9">
        <f>VLOOKUP(B285,FVM_update!A:B,2,0)</f>
        <v>6066</v>
      </c>
      <c r="B285" s="25" t="s">
        <v>346</v>
      </c>
      <c r="C285" s="11" t="s">
        <v>172</v>
      </c>
      <c r="D285" s="12" t="str">
        <f>VLOOKUP(B285,FVM_update!A:F,6,0)</f>
        <v>Como</v>
      </c>
      <c r="E285" s="13" t="str">
        <f>VLOOKUP(B285,FVM_update!A:E,4,0)</f>
        <v>Dd;Dc</v>
      </c>
      <c r="F285" s="17" t="s">
        <v>59</v>
      </c>
      <c r="G285" s="14">
        <v>45108.0</v>
      </c>
      <c r="H285" s="15">
        <f t="shared" si="1"/>
        <v>46204</v>
      </c>
      <c r="I285" s="11" t="s">
        <v>46</v>
      </c>
      <c r="J285" s="16" t="e">
        <v>#N/A</v>
      </c>
      <c r="K285" s="26">
        <v>0.0</v>
      </c>
      <c r="L285" s="18" t="e">
        <v>#REF!</v>
      </c>
      <c r="M285" s="19">
        <v>50.0</v>
      </c>
      <c r="N285" s="18" t="e">
        <v>#REF!</v>
      </c>
      <c r="O285" s="20">
        <v>17.0</v>
      </c>
      <c r="P285" s="20">
        <v>17.0</v>
      </c>
      <c r="Q285" s="21">
        <f t="shared" si="4"/>
        <v>6</v>
      </c>
      <c r="R285" s="21">
        <f t="shared" si="14"/>
        <v>3</v>
      </c>
      <c r="S285" s="20"/>
      <c r="T285" s="22"/>
      <c r="U285" s="23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</row>
    <row r="286" ht="22.5" customHeight="1">
      <c r="A286" s="9">
        <f>VLOOKUP(B286,FVM_update!A:B,2,0)</f>
        <v>2814</v>
      </c>
      <c r="B286" s="25" t="s">
        <v>347</v>
      </c>
      <c r="C286" s="11" t="s">
        <v>172</v>
      </c>
      <c r="D286" s="12" t="str">
        <f>VLOOKUP(B286,FVM_update!A:F,6,0)</f>
        <v>Lazio</v>
      </c>
      <c r="E286" s="13" t="str">
        <f>VLOOKUP(B286,FVM_update!A:E,4,0)</f>
        <v>Por</v>
      </c>
      <c r="F286" s="17" t="str">
        <f>VLOOKUP(B286,'situazione contratti estate 24'!A:I,9,0)</f>
        <v>Obbligo 1+2</v>
      </c>
      <c r="G286" s="14">
        <v>45108.0</v>
      </c>
      <c r="H286" s="15">
        <f t="shared" si="1"/>
        <v>46204</v>
      </c>
      <c r="I286" s="11" t="s">
        <v>48</v>
      </c>
      <c r="J286" s="16" t="str">
        <f>VLOOKUP(A286,Asteriscati25!B:N,13,0)</f>
        <v>#N/A</v>
      </c>
      <c r="K286" s="26">
        <v>0.0</v>
      </c>
      <c r="L286" s="18" t="str">
        <f t="shared" ref="L286:L435" si="15">VLOOKUP(B286,Rose!B:D,3,0)</f>
        <v>#REF!</v>
      </c>
      <c r="M286" s="19">
        <f>VLOOKUP(B286,FVM_Asta2324!C:M,11,0)</f>
        <v>60</v>
      </c>
      <c r="N286" s="18">
        <f>VLOOKUP(A286,FVM_update!B:N,13,0)</f>
        <v>71</v>
      </c>
      <c r="O286" s="20">
        <f>VLOOKUP(B286,'FVM_1luglio-31luglio25'!D:Q,14,0)</f>
        <v>30</v>
      </c>
      <c r="P286" s="20">
        <f t="shared" ref="P286:P326" si="16">IFERROR(N286,O286)</f>
        <v>71</v>
      </c>
      <c r="Q286" s="21">
        <f t="shared" si="4"/>
        <v>7</v>
      </c>
      <c r="R286" s="21">
        <f t="shared" si="14"/>
        <v>7</v>
      </c>
      <c r="S286" s="20"/>
      <c r="T286" s="22"/>
      <c r="U286" s="23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</row>
    <row r="287" ht="22.5" customHeight="1">
      <c r="A287" s="9">
        <f>VLOOKUP(B287,FVM_update!A:B,2,0)</f>
        <v>6844</v>
      </c>
      <c r="B287" s="10" t="s">
        <v>348</v>
      </c>
      <c r="C287" s="11" t="s">
        <v>172</v>
      </c>
      <c r="D287" s="12" t="str">
        <f>VLOOKUP(B287,FVM_update!A:F,6,0)</f>
        <v>Bologna</v>
      </c>
      <c r="E287" s="13" t="str">
        <f>VLOOKUP(B287,FVM_update!A:E,4,0)</f>
        <v>W;T</v>
      </c>
      <c r="F287" s="11" t="s">
        <v>45</v>
      </c>
      <c r="G287" s="14">
        <v>45839.0</v>
      </c>
      <c r="H287" s="15">
        <f t="shared" si="1"/>
        <v>46204</v>
      </c>
      <c r="I287" s="11" t="s">
        <v>48</v>
      </c>
      <c r="J287" s="16" t="str">
        <f>VLOOKUP(A287,Asteriscati25!B:N,13,0)</f>
        <v>#N/A</v>
      </c>
      <c r="K287" s="17"/>
      <c r="L287" s="18" t="str">
        <f t="shared" si="15"/>
        <v>#REF!</v>
      </c>
      <c r="M287" s="19">
        <f>VLOOKUP(B287,FVM_Asta2526!A:N,14,0)</f>
        <v>49</v>
      </c>
      <c r="N287" s="18">
        <f>VLOOKUP(A287,FVM_update!B:N,13,0)</f>
        <v>23</v>
      </c>
      <c r="O287" s="20" t="str">
        <f>VLOOKUP(B287,'FVM_1luglio-31luglio25'!D:Q,14,0)</f>
        <v>#N/A</v>
      </c>
      <c r="P287" s="20">
        <f t="shared" si="16"/>
        <v>23</v>
      </c>
      <c r="Q287" s="21">
        <f t="shared" si="4"/>
        <v>5</v>
      </c>
      <c r="R287" s="21">
        <f t="shared" si="14"/>
        <v>5</v>
      </c>
      <c r="S287" s="20"/>
      <c r="T287" s="22"/>
      <c r="U287" s="23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</row>
    <row r="288" ht="22.5" customHeight="1">
      <c r="A288" s="9">
        <f>VLOOKUP(B288,FVM_update!A:B,2,0)</f>
        <v>4409</v>
      </c>
      <c r="B288" s="10" t="s">
        <v>349</v>
      </c>
      <c r="C288" s="11" t="s">
        <v>172</v>
      </c>
      <c r="D288" s="12" t="str">
        <f>VLOOKUP(B288,FVM_update!A:F,6,0)</f>
        <v>Napoli</v>
      </c>
      <c r="E288" s="13" t="str">
        <f>VLOOKUP(B288,FVM_update!A:E,4,0)</f>
        <v>Dc</v>
      </c>
      <c r="F288" s="11" t="s">
        <v>45</v>
      </c>
      <c r="G288" s="14">
        <v>45839.0</v>
      </c>
      <c r="H288" s="15">
        <f t="shared" si="1"/>
        <v>46204</v>
      </c>
      <c r="I288" s="11" t="s">
        <v>48</v>
      </c>
      <c r="J288" s="16" t="str">
        <f>VLOOKUP(A288,Asteriscati25!B:N,13,0)</f>
        <v>#N/A</v>
      </c>
      <c r="K288" s="17"/>
      <c r="L288" s="18" t="str">
        <f t="shared" si="15"/>
        <v>#REF!</v>
      </c>
      <c r="M288" s="19">
        <f>VLOOKUP(B288,FVM_Asta2526!A:N,14,0)</f>
        <v>32</v>
      </c>
      <c r="N288" s="18">
        <f>VLOOKUP(A288,FVM_update!B:N,13,0)</f>
        <v>34</v>
      </c>
      <c r="O288" s="20">
        <f>VLOOKUP(B288,'FVM_1luglio-31luglio25'!D:Q,14,0)</f>
        <v>37</v>
      </c>
      <c r="P288" s="20">
        <f t="shared" si="16"/>
        <v>34</v>
      </c>
      <c r="Q288" s="21">
        <f t="shared" si="4"/>
        <v>3.5</v>
      </c>
      <c r="R288" s="21">
        <f t="shared" si="14"/>
        <v>3.5</v>
      </c>
      <c r="S288" s="20"/>
      <c r="T288" s="22"/>
      <c r="U288" s="23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</row>
    <row r="289" ht="22.5" customHeight="1">
      <c r="A289" s="9">
        <f>VLOOKUP(B289,FVM_update!A:B,2,0)</f>
        <v>7252</v>
      </c>
      <c r="B289" s="10" t="s">
        <v>350</v>
      </c>
      <c r="C289" s="11" t="s">
        <v>172</v>
      </c>
      <c r="D289" s="12" t="str">
        <f>VLOOKUP(B289,FVM_update!A:F,6,0)</f>
        <v>Lecce</v>
      </c>
      <c r="E289" s="13" t="str">
        <f>VLOOKUP(B289,FVM_update!A:E,4,0)</f>
        <v>Pc</v>
      </c>
      <c r="F289" s="11" t="s">
        <v>45</v>
      </c>
      <c r="G289" s="14">
        <v>45839.0</v>
      </c>
      <c r="H289" s="15">
        <f t="shared" si="1"/>
        <v>46204</v>
      </c>
      <c r="I289" s="11" t="s">
        <v>48</v>
      </c>
      <c r="J289" s="16" t="str">
        <f>VLOOKUP(A289,Asteriscati25!B:N,13,0)</f>
        <v>#N/A</v>
      </c>
      <c r="K289" s="17"/>
      <c r="L289" s="18" t="str">
        <f t="shared" si="15"/>
        <v>#REF!</v>
      </c>
      <c r="M289" s="19">
        <f>VLOOKUP(B289,FVM_Asta2526!A:N,14,0)</f>
        <v>31</v>
      </c>
      <c r="N289" s="18">
        <f>VLOOKUP(A289,FVM_update!B:N,13,0)</f>
        <v>15</v>
      </c>
      <c r="O289" s="20" t="str">
        <f>VLOOKUP(B289,'FVM_1luglio-31luglio25'!D:Q,14,0)</f>
        <v>#N/A</v>
      </c>
      <c r="P289" s="20">
        <f t="shared" si="16"/>
        <v>15</v>
      </c>
      <c r="Q289" s="21">
        <f t="shared" si="4"/>
        <v>3.5</v>
      </c>
      <c r="R289" s="21">
        <f t="shared" si="14"/>
        <v>3.5</v>
      </c>
      <c r="S289" s="20"/>
      <c r="T289" s="22"/>
      <c r="U289" s="23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</row>
    <row r="290" ht="22.5" customHeight="1">
      <c r="A290" s="9">
        <f>VLOOKUP(B290,FVM_update!A:B,2,0)</f>
        <v>6024</v>
      </c>
      <c r="B290" s="10" t="s">
        <v>351</v>
      </c>
      <c r="C290" s="11" t="s">
        <v>172</v>
      </c>
      <c r="D290" s="12" t="str">
        <f>VLOOKUP(B290,FVM_update!A:F,6,0)</f>
        <v>Cagliari</v>
      </c>
      <c r="E290" s="13" t="str">
        <f>VLOOKUP(B290,FVM_update!A:E,4,0)</f>
        <v>M;C</v>
      </c>
      <c r="F290" s="11" t="s">
        <v>45</v>
      </c>
      <c r="G290" s="14">
        <v>45839.0</v>
      </c>
      <c r="H290" s="15">
        <f t="shared" si="1"/>
        <v>46204</v>
      </c>
      <c r="I290" s="11" t="s">
        <v>48</v>
      </c>
      <c r="J290" s="16" t="str">
        <f>VLOOKUP(A290,Asteriscati25!B:N,13,0)</f>
        <v>#N/A</v>
      </c>
      <c r="K290" s="17"/>
      <c r="L290" s="18" t="str">
        <f t="shared" si="15"/>
        <v>#REF!</v>
      </c>
      <c r="M290" s="19">
        <f>VLOOKUP(B290,FVM_Asta2526!A:N,14,0)</f>
        <v>11</v>
      </c>
      <c r="N290" s="18">
        <f>VLOOKUP(A290,FVM_update!B:N,13,0)</f>
        <v>11</v>
      </c>
      <c r="O290" s="20">
        <f>VLOOKUP(B290,'FVM_1luglio-31luglio25'!D:Q,14,0)</f>
        <v>7</v>
      </c>
      <c r="P290" s="20">
        <f t="shared" si="16"/>
        <v>11</v>
      </c>
      <c r="Q290" s="21">
        <f t="shared" si="4"/>
        <v>1.5</v>
      </c>
      <c r="R290" s="21">
        <f t="shared" si="14"/>
        <v>1.5</v>
      </c>
      <c r="S290" s="20"/>
      <c r="T290" s="22"/>
      <c r="U290" s="23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</row>
    <row r="291" ht="22.5" customHeight="1">
      <c r="A291" s="9">
        <f>VLOOKUP(B291,FVM_update!A:B,2,0)</f>
        <v>7146</v>
      </c>
      <c r="B291" s="10" t="s">
        <v>190</v>
      </c>
      <c r="C291" s="11" t="s">
        <v>172</v>
      </c>
      <c r="D291" s="12" t="str">
        <f>VLOOKUP(B291,FVM_update!A:F,6,0)</f>
        <v>Pisa</v>
      </c>
      <c r="E291" s="13" t="str">
        <f>VLOOKUP(B291,FVM_update!A:E,4,0)</f>
        <v>E;M</v>
      </c>
      <c r="F291" s="11" t="s">
        <v>45</v>
      </c>
      <c r="G291" s="14">
        <v>45839.0</v>
      </c>
      <c r="H291" s="15">
        <f t="shared" si="1"/>
        <v>46204</v>
      </c>
      <c r="I291" s="11" t="s">
        <v>122</v>
      </c>
      <c r="J291" s="16" t="str">
        <f>VLOOKUP(A291,Asteriscati25!B:N,13,0)</f>
        <v>#N/A</v>
      </c>
      <c r="K291" s="29">
        <v>0.6</v>
      </c>
      <c r="L291" s="18" t="str">
        <f t="shared" si="15"/>
        <v>#REF!</v>
      </c>
      <c r="M291" s="19">
        <f>VLOOKUP(B291,FVM_Asta2526!A:N,14,0)</f>
        <v>26</v>
      </c>
      <c r="N291" s="18">
        <f>VLOOKUP(A291,FVM_update!B:N,13,0)</f>
        <v>29</v>
      </c>
      <c r="O291" s="20" t="str">
        <f>VLOOKUP(B291,'FVM_1luglio-31luglio25'!D:Q,14,0)</f>
        <v>#N/A</v>
      </c>
      <c r="P291" s="20">
        <f t="shared" si="16"/>
        <v>29</v>
      </c>
      <c r="Q291" s="21">
        <f t="shared" si="4"/>
        <v>3</v>
      </c>
      <c r="R291" s="21">
        <f t="shared" si="14"/>
        <v>2</v>
      </c>
      <c r="S291" s="20"/>
      <c r="T291" s="22"/>
      <c r="U291" s="23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</row>
    <row r="292" ht="22.5" customHeight="1">
      <c r="A292" s="9">
        <f>VLOOKUP(B292,FVM_update!A:B,2,0)</f>
        <v>5318</v>
      </c>
      <c r="B292" s="10" t="s">
        <v>352</v>
      </c>
      <c r="C292" s="11" t="s">
        <v>172</v>
      </c>
      <c r="D292" s="12" t="str">
        <f>VLOOKUP(B292,FVM_update!A:F,6,0)</f>
        <v>Pisa</v>
      </c>
      <c r="E292" s="13" t="str">
        <f>VLOOKUP(B292,FVM_update!A:E,4,0)</f>
        <v>W;T</v>
      </c>
      <c r="F292" s="11" t="s">
        <v>45</v>
      </c>
      <c r="G292" s="14">
        <v>45839.0</v>
      </c>
      <c r="H292" s="15">
        <f t="shared" si="1"/>
        <v>46204</v>
      </c>
      <c r="I292" s="11" t="s">
        <v>48</v>
      </c>
      <c r="J292" s="16" t="str">
        <f>VLOOKUP(A292,Asteriscati25!B:N,13,0)</f>
        <v>#N/A</v>
      </c>
      <c r="K292" s="17"/>
      <c r="L292" s="18" t="str">
        <f t="shared" si="15"/>
        <v>#REF!</v>
      </c>
      <c r="M292" s="19">
        <f>VLOOKUP(B292,FVM_Asta2526!A:N,14,0)</f>
        <v>41</v>
      </c>
      <c r="N292" s="18">
        <f>VLOOKUP(A292,FVM_update!B:N,13,0)</f>
        <v>25</v>
      </c>
      <c r="O292" s="20" t="str">
        <f>VLOOKUP(B292,'FVM_1luglio-31luglio25'!D:Q,14,0)</f>
        <v>#N/A</v>
      </c>
      <c r="P292" s="20">
        <f t="shared" si="16"/>
        <v>25</v>
      </c>
      <c r="Q292" s="21">
        <f t="shared" si="4"/>
        <v>4.5</v>
      </c>
      <c r="R292" s="21">
        <f t="shared" si="14"/>
        <v>4.5</v>
      </c>
      <c r="S292" s="20"/>
      <c r="T292" s="22"/>
      <c r="U292" s="23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</row>
    <row r="293" ht="22.5" customHeight="1">
      <c r="A293" s="9">
        <f>VLOOKUP(B293,FVM_update!A:B,2,0)</f>
        <v>7068</v>
      </c>
      <c r="B293" s="10" t="s">
        <v>353</v>
      </c>
      <c r="C293" s="11" t="s">
        <v>172</v>
      </c>
      <c r="D293" s="12" t="str">
        <f>VLOOKUP(B293,FVM_update!A:F,6,0)</f>
        <v>Bologna</v>
      </c>
      <c r="E293" s="13" t="str">
        <f>VLOOKUP(B293,FVM_update!A:E,4,0)</f>
        <v>Dc</v>
      </c>
      <c r="F293" s="11" t="s">
        <v>59</v>
      </c>
      <c r="G293" s="14">
        <v>45839.0</v>
      </c>
      <c r="H293" s="15">
        <f t="shared" si="1"/>
        <v>46935</v>
      </c>
      <c r="I293" s="11" t="s">
        <v>48</v>
      </c>
      <c r="J293" s="16" t="str">
        <f>VLOOKUP(A293,Asteriscati25!B:N,13,0)</f>
        <v>#N/A</v>
      </c>
      <c r="K293" s="17"/>
      <c r="L293" s="18" t="str">
        <f t="shared" si="15"/>
        <v>#REF!</v>
      </c>
      <c r="M293" s="19">
        <f>VLOOKUP(B293,FVM_Asta2526!A:N,14,0)</f>
        <v>18</v>
      </c>
      <c r="N293" s="18">
        <f>VLOOKUP(A293,FVM_update!B:N,13,0)</f>
        <v>13</v>
      </c>
      <c r="O293" s="20" t="str">
        <f>VLOOKUP(B293,'FVM_1luglio-31luglio25'!D:Q,14,0)</f>
        <v>#N/A</v>
      </c>
      <c r="P293" s="20">
        <f t="shared" si="16"/>
        <v>13</v>
      </c>
      <c r="Q293" s="21">
        <f t="shared" si="4"/>
        <v>2.5</v>
      </c>
      <c r="R293" s="21">
        <f t="shared" si="14"/>
        <v>2.5</v>
      </c>
      <c r="S293" s="20"/>
      <c r="T293" s="22"/>
      <c r="U293" s="23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</row>
    <row r="294" ht="22.5" customHeight="1">
      <c r="A294" s="9">
        <f>VLOOKUP(B294,FVM_update!A:B,2,0)</f>
        <v>4433</v>
      </c>
      <c r="B294" s="10" t="s">
        <v>354</v>
      </c>
      <c r="C294" s="11" t="s">
        <v>172</v>
      </c>
      <c r="D294" s="12" t="str">
        <f>VLOOKUP(B294,FVM_update!A:F,6,0)</f>
        <v>Bologna</v>
      </c>
      <c r="E294" s="13" t="str">
        <f>VLOOKUP(B294,FVM_update!A:E,4,0)</f>
        <v>E</v>
      </c>
      <c r="F294" s="11" t="s">
        <v>45</v>
      </c>
      <c r="G294" s="14">
        <v>45839.0</v>
      </c>
      <c r="H294" s="15">
        <f t="shared" si="1"/>
        <v>46204</v>
      </c>
      <c r="I294" s="11" t="s">
        <v>126</v>
      </c>
      <c r="J294" s="16" t="str">
        <f>VLOOKUP(A294,Asteriscati25!B:N,13,0)</f>
        <v>#N/A</v>
      </c>
      <c r="K294" s="67">
        <v>1.0</v>
      </c>
      <c r="L294" s="18" t="str">
        <f t="shared" si="15"/>
        <v>#REF!</v>
      </c>
      <c r="M294" s="19">
        <f>VLOOKUP(B294,FVM_Asta2526!A:N,14,0)</f>
        <v>24</v>
      </c>
      <c r="N294" s="18">
        <f>VLOOKUP(A294,FVM_update!B:N,13,0)</f>
        <v>12</v>
      </c>
      <c r="O294" s="20">
        <f>VLOOKUP(B294,'FVM_1luglio-31luglio25'!D:Q,14,0)</f>
        <v>48</v>
      </c>
      <c r="P294" s="20">
        <f t="shared" si="16"/>
        <v>12</v>
      </c>
      <c r="Q294" s="21">
        <f t="shared" si="4"/>
        <v>2.5</v>
      </c>
      <c r="R294" s="21">
        <f t="shared" si="14"/>
        <v>2.5</v>
      </c>
      <c r="S294" s="20"/>
      <c r="T294" s="17"/>
      <c r="U294" s="10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</row>
    <row r="295" ht="22.5" customHeight="1">
      <c r="A295" s="9">
        <f>VLOOKUP(B295,FVM_update!A:B,2,0)</f>
        <v>6417</v>
      </c>
      <c r="B295" s="30" t="s">
        <v>355</v>
      </c>
      <c r="C295" s="11" t="s">
        <v>172</v>
      </c>
      <c r="D295" s="12" t="str">
        <f>VLOOKUP(B295,FVM_update!A:F,6,0)</f>
        <v>Lazio</v>
      </c>
      <c r="E295" s="13" t="str">
        <f>VLOOKUP(B295,FVM_update!A:E,4,0)</f>
        <v>Por</v>
      </c>
      <c r="F295" s="31" t="s">
        <v>92</v>
      </c>
      <c r="G295" s="32">
        <v>46054.0</v>
      </c>
      <c r="H295" s="15">
        <f t="shared" si="1"/>
        <v>46204</v>
      </c>
      <c r="I295" s="33" t="s">
        <v>93</v>
      </c>
      <c r="J295" s="34" t="str">
        <f>VLOOKUP(A295,Asteriscati25!B:N,13,0)</f>
        <v>#N/A</v>
      </c>
      <c r="K295" s="35"/>
      <c r="L295" s="18" t="str">
        <f t="shared" si="15"/>
        <v>#REF!</v>
      </c>
      <c r="M295" s="19">
        <v>1.0</v>
      </c>
      <c r="N295" s="18">
        <f>VLOOKUP(A295,FVM_update!B:N,13,0)</f>
        <v>1</v>
      </c>
      <c r="O295" s="20">
        <f>VLOOKUP(B295,'FVM_1luglio-31luglio25'!D:Q,14,0)</f>
        <v>1</v>
      </c>
      <c r="P295" s="36">
        <f t="shared" si="16"/>
        <v>1</v>
      </c>
      <c r="Q295" s="21">
        <f t="shared" si="4"/>
        <v>0.5</v>
      </c>
      <c r="R295" s="21">
        <f t="shared" si="14"/>
        <v>0.5</v>
      </c>
      <c r="S295" s="37"/>
      <c r="T295" s="38"/>
      <c r="U295" s="39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</row>
    <row r="296" ht="22.5" customHeight="1">
      <c r="A296" s="9">
        <f>VLOOKUP(B296,FVM_update!A:B,2,0)</f>
        <v>788</v>
      </c>
      <c r="B296" s="10" t="s">
        <v>356</v>
      </c>
      <c r="C296" s="11" t="s">
        <v>172</v>
      </c>
      <c r="D296" s="12" t="str">
        <f>VLOOKUP(B296,FVM_update!A:F,6,0)</f>
        <v>Bologna</v>
      </c>
      <c r="E296" s="13" t="str">
        <f>VLOOKUP(B296,FVM_update!A:E,4,0)</f>
        <v>M;C</v>
      </c>
      <c r="F296" s="11" t="s">
        <v>45</v>
      </c>
      <c r="G296" s="14">
        <v>45839.0</v>
      </c>
      <c r="H296" s="15">
        <f t="shared" si="1"/>
        <v>46204</v>
      </c>
      <c r="I296" s="11" t="s">
        <v>126</v>
      </c>
      <c r="J296" s="16" t="str">
        <f>VLOOKUP(A296,Asteriscati25!B:N,13,0)</f>
        <v>#N/A</v>
      </c>
      <c r="K296" s="29">
        <v>0.4</v>
      </c>
      <c r="L296" s="18" t="str">
        <f t="shared" si="15"/>
        <v>#REF!</v>
      </c>
      <c r="M296" s="19">
        <f>VLOOKUP(B296,FVM_Asta2526!A:N,14,0)</f>
        <v>28</v>
      </c>
      <c r="N296" s="18">
        <f>VLOOKUP(A296,FVM_update!B:N,13,0)</f>
        <v>21</v>
      </c>
      <c r="O296" s="20">
        <f>VLOOKUP(B296,'FVM_1luglio-31luglio25'!D:Q,14,0)</f>
        <v>28</v>
      </c>
      <c r="P296" s="20">
        <f t="shared" si="16"/>
        <v>21</v>
      </c>
      <c r="Q296" s="21">
        <f t="shared" si="4"/>
        <v>3</v>
      </c>
      <c r="R296" s="21">
        <f t="shared" si="14"/>
        <v>1.5</v>
      </c>
      <c r="S296" s="20"/>
      <c r="T296" s="22"/>
      <c r="U296" s="23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</row>
    <row r="297" ht="22.5" customHeight="1">
      <c r="A297" s="9">
        <f>VLOOKUP(B297,FVM_update!A:B,2,0)</f>
        <v>2593</v>
      </c>
      <c r="B297" s="10" t="s">
        <v>262</v>
      </c>
      <c r="C297" s="11" t="s">
        <v>357</v>
      </c>
      <c r="D297" s="12" t="str">
        <f>VLOOKUP(B297,FVM_update!A:F,6,0)</f>
        <v>Genoa</v>
      </c>
      <c r="E297" s="13" t="str">
        <f>VLOOKUP(B297,FVM_update!A:E,4,0)</f>
        <v>Ds;E</v>
      </c>
      <c r="F297" s="11" t="s">
        <v>45</v>
      </c>
      <c r="G297" s="14">
        <v>45839.0</v>
      </c>
      <c r="H297" s="15">
        <f t="shared" si="1"/>
        <v>46204</v>
      </c>
      <c r="I297" s="11" t="s">
        <v>89</v>
      </c>
      <c r="J297" s="16" t="str">
        <f>VLOOKUP(A297,Asteriscati25!B:N,13,0)</f>
        <v>#N/A</v>
      </c>
      <c r="K297" s="29">
        <v>0.4</v>
      </c>
      <c r="L297" s="18" t="str">
        <f t="shared" si="15"/>
        <v>#REF!</v>
      </c>
      <c r="M297" s="19">
        <f>VLOOKUP(B297,FVM_Asta2526!A:N,14,0)</f>
        <v>32</v>
      </c>
      <c r="N297" s="18">
        <f>VLOOKUP(A297,FVM_update!B:N,13,0)</f>
        <v>27</v>
      </c>
      <c r="O297" s="20">
        <f>VLOOKUP(B297,'FVM_1luglio-31luglio25'!D:Q,14,0)</f>
        <v>29</v>
      </c>
      <c r="P297" s="20">
        <f t="shared" si="16"/>
        <v>27</v>
      </c>
      <c r="Q297" s="21">
        <f t="shared" si="4"/>
        <v>3.5</v>
      </c>
      <c r="R297" s="21">
        <f t="shared" si="14"/>
        <v>1.5</v>
      </c>
      <c r="S297" s="20"/>
      <c r="T297" s="22"/>
      <c r="U297" s="23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</row>
    <row r="298" ht="22.5" customHeight="1">
      <c r="A298" s="9">
        <f>VLOOKUP(B298,FVM_update!A:B,2,0)</f>
        <v>1870</v>
      </c>
      <c r="B298" s="10" t="s">
        <v>240</v>
      </c>
      <c r="C298" s="11" t="s">
        <v>357</v>
      </c>
      <c r="D298" s="12" t="str">
        <f>VLOOKUP(B298,FVM_update!A:F,6,0)</f>
        <v>Inter</v>
      </c>
      <c r="E298" s="13" t="str">
        <f>VLOOKUP(B298,FVM_update!A:E,4,0)</f>
        <v>C</v>
      </c>
      <c r="F298" s="11" t="s">
        <v>59</v>
      </c>
      <c r="G298" s="14">
        <v>45839.0</v>
      </c>
      <c r="H298" s="15">
        <f t="shared" si="1"/>
        <v>46935</v>
      </c>
      <c r="I298" s="11" t="s">
        <v>126</v>
      </c>
      <c r="J298" s="16" t="str">
        <f>VLOOKUP(A298,Asteriscati25!B:N,13,0)</f>
        <v>#N/A</v>
      </c>
      <c r="K298" s="29">
        <v>0.4</v>
      </c>
      <c r="L298" s="18" t="str">
        <f t="shared" si="15"/>
        <v>#REF!</v>
      </c>
      <c r="M298" s="19">
        <f>VLOOKUP(B298,FVM_Asta2526!A:N,14,0)</f>
        <v>55</v>
      </c>
      <c r="N298" s="18">
        <f>VLOOKUP(A298,FVM_update!B:N,13,0)</f>
        <v>61</v>
      </c>
      <c r="O298" s="20">
        <f>VLOOKUP(B298,'FVM_1luglio-31luglio25'!D:Q,14,0)</f>
        <v>61</v>
      </c>
      <c r="P298" s="20">
        <f t="shared" si="16"/>
        <v>61</v>
      </c>
      <c r="Q298" s="21">
        <f t="shared" si="4"/>
        <v>6.5</v>
      </c>
      <c r="R298" s="21">
        <f t="shared" si="14"/>
        <v>3</v>
      </c>
      <c r="S298" s="20"/>
      <c r="T298" s="22"/>
      <c r="U298" s="23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</row>
    <row r="299" ht="22.5" customHeight="1">
      <c r="A299" s="9">
        <f>VLOOKUP(B299,FVM_update!A:B,2,0)</f>
        <v>4479</v>
      </c>
      <c r="B299" s="25" t="s">
        <v>253</v>
      </c>
      <c r="C299" s="11" t="s">
        <v>357</v>
      </c>
      <c r="D299" s="12" t="str">
        <f>VLOOKUP(B299,FVM_update!A:F,6,0)</f>
        <v>Napoli</v>
      </c>
      <c r="E299" s="13" t="str">
        <f>VLOOKUP(B299,FVM_update!A:E,4,0)</f>
        <v>W;T</v>
      </c>
      <c r="F299" s="11" t="s">
        <v>141</v>
      </c>
      <c r="G299" s="14">
        <v>45689.0</v>
      </c>
      <c r="H299" s="15">
        <f t="shared" si="1"/>
        <v>46235</v>
      </c>
      <c r="I299" s="11" t="s">
        <v>126</v>
      </c>
      <c r="J299" s="16" t="str">
        <f>VLOOKUP(A299,Asteriscati25!B:N,13,0)</f>
        <v>#N/A</v>
      </c>
      <c r="K299" s="29">
        <v>0.4</v>
      </c>
      <c r="L299" s="18" t="str">
        <f t="shared" si="15"/>
        <v>#REF!</v>
      </c>
      <c r="M299" s="19">
        <f>VLOOKUP(B299,FVM_astainv!A:N,14,0)</f>
        <v>25</v>
      </c>
      <c r="N299" s="18">
        <f>VLOOKUP(A299,FVM_update!B:N,13,0)</f>
        <v>25</v>
      </c>
      <c r="O299" s="20">
        <f>VLOOKUP(B299,'FVM_1luglio-31luglio25'!D:Q,14,0)</f>
        <v>45</v>
      </c>
      <c r="P299" s="20">
        <f t="shared" si="16"/>
        <v>25</v>
      </c>
      <c r="Q299" s="21">
        <f t="shared" si="4"/>
        <v>3</v>
      </c>
      <c r="R299" s="21">
        <f t="shared" si="14"/>
        <v>1.5</v>
      </c>
      <c r="S299" s="20"/>
      <c r="T299" s="17"/>
      <c r="U299" s="10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</row>
    <row r="300" ht="22.5" customHeight="1">
      <c r="A300" s="9">
        <f>VLOOKUP(B300,FVM_update!A:B,2,0)</f>
        <v>5526</v>
      </c>
      <c r="B300" s="25" t="s">
        <v>269</v>
      </c>
      <c r="C300" s="11" t="s">
        <v>357</v>
      </c>
      <c r="D300" s="12" t="str">
        <f>VLOOKUP(B300,FVM_update!A:F,6,0)</f>
        <v>Atalanta</v>
      </c>
      <c r="E300" s="13" t="str">
        <f>VLOOKUP(B300,FVM_update!A:E,4,0)</f>
        <v>Dc</v>
      </c>
      <c r="F300" s="11" t="s">
        <v>45</v>
      </c>
      <c r="G300" s="14">
        <v>45839.0</v>
      </c>
      <c r="H300" s="15">
        <f t="shared" si="1"/>
        <v>46204</v>
      </c>
      <c r="I300" s="11" t="s">
        <v>48</v>
      </c>
      <c r="J300" s="16" t="str">
        <f>VLOOKUP(A300,Asteriscati25!B:N,13,0)</f>
        <v>#N/A</v>
      </c>
      <c r="K300" s="26">
        <v>0.0</v>
      </c>
      <c r="L300" s="18" t="str">
        <f t="shared" si="15"/>
        <v>#REF!</v>
      </c>
      <c r="M300" s="27">
        <v>24.0</v>
      </c>
      <c r="N300" s="18">
        <f>VLOOKUP(A300,FVM_update!B:N,13,0)</f>
        <v>17</v>
      </c>
      <c r="O300" s="20">
        <f>VLOOKUP(B300,'FVM_1luglio-31luglio25'!D:Q,14,0)</f>
        <v>9</v>
      </c>
      <c r="P300" s="20">
        <f t="shared" si="16"/>
        <v>17</v>
      </c>
      <c r="Q300" s="21">
        <f t="shared" si="4"/>
        <v>2.5</v>
      </c>
      <c r="R300" s="21">
        <f t="shared" si="14"/>
        <v>2.5</v>
      </c>
      <c r="S300" s="20"/>
      <c r="T300" s="22"/>
      <c r="U300" s="23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</row>
    <row r="301" ht="22.5" customHeight="1">
      <c r="A301" s="48">
        <f>VLOOKUP(B301,FVM_update!A:B,2,0)</f>
        <v>5672</v>
      </c>
      <c r="B301" s="43" t="s">
        <v>296</v>
      </c>
      <c r="C301" s="116" t="s">
        <v>357</v>
      </c>
      <c r="D301" s="43" t="str">
        <f>VLOOKUP(B301,FVM_update!A:F,6,0)</f>
        <v>Lazio</v>
      </c>
      <c r="E301" s="117" t="str">
        <f>VLOOKUP(B301,FVM_update!A:E,4,0)</f>
        <v>Pc</v>
      </c>
      <c r="F301" s="45" t="s">
        <v>45</v>
      </c>
      <c r="G301" s="15">
        <v>45839.0</v>
      </c>
      <c r="H301" s="15">
        <f t="shared" si="1"/>
        <v>46204</v>
      </c>
      <c r="I301" s="116" t="s">
        <v>89</v>
      </c>
      <c r="J301" s="34" t="str">
        <f>VLOOKUP(A301,Asteriscati25!B:N,13,0)</f>
        <v>#N/A</v>
      </c>
      <c r="K301" s="118">
        <v>1.0</v>
      </c>
      <c r="L301" s="47" t="str">
        <f t="shared" si="15"/>
        <v>#REF!</v>
      </c>
      <c r="M301" s="47">
        <f>VLOOKUP(B301,FVM_Asta2526!A:N,14,0)</f>
        <v>102</v>
      </c>
      <c r="N301" s="47">
        <f>VLOOKUP(A301,FVM_update!B:N,13,0)</f>
        <v>10</v>
      </c>
      <c r="O301" s="48">
        <f>VLOOKUP(B301,'FVM_1luglio-31luglio25'!D:Q,14,0)</f>
        <v>67</v>
      </c>
      <c r="P301" s="48">
        <f t="shared" si="16"/>
        <v>10</v>
      </c>
      <c r="Q301" s="119">
        <f t="shared" si="4"/>
        <v>10.5</v>
      </c>
      <c r="R301" s="119">
        <f t="shared" si="14"/>
        <v>10.5</v>
      </c>
      <c r="S301" s="37"/>
      <c r="T301" s="114" t="s">
        <v>245</v>
      </c>
      <c r="U301" s="115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</row>
    <row r="302" ht="22.5" customHeight="1">
      <c r="A302" s="9">
        <f>VLOOKUP(B302,FVM_update!A:B,2,0)</f>
        <v>2038</v>
      </c>
      <c r="B302" s="41" t="s">
        <v>124</v>
      </c>
      <c r="C302" s="42" t="s">
        <v>357</v>
      </c>
      <c r="D302" s="12" t="str">
        <f>VLOOKUP(B302,FVM_update!A:F,6,0)</f>
        <v>Sassuolo</v>
      </c>
      <c r="E302" s="13" t="str">
        <f>VLOOKUP(B302,FVM_update!A:E,4,0)</f>
        <v>Pc</v>
      </c>
      <c r="F302" s="31" t="s">
        <v>45</v>
      </c>
      <c r="G302" s="32">
        <v>45839.0</v>
      </c>
      <c r="H302" s="15">
        <f t="shared" si="1"/>
        <v>46204</v>
      </c>
      <c r="I302" s="33" t="s">
        <v>89</v>
      </c>
      <c r="J302" s="34" t="str">
        <f>VLOOKUP(A302,Asteriscati25!B:N,13,0)</f>
        <v>#N/A</v>
      </c>
      <c r="K302" s="64">
        <v>0.4</v>
      </c>
      <c r="L302" s="18" t="str">
        <f t="shared" si="15"/>
        <v>#REF!</v>
      </c>
      <c r="M302" s="19">
        <f>VLOOKUP(B302,FVM_Asta2526!A:N,14,0)</f>
        <v>79</v>
      </c>
      <c r="N302" s="18">
        <f>VLOOKUP(A302,FVM_update!B:N,13,0)</f>
        <v>43</v>
      </c>
      <c r="O302" s="20">
        <f>VLOOKUP(B302,'FVM_1luglio-31luglio25'!D:Q,14,0)</f>
        <v>83</v>
      </c>
      <c r="P302" s="36">
        <f t="shared" si="16"/>
        <v>43</v>
      </c>
      <c r="Q302" s="21">
        <f t="shared" si="4"/>
        <v>8</v>
      </c>
      <c r="R302" s="21">
        <f t="shared" si="14"/>
        <v>3.5</v>
      </c>
      <c r="S302" s="37"/>
      <c r="T302" s="38"/>
      <c r="U302" s="39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</row>
    <row r="303" ht="22.5" customHeight="1">
      <c r="A303" s="9">
        <f>VLOOKUP(B303,FVM_update!A:B,2,0)</f>
        <v>252</v>
      </c>
      <c r="B303" s="25" t="s">
        <v>358</v>
      </c>
      <c r="C303" s="11" t="s">
        <v>357</v>
      </c>
      <c r="D303" s="12" t="str">
        <f>VLOOKUP(B303,FVM_update!A:F,6,0)</f>
        <v>Torino</v>
      </c>
      <c r="E303" s="13" t="str">
        <f>VLOOKUP(B303,FVM_update!A:E,4,0)</f>
        <v>Ds;E</v>
      </c>
      <c r="F303" s="17" t="str">
        <f>VLOOKUP(B303,'situazione contratti estate 24'!A:I,9,0)</f>
        <v>Obbligo 1+2</v>
      </c>
      <c r="G303" s="14">
        <v>45108.0</v>
      </c>
      <c r="H303" s="15">
        <f t="shared" si="1"/>
        <v>46204</v>
      </c>
      <c r="I303" s="11" t="s">
        <v>68</v>
      </c>
      <c r="J303" s="16" t="str">
        <f>VLOOKUP(A303,Asteriscati25!B:N,13,0)</f>
        <v>#N/A</v>
      </c>
      <c r="K303" s="26">
        <v>0.0</v>
      </c>
      <c r="L303" s="18" t="str">
        <f t="shared" si="15"/>
        <v>#REF!</v>
      </c>
      <c r="M303" s="19">
        <f>VLOOKUP(B303,FVM_Asta2324!C:M,11,0)</f>
        <v>24</v>
      </c>
      <c r="N303" s="18">
        <f>VLOOKUP(A303,FVM_update!B:N,13,0)</f>
        <v>5</v>
      </c>
      <c r="O303" s="20">
        <f>VLOOKUP(B303,'FVM_1luglio-31luglio25'!D:Q,14,0)</f>
        <v>31</v>
      </c>
      <c r="P303" s="20">
        <f t="shared" si="16"/>
        <v>5</v>
      </c>
      <c r="Q303" s="21">
        <f t="shared" si="4"/>
        <v>3</v>
      </c>
      <c r="R303" s="21">
        <f t="shared" si="14"/>
        <v>1.5</v>
      </c>
      <c r="S303" s="20"/>
      <c r="T303" s="22"/>
      <c r="U303" s="23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</row>
    <row r="304" ht="22.5" customHeight="1">
      <c r="A304" s="9">
        <f>VLOOKUP(B304,FVM_update!A:B,2,0)</f>
        <v>252</v>
      </c>
      <c r="B304" s="25" t="s">
        <v>358</v>
      </c>
      <c r="C304" s="11" t="s">
        <v>357</v>
      </c>
      <c r="D304" s="12" t="str">
        <f>VLOOKUP(B304,FVM_update!A:F,6,0)</f>
        <v>Torino</v>
      </c>
      <c r="E304" s="13" t="str">
        <f>VLOOKUP(B304,FVM_update!A:E,4,0)</f>
        <v>Ds;E</v>
      </c>
      <c r="F304" s="11" t="s">
        <v>45</v>
      </c>
      <c r="G304" s="14">
        <v>45839.0</v>
      </c>
      <c r="H304" s="15">
        <f t="shared" si="1"/>
        <v>46204</v>
      </c>
      <c r="I304" s="11" t="s">
        <v>48</v>
      </c>
      <c r="J304" s="16" t="str">
        <f>VLOOKUP(A304,Asteriscati25!B:N,13,0)</f>
        <v>#N/A</v>
      </c>
      <c r="K304" s="17"/>
      <c r="L304" s="18" t="str">
        <f t="shared" si="15"/>
        <v>#REF!</v>
      </c>
      <c r="M304" s="19">
        <f>VLOOKUP(B304,FVM_Asta2526!A:N,14,0)</f>
        <v>23</v>
      </c>
      <c r="N304" s="18">
        <f>VLOOKUP(A304,FVM_update!B:N,13,0)</f>
        <v>5</v>
      </c>
      <c r="O304" s="20">
        <f>VLOOKUP(B304,'FVM_1luglio-31luglio25'!D:Q,14,0)</f>
        <v>31</v>
      </c>
      <c r="P304" s="20">
        <f t="shared" si="16"/>
        <v>5</v>
      </c>
      <c r="Q304" s="21">
        <f t="shared" si="4"/>
        <v>2.5</v>
      </c>
      <c r="R304" s="21">
        <f t="shared" si="14"/>
        <v>2.5</v>
      </c>
      <c r="S304" s="20"/>
      <c r="T304" s="22"/>
      <c r="U304" s="23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</row>
    <row r="305" ht="22.5" customHeight="1">
      <c r="A305" s="9">
        <f>VLOOKUP(B305,FVM_update!A:B,2,0)</f>
        <v>6669</v>
      </c>
      <c r="B305" s="10" t="s">
        <v>359</v>
      </c>
      <c r="C305" s="11" t="s">
        <v>357</v>
      </c>
      <c r="D305" s="12" t="str">
        <f>VLOOKUP(B305,FVM_update!A:F,6,0)</f>
        <v>Inter</v>
      </c>
      <c r="E305" s="13" t="str">
        <f>VLOOKUP(B305,FVM_update!A:E,4,0)</f>
        <v>Pc</v>
      </c>
      <c r="F305" s="11" t="s">
        <v>59</v>
      </c>
      <c r="G305" s="14">
        <v>45839.0</v>
      </c>
      <c r="H305" s="15">
        <f t="shared" si="1"/>
        <v>46935</v>
      </c>
      <c r="I305" s="11" t="s">
        <v>48</v>
      </c>
      <c r="J305" s="16" t="str">
        <f>VLOOKUP(A305,Asteriscati25!B:N,13,0)</f>
        <v>#N/A</v>
      </c>
      <c r="K305" s="17"/>
      <c r="L305" s="18" t="str">
        <f t="shared" si="15"/>
        <v>#REF!</v>
      </c>
      <c r="M305" s="19">
        <f>VLOOKUP(B305,FVM_Asta2526!A:N,14,0)</f>
        <v>34</v>
      </c>
      <c r="N305" s="18">
        <f>VLOOKUP(A305,FVM_update!B:N,13,0)</f>
        <v>23</v>
      </c>
      <c r="O305" s="20">
        <f>VLOOKUP(B305,'FVM_1luglio-31luglio25'!D:Q,14,0)</f>
        <v>39</v>
      </c>
      <c r="P305" s="20">
        <f t="shared" si="16"/>
        <v>23</v>
      </c>
      <c r="Q305" s="21">
        <f t="shared" si="4"/>
        <v>4</v>
      </c>
      <c r="R305" s="21">
        <f t="shared" si="14"/>
        <v>4</v>
      </c>
      <c r="S305" s="20"/>
      <c r="T305" s="22"/>
      <c r="U305" s="23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</row>
    <row r="306" ht="22.5" customHeight="1">
      <c r="A306" s="9">
        <f>VLOOKUP(B306,FVM_update!A:B,2,0)</f>
        <v>7171</v>
      </c>
      <c r="B306" s="25" t="s">
        <v>360</v>
      </c>
      <c r="C306" s="11" t="s">
        <v>357</v>
      </c>
      <c r="D306" s="12" t="str">
        <f>VLOOKUP(B306,FVM_update!A:F,6,0)</f>
        <v>Pisa</v>
      </c>
      <c r="E306" s="13" t="str">
        <f>VLOOKUP(B306,FVM_update!A:E,4,0)</f>
        <v>A</v>
      </c>
      <c r="F306" s="11" t="s">
        <v>43</v>
      </c>
      <c r="G306" s="14">
        <v>45839.0</v>
      </c>
      <c r="H306" s="15">
        <f t="shared" si="1"/>
        <v>401768</v>
      </c>
      <c r="I306" s="11" t="s">
        <v>43</v>
      </c>
      <c r="J306" s="16" t="str">
        <f>VLOOKUP(A306,Asteriscati25!B:N,13,0)</f>
        <v>#N/A</v>
      </c>
      <c r="K306" s="17"/>
      <c r="L306" s="18" t="str">
        <f t="shared" si="15"/>
        <v>#REF!</v>
      </c>
      <c r="M306" s="19">
        <f>VLOOKUP(B306,FVM_Asta2526!A:N,14,0)</f>
        <v>1</v>
      </c>
      <c r="N306" s="18">
        <f>VLOOKUP(A306,FVM_update!B:N,13,0)</f>
        <v>1</v>
      </c>
      <c r="O306" s="20" t="str">
        <f>VLOOKUP(B306,'FVM_1luglio-31luglio25'!D:Q,14,0)</f>
        <v>#N/A</v>
      </c>
      <c r="P306" s="20">
        <f t="shared" si="16"/>
        <v>1</v>
      </c>
      <c r="Q306" s="21">
        <f t="shared" si="4"/>
        <v>0.5</v>
      </c>
      <c r="R306" s="21">
        <f t="shared" si="14"/>
        <v>0.5</v>
      </c>
      <c r="S306" s="20"/>
      <c r="T306" s="22"/>
      <c r="U306" s="23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</row>
    <row r="307" ht="22.5" customHeight="1">
      <c r="A307" s="9">
        <f>VLOOKUP(B307,FVM_update!A:B,2,0)</f>
        <v>6226</v>
      </c>
      <c r="B307" s="25" t="s">
        <v>361</v>
      </c>
      <c r="C307" s="11" t="s">
        <v>357</v>
      </c>
      <c r="D307" s="12" t="str">
        <f>VLOOKUP(B307,FVM_update!A:F,6,0)</f>
        <v>Lazio</v>
      </c>
      <c r="E307" s="13" t="str">
        <f>VLOOKUP(B307,FVM_update!A:E,4,0)</f>
        <v>Pc</v>
      </c>
      <c r="F307" s="11" t="s">
        <v>55</v>
      </c>
      <c r="G307" s="14">
        <v>45474.0</v>
      </c>
      <c r="H307" s="15">
        <f t="shared" si="1"/>
        <v>46204</v>
      </c>
      <c r="I307" s="11" t="s">
        <v>46</v>
      </c>
      <c r="J307" s="16" t="str">
        <f>VLOOKUP(A307,Asteriscati25!B:N,13,0)</f>
        <v>#N/A</v>
      </c>
      <c r="K307" s="26">
        <v>0.0</v>
      </c>
      <c r="L307" s="18" t="str">
        <f t="shared" si="15"/>
        <v>#REF!</v>
      </c>
      <c r="M307" s="19">
        <f>VLOOKUP(B307,FVM_Asta2425!A:M,13,0)</f>
        <v>110</v>
      </c>
      <c r="N307" s="18">
        <f>VLOOKUP(A307,FVM_update!B:N,13,0)</f>
        <v>65</v>
      </c>
      <c r="O307" s="20">
        <f>VLOOKUP(B307,'FVM_1luglio-31luglio25'!D:Q,14,0)</f>
        <v>139</v>
      </c>
      <c r="P307" s="20">
        <f t="shared" si="16"/>
        <v>65</v>
      </c>
      <c r="Q307" s="21">
        <f t="shared" si="4"/>
        <v>14.5</v>
      </c>
      <c r="R307" s="21">
        <f t="shared" si="14"/>
        <v>7.5</v>
      </c>
      <c r="S307" s="20"/>
      <c r="T307" s="22"/>
      <c r="U307" s="23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</row>
    <row r="308" ht="22.5" customHeight="1">
      <c r="A308" s="9">
        <f>VLOOKUP(B308,FVM_update!A:B,2,0)</f>
        <v>4657</v>
      </c>
      <c r="B308" s="10" t="s">
        <v>362</v>
      </c>
      <c r="C308" s="11" t="s">
        <v>357</v>
      </c>
      <c r="D308" s="12" t="str">
        <f>VLOOKUP(B308,FVM_update!A:F,6,0)</f>
        <v>Roma</v>
      </c>
      <c r="E308" s="13" t="str">
        <f>VLOOKUP(B308,FVM_update!A:E,4,0)</f>
        <v>B;Dd;E</v>
      </c>
      <c r="F308" s="11" t="s">
        <v>45</v>
      </c>
      <c r="G308" s="14">
        <v>45839.0</v>
      </c>
      <c r="H308" s="15">
        <f t="shared" si="1"/>
        <v>46204</v>
      </c>
      <c r="I308" s="11" t="s">
        <v>48</v>
      </c>
      <c r="J308" s="16" t="str">
        <f>VLOOKUP(A308,Asteriscati25!B:N,13,0)</f>
        <v>#N/A</v>
      </c>
      <c r="K308" s="17"/>
      <c r="L308" s="18" t="str">
        <f t="shared" si="15"/>
        <v>#REF!</v>
      </c>
      <c r="M308" s="19">
        <f>VLOOKUP(B308,FVM_Asta2526!A:N,14,0)</f>
        <v>16</v>
      </c>
      <c r="N308" s="18">
        <f>VLOOKUP(A308,FVM_update!B:N,13,0)</f>
        <v>17</v>
      </c>
      <c r="O308" s="20">
        <f>VLOOKUP(B308,'FVM_1luglio-31luglio25'!D:Q,14,0)</f>
        <v>13</v>
      </c>
      <c r="P308" s="20">
        <f t="shared" si="16"/>
        <v>17</v>
      </c>
      <c r="Q308" s="21">
        <f t="shared" si="4"/>
        <v>2</v>
      </c>
      <c r="R308" s="21">
        <f t="shared" si="14"/>
        <v>2</v>
      </c>
      <c r="S308" s="20"/>
      <c r="T308" s="22"/>
      <c r="U308" s="23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</row>
    <row r="309" ht="22.5" customHeight="1">
      <c r="A309" s="9">
        <f>VLOOKUP(B309,FVM_update!A:B,2,0)</f>
        <v>7132</v>
      </c>
      <c r="B309" s="10" t="s">
        <v>363</v>
      </c>
      <c r="C309" s="11" t="s">
        <v>357</v>
      </c>
      <c r="D309" s="12" t="str">
        <f>VLOOKUP(B309,FVM_update!A:F,6,0)</f>
        <v>Cremonese</v>
      </c>
      <c r="E309" s="13" t="str">
        <f>VLOOKUP(B309,FVM_update!A:E,4,0)</f>
        <v>M;C</v>
      </c>
      <c r="F309" s="11" t="s">
        <v>45</v>
      </c>
      <c r="G309" s="14">
        <v>45839.0</v>
      </c>
      <c r="H309" s="15">
        <f t="shared" si="1"/>
        <v>46204</v>
      </c>
      <c r="I309" s="11" t="s">
        <v>48</v>
      </c>
      <c r="J309" s="16" t="str">
        <f>VLOOKUP(A309,Asteriscati25!B:N,13,0)</f>
        <v>#N/A</v>
      </c>
      <c r="K309" s="17"/>
      <c r="L309" s="18" t="str">
        <f t="shared" si="15"/>
        <v>#REF!</v>
      </c>
      <c r="M309" s="19">
        <f>VLOOKUP(B309,FVM_Asta2526!A:N,14,0)</f>
        <v>28</v>
      </c>
      <c r="N309" s="18">
        <f>VLOOKUP(A309,FVM_update!B:N,13,0)</f>
        <v>16</v>
      </c>
      <c r="O309" s="20" t="str">
        <f>VLOOKUP(B309,'FVM_1luglio-31luglio25'!D:Q,14,0)</f>
        <v>#N/A</v>
      </c>
      <c r="P309" s="20">
        <f t="shared" si="16"/>
        <v>16</v>
      </c>
      <c r="Q309" s="21">
        <f t="shared" si="4"/>
        <v>3</v>
      </c>
      <c r="R309" s="21">
        <f t="shared" si="14"/>
        <v>3</v>
      </c>
      <c r="S309" s="20"/>
      <c r="T309" s="22"/>
      <c r="U309" s="23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</row>
    <row r="310" ht="22.5" customHeight="1">
      <c r="A310" s="9">
        <f>VLOOKUP(B310,FVM_update!A:B,2,0)</f>
        <v>254</v>
      </c>
      <c r="B310" s="25" t="s">
        <v>284</v>
      </c>
      <c r="C310" s="11" t="s">
        <v>357</v>
      </c>
      <c r="D310" s="12" t="str">
        <f>VLOOKUP(B310,FVM_update!A:F,6,0)</f>
        <v>Inter</v>
      </c>
      <c r="E310" s="13" t="str">
        <f>VLOOKUP(B310,FVM_update!A:E,4,0)</f>
        <v>E</v>
      </c>
      <c r="F310" s="17" t="str">
        <f>VLOOKUP(B310,'situazione contratti estate 24'!A:I,9,0)</f>
        <v>Obbligo 1+2</v>
      </c>
      <c r="G310" s="14">
        <v>45108.0</v>
      </c>
      <c r="H310" s="15">
        <f t="shared" si="1"/>
        <v>46204</v>
      </c>
      <c r="I310" s="11" t="s">
        <v>122</v>
      </c>
      <c r="J310" s="16" t="str">
        <f>VLOOKUP(A310,Asteriscati25!B:N,13,0)</f>
        <v>#N/A</v>
      </c>
      <c r="K310" s="26">
        <v>0.6</v>
      </c>
      <c r="L310" s="18" t="str">
        <f t="shared" si="15"/>
        <v>#REF!</v>
      </c>
      <c r="M310" s="19">
        <f>VLOOKUP(B310,FVM_Asta2324!C:M,11,0)</f>
        <v>72</v>
      </c>
      <c r="N310" s="18">
        <f>VLOOKUP(A310,FVM_update!B:N,13,0)</f>
        <v>170</v>
      </c>
      <c r="O310" s="20">
        <f>VLOOKUP(B310,'FVM_1luglio-31luglio25'!D:Q,14,0)</f>
        <v>91</v>
      </c>
      <c r="P310" s="20">
        <f t="shared" si="16"/>
        <v>170</v>
      </c>
      <c r="Q310" s="21">
        <f t="shared" si="4"/>
        <v>8.5</v>
      </c>
      <c r="R310" s="21">
        <f t="shared" si="14"/>
        <v>5.5</v>
      </c>
      <c r="S310" s="20"/>
      <c r="T310" s="22"/>
      <c r="U310" s="23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</row>
    <row r="311" ht="22.5" customHeight="1">
      <c r="A311" s="9">
        <f>VLOOKUP(B311,FVM_update!A:B,2,0)</f>
        <v>795</v>
      </c>
      <c r="B311" s="10" t="s">
        <v>364</v>
      </c>
      <c r="C311" s="11" t="s">
        <v>357</v>
      </c>
      <c r="D311" s="12" t="str">
        <f>VLOOKUP(B311,FVM_update!A:F,6,0)</f>
        <v>Roma</v>
      </c>
      <c r="E311" s="13" t="str">
        <f>VLOOKUP(B311,FVM_update!A:E,4,0)</f>
        <v>W</v>
      </c>
      <c r="F311" s="11" t="s">
        <v>45</v>
      </c>
      <c r="G311" s="14">
        <v>45839.0</v>
      </c>
      <c r="H311" s="15">
        <f t="shared" si="1"/>
        <v>46204</v>
      </c>
      <c r="I311" s="11" t="s">
        <v>48</v>
      </c>
      <c r="J311" s="16" t="str">
        <f>VLOOKUP(A311,Asteriscati25!B:N,13,0)</f>
        <v>#N/A</v>
      </c>
      <c r="K311" s="17"/>
      <c r="L311" s="18" t="str">
        <f t="shared" si="15"/>
        <v>#REF!</v>
      </c>
      <c r="M311" s="19">
        <f>VLOOKUP(B311,FVM_Asta2526!A:N,14,0)</f>
        <v>17</v>
      </c>
      <c r="N311" s="18">
        <f>VLOOKUP(A311,FVM_update!B:N,13,0)</f>
        <v>12</v>
      </c>
      <c r="O311" s="20">
        <f>VLOOKUP(B311,'FVM_1luglio-31luglio25'!D:Q,14,0)</f>
        <v>16</v>
      </c>
      <c r="P311" s="20">
        <f t="shared" si="16"/>
        <v>12</v>
      </c>
      <c r="Q311" s="21">
        <f t="shared" si="4"/>
        <v>2</v>
      </c>
      <c r="R311" s="21">
        <f t="shared" si="14"/>
        <v>2</v>
      </c>
      <c r="S311" s="20"/>
      <c r="T311" s="22"/>
      <c r="U311" s="23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</row>
    <row r="312" ht="22.5" customHeight="1">
      <c r="A312" s="9">
        <f>VLOOKUP(B312,FVM_update!A:B,2,0)</f>
        <v>6020</v>
      </c>
      <c r="B312" s="10" t="s">
        <v>365</v>
      </c>
      <c r="C312" s="11" t="s">
        <v>357</v>
      </c>
      <c r="D312" s="12" t="str">
        <f>VLOOKUP(B312,FVM_update!A:F,6,0)</f>
        <v>Genoa</v>
      </c>
      <c r="E312" s="13" t="str">
        <f>VLOOKUP(B312,FVM_update!A:E,4,0)</f>
        <v>C;W</v>
      </c>
      <c r="F312" s="11" t="s">
        <v>45</v>
      </c>
      <c r="G312" s="14">
        <v>45839.0</v>
      </c>
      <c r="H312" s="15">
        <f t="shared" si="1"/>
        <v>46204</v>
      </c>
      <c r="I312" s="11" t="s">
        <v>46</v>
      </c>
      <c r="J312" s="16" t="str">
        <f>VLOOKUP(A312,Asteriscati25!B:N,13,0)</f>
        <v>#N/A</v>
      </c>
      <c r="K312" s="17"/>
      <c r="L312" s="18" t="str">
        <f t="shared" si="15"/>
        <v>#REF!</v>
      </c>
      <c r="M312" s="19">
        <f>VLOOKUP(B312,FVM_Asta2526!A:N,14,0)</f>
        <v>13</v>
      </c>
      <c r="N312" s="18">
        <f>VLOOKUP(A312,FVM_update!B:N,13,0)</f>
        <v>16</v>
      </c>
      <c r="O312" s="20">
        <f>VLOOKUP(B312,'FVM_1luglio-31luglio25'!D:Q,14,0)</f>
        <v>15</v>
      </c>
      <c r="P312" s="20">
        <f t="shared" si="16"/>
        <v>16</v>
      </c>
      <c r="Q312" s="21">
        <f t="shared" si="4"/>
        <v>1.5</v>
      </c>
      <c r="R312" s="21">
        <f t="shared" si="14"/>
        <v>1</v>
      </c>
      <c r="S312" s="20"/>
      <c r="T312" s="22"/>
      <c r="U312" s="23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</row>
    <row r="313" ht="22.5" customHeight="1">
      <c r="A313" s="9">
        <f>VLOOKUP(B313,FVM_update!A:B,2,0)</f>
        <v>6010</v>
      </c>
      <c r="B313" s="25" t="s">
        <v>285</v>
      </c>
      <c r="C313" s="11" t="s">
        <v>357</v>
      </c>
      <c r="D313" s="12" t="str">
        <f>VLOOKUP(B313,FVM_update!A:F,6,0)</f>
        <v>Fiorentina</v>
      </c>
      <c r="E313" s="13" t="str">
        <f>VLOOKUP(B313,FVM_update!A:E,4,0)</f>
        <v>C;T</v>
      </c>
      <c r="F313" s="11" t="s">
        <v>55</v>
      </c>
      <c r="G313" s="14">
        <v>45474.0</v>
      </c>
      <c r="H313" s="15">
        <f t="shared" si="1"/>
        <v>46204</v>
      </c>
      <c r="I313" s="11" t="s">
        <v>122</v>
      </c>
      <c r="J313" s="16" t="str">
        <f>VLOOKUP(A313,Asteriscati25!B:N,13,0)</f>
        <v>#N/A</v>
      </c>
      <c r="K313" s="26">
        <v>0.6</v>
      </c>
      <c r="L313" s="18" t="str">
        <f t="shared" si="15"/>
        <v>#REF!</v>
      </c>
      <c r="M313" s="19">
        <f>VLOOKUP(B313,FVM_Asta2425!A:M,13,0)</f>
        <v>19</v>
      </c>
      <c r="N313" s="18">
        <f>VLOOKUP(A313,FVM_update!B:N,13,0)</f>
        <v>8</v>
      </c>
      <c r="O313" s="20">
        <f>VLOOKUP(B313,'FVM_1luglio-31luglio25'!D:Q,14,0)</f>
        <v>36</v>
      </c>
      <c r="P313" s="20">
        <f t="shared" si="16"/>
        <v>8</v>
      </c>
      <c r="Q313" s="21">
        <f t="shared" si="4"/>
        <v>2.5</v>
      </c>
      <c r="R313" s="21">
        <f t="shared" si="14"/>
        <v>1.5</v>
      </c>
      <c r="S313" s="20"/>
      <c r="T313" s="22"/>
      <c r="U313" s="23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</row>
    <row r="314" ht="22.5" customHeight="1">
      <c r="A314" s="9">
        <f>VLOOKUP(B314,FVM_update!A:B,2,0)</f>
        <v>6252</v>
      </c>
      <c r="B314" s="25" t="s">
        <v>366</v>
      </c>
      <c r="C314" s="11" t="s">
        <v>357</v>
      </c>
      <c r="D314" s="12" t="str">
        <f>VLOOKUP(B314,FVM_update!A:F,6,0)</f>
        <v>Cagliari</v>
      </c>
      <c r="E314" s="13" t="str">
        <f>VLOOKUP(B314,FVM_update!A:E,4,0)</f>
        <v>C;T</v>
      </c>
      <c r="F314" s="17" t="str">
        <f>VLOOKUP(B314,'situazione contratti estate 24'!A:I,9,0)</f>
        <v>Obbligo 1+2</v>
      </c>
      <c r="G314" s="14">
        <v>45108.0</v>
      </c>
      <c r="H314" s="15">
        <f t="shared" si="1"/>
        <v>46204</v>
      </c>
      <c r="I314" s="11" t="s">
        <v>48</v>
      </c>
      <c r="J314" s="16" t="str">
        <f>VLOOKUP(A314,Asteriscati25!B:N,13,0)</f>
        <v>#N/A</v>
      </c>
      <c r="K314" s="26">
        <v>0.0</v>
      </c>
      <c r="L314" s="18" t="str">
        <f t="shared" si="15"/>
        <v>#REF!</v>
      </c>
      <c r="M314" s="19">
        <f>VLOOKUP(B314,FVM_Asta2324!C:M,11,0)</f>
        <v>12</v>
      </c>
      <c r="N314" s="18">
        <f>VLOOKUP(A314,FVM_update!B:N,13,0)</f>
        <v>14</v>
      </c>
      <c r="O314" s="20">
        <f>VLOOKUP(B314,'FVM_1luglio-31luglio25'!D:Q,14,0)</f>
        <v>14</v>
      </c>
      <c r="P314" s="20">
        <f t="shared" si="16"/>
        <v>14</v>
      </c>
      <c r="Q314" s="21">
        <f t="shared" si="4"/>
        <v>1.5</v>
      </c>
      <c r="R314" s="21">
        <f t="shared" si="14"/>
        <v>1.5</v>
      </c>
      <c r="S314" s="20"/>
      <c r="T314" s="22"/>
      <c r="U314" s="23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</row>
    <row r="315" ht="22.5" customHeight="1">
      <c r="A315" s="9">
        <f>VLOOKUP(B315,FVM_update!A:B,2,0)</f>
        <v>5831</v>
      </c>
      <c r="B315" s="10" t="s">
        <v>367</v>
      </c>
      <c r="C315" s="11" t="s">
        <v>357</v>
      </c>
      <c r="D315" s="12" t="str">
        <f>VLOOKUP(B315,FVM_update!A:F,6,0)</f>
        <v>Juventus</v>
      </c>
      <c r="E315" s="13" t="str">
        <f>VLOOKUP(B315,FVM_update!A:E,4,0)</f>
        <v>Dc</v>
      </c>
      <c r="F315" s="11" t="s">
        <v>45</v>
      </c>
      <c r="G315" s="14">
        <v>45839.0</v>
      </c>
      <c r="H315" s="15">
        <f t="shared" si="1"/>
        <v>46204</v>
      </c>
      <c r="I315" s="11" t="s">
        <v>48</v>
      </c>
      <c r="J315" s="16" t="str">
        <f>VLOOKUP(A315,Asteriscati25!B:N,13,0)</f>
        <v>#N/A</v>
      </c>
      <c r="K315" s="17"/>
      <c r="L315" s="18" t="str">
        <f t="shared" si="15"/>
        <v>#REF!</v>
      </c>
      <c r="M315" s="19">
        <f>VLOOKUP(B315,FVM_Asta2526!A:N,14,0)</f>
        <v>13</v>
      </c>
      <c r="N315" s="18">
        <f>VLOOKUP(A315,FVM_update!B:N,13,0)</f>
        <v>8</v>
      </c>
      <c r="O315" s="20">
        <f>VLOOKUP(B315,'FVM_1luglio-31luglio25'!D:Q,14,0)</f>
        <v>15</v>
      </c>
      <c r="P315" s="20">
        <f t="shared" si="16"/>
        <v>8</v>
      </c>
      <c r="Q315" s="21">
        <f t="shared" si="4"/>
        <v>1.5</v>
      </c>
      <c r="R315" s="21">
        <f t="shared" si="14"/>
        <v>1.5</v>
      </c>
      <c r="S315" s="20"/>
      <c r="T315" s="22"/>
      <c r="U315" s="23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</row>
    <row r="316" ht="22.5" customHeight="1">
      <c r="A316" s="9">
        <f>VLOOKUP(B316,FVM_update!A:B,2,0)</f>
        <v>6631</v>
      </c>
      <c r="B316" s="25" t="s">
        <v>368</v>
      </c>
      <c r="C316" s="11" t="s">
        <v>357</v>
      </c>
      <c r="D316" s="12" t="str">
        <f>VLOOKUP(B316,FVM_update!A:F,6,0)</f>
        <v>Roma</v>
      </c>
      <c r="E316" s="13" t="str">
        <f>VLOOKUP(B316,FVM_update!A:E,4,0)</f>
        <v>Dc</v>
      </c>
      <c r="F316" s="11" t="s">
        <v>45</v>
      </c>
      <c r="G316" s="14">
        <v>45839.0</v>
      </c>
      <c r="H316" s="15">
        <f t="shared" si="1"/>
        <v>46204</v>
      </c>
      <c r="I316" s="11" t="s">
        <v>51</v>
      </c>
      <c r="J316" s="16" t="str">
        <f>VLOOKUP(A316,Asteriscati25!B:N,13,0)</f>
        <v>#N/A</v>
      </c>
      <c r="K316" s="26">
        <v>0.0</v>
      </c>
      <c r="L316" s="18" t="str">
        <f t="shared" si="15"/>
        <v>#REF!</v>
      </c>
      <c r="M316" s="27">
        <f>VLOOKUP(B316,FVM_Asta2526!A:N,14,0)</f>
        <v>11</v>
      </c>
      <c r="N316" s="18">
        <f>VLOOKUP(A316,FVM_update!B:N,13,0)</f>
        <v>12</v>
      </c>
      <c r="O316" s="20">
        <f>VLOOKUP(B316,'FVM_1luglio-31luglio25'!D:Q,14,0)</f>
        <v>5</v>
      </c>
      <c r="P316" s="20">
        <f t="shared" si="16"/>
        <v>12</v>
      </c>
      <c r="Q316" s="21">
        <f t="shared" si="4"/>
        <v>1.5</v>
      </c>
      <c r="R316" s="21">
        <f t="shared" si="14"/>
        <v>1.5</v>
      </c>
      <c r="S316" s="20"/>
      <c r="T316" s="22"/>
      <c r="U316" s="23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</row>
    <row r="317" ht="22.5" customHeight="1">
      <c r="A317" s="9">
        <f>VLOOKUP(B317,FVM_update!A:B,2,0)</f>
        <v>7008</v>
      </c>
      <c r="B317" s="25" t="s">
        <v>325</v>
      </c>
      <c r="C317" s="11" t="s">
        <v>357</v>
      </c>
      <c r="D317" s="12" t="str">
        <f>VLOOKUP(B317,FVM_update!A:F,6,0)</f>
        <v>Milan</v>
      </c>
      <c r="E317" s="13" t="str">
        <f>VLOOKUP(B317,FVM_update!A:E,4,0)</f>
        <v>Pc</v>
      </c>
      <c r="F317" s="11" t="s">
        <v>74</v>
      </c>
      <c r="G317" s="14">
        <v>45689.0</v>
      </c>
      <c r="H317" s="15">
        <f t="shared" si="1"/>
        <v>46600</v>
      </c>
      <c r="I317" s="11" t="s">
        <v>71</v>
      </c>
      <c r="J317" s="16" t="str">
        <f>VLOOKUP(A317,Asteriscati25!B:N,13,0)</f>
        <v>#N/A</v>
      </c>
      <c r="K317" s="26">
        <v>0.0</v>
      </c>
      <c r="L317" s="18" t="str">
        <f t="shared" si="15"/>
        <v>#REF!</v>
      </c>
      <c r="M317" s="19">
        <v>320.0</v>
      </c>
      <c r="N317" s="18">
        <f>VLOOKUP(A317,FVM_update!B:N,13,0)</f>
        <v>10</v>
      </c>
      <c r="O317" s="20">
        <f>VLOOKUP(B317,'FVM_1luglio-31luglio25'!D:Q,14,0)</f>
        <v>215</v>
      </c>
      <c r="P317" s="20">
        <f t="shared" si="16"/>
        <v>10</v>
      </c>
      <c r="Q317" s="21">
        <f t="shared" si="4"/>
        <v>37</v>
      </c>
      <c r="R317" s="21">
        <f t="shared" si="14"/>
        <v>0</v>
      </c>
      <c r="S317" s="20"/>
      <c r="T317" s="17"/>
      <c r="U317" s="10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</row>
    <row r="318" ht="22.5" customHeight="1">
      <c r="A318" s="9">
        <f>VLOOKUP(B318,FVM_update!A:B,2,0)</f>
        <v>5872</v>
      </c>
      <c r="B318" s="10" t="s">
        <v>369</v>
      </c>
      <c r="C318" s="11" t="s">
        <v>357</v>
      </c>
      <c r="D318" s="12" t="str">
        <f>VLOOKUP(B318,FVM_update!A:F,6,0)</f>
        <v>Lecce</v>
      </c>
      <c r="E318" s="13" t="str">
        <f>VLOOKUP(B318,FVM_update!A:E,4,0)</f>
        <v>C;T</v>
      </c>
      <c r="F318" s="11" t="s">
        <v>45</v>
      </c>
      <c r="G318" s="14">
        <v>45839.0</v>
      </c>
      <c r="H318" s="15">
        <f t="shared" si="1"/>
        <v>46204</v>
      </c>
      <c r="I318" s="11" t="s">
        <v>46</v>
      </c>
      <c r="J318" s="16" t="str">
        <f>VLOOKUP(A318,Asteriscati25!B:N,13,0)</f>
        <v>#N/A</v>
      </c>
      <c r="K318" s="17"/>
      <c r="L318" s="18" t="str">
        <f t="shared" si="15"/>
        <v>#REF!</v>
      </c>
      <c r="M318" s="19">
        <f>VLOOKUP(B318,FVM_Asta2526!A:N,14,0)</f>
        <v>15</v>
      </c>
      <c r="N318" s="18">
        <f>VLOOKUP(A318,FVM_update!B:N,13,0)</f>
        <v>7</v>
      </c>
      <c r="O318" s="20" t="str">
        <f>VLOOKUP(B318,'FVM_1luglio-31luglio25'!D:Q,14,0)</f>
        <v>#N/A</v>
      </c>
      <c r="P318" s="20">
        <f t="shared" si="16"/>
        <v>7</v>
      </c>
      <c r="Q318" s="21">
        <f t="shared" si="4"/>
        <v>1.5</v>
      </c>
      <c r="R318" s="21">
        <f t="shared" si="14"/>
        <v>1</v>
      </c>
      <c r="S318" s="20"/>
      <c r="T318" s="22"/>
      <c r="U318" s="23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</row>
    <row r="319" ht="22.5" customHeight="1">
      <c r="A319" s="9">
        <f>VLOOKUP(B319,FVM_update!A:B,2,0)</f>
        <v>6398</v>
      </c>
      <c r="B319" s="10" t="s">
        <v>370</v>
      </c>
      <c r="C319" s="11" t="s">
        <v>357</v>
      </c>
      <c r="D319" s="12" t="str">
        <f>VLOOKUP(B319,FVM_update!A:F,6,0)</f>
        <v>Lazio</v>
      </c>
      <c r="E319" s="13" t="str">
        <f>VLOOKUP(B319,FVM_update!A:E,4,0)</f>
        <v>W;A</v>
      </c>
      <c r="F319" s="11" t="s">
        <v>45</v>
      </c>
      <c r="G319" s="14">
        <v>45839.0</v>
      </c>
      <c r="H319" s="15">
        <f t="shared" si="1"/>
        <v>46204</v>
      </c>
      <c r="I319" s="11" t="s">
        <v>48</v>
      </c>
      <c r="J319" s="16" t="str">
        <f>VLOOKUP(A319,Asteriscati25!B:N,13,0)</f>
        <v>#N/A</v>
      </c>
      <c r="K319" s="17"/>
      <c r="L319" s="18" t="str">
        <f t="shared" si="15"/>
        <v>#REF!</v>
      </c>
      <c r="M319" s="19">
        <f>VLOOKUP(B319,FVM_Asta2526!A:N,14,0)</f>
        <v>38</v>
      </c>
      <c r="N319" s="18">
        <f>VLOOKUP(A319,FVM_update!B:N,13,0)</f>
        <v>33</v>
      </c>
      <c r="O319" s="20">
        <f>VLOOKUP(B319,'FVM_1luglio-31luglio25'!D:Q,14,0)</f>
        <v>28</v>
      </c>
      <c r="P319" s="20">
        <f t="shared" si="16"/>
        <v>33</v>
      </c>
      <c r="Q319" s="21">
        <f t="shared" si="4"/>
        <v>4</v>
      </c>
      <c r="R319" s="21">
        <f t="shared" si="14"/>
        <v>4</v>
      </c>
      <c r="S319" s="20"/>
      <c r="T319" s="22"/>
      <c r="U319" s="23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</row>
    <row r="320" ht="22.5" customHeight="1">
      <c r="A320" s="9">
        <f>VLOOKUP(B320,FVM_update!A:B,2,0)</f>
        <v>6485</v>
      </c>
      <c r="B320" s="87" t="s">
        <v>371</v>
      </c>
      <c r="C320" s="88" t="s">
        <v>357</v>
      </c>
      <c r="D320" s="12" t="str">
        <f>VLOOKUP(B320,FVM_update!A:F,6,0)</f>
        <v>Udinese</v>
      </c>
      <c r="E320" s="13" t="str">
        <f>VLOOKUP(B320,FVM_update!A:E,4,0)</f>
        <v>Dd;Dc</v>
      </c>
      <c r="F320" s="11" t="s">
        <v>59</v>
      </c>
      <c r="G320" s="14">
        <v>45839.0</v>
      </c>
      <c r="H320" s="15">
        <f t="shared" si="1"/>
        <v>46935</v>
      </c>
      <c r="I320" s="11" t="s">
        <v>48</v>
      </c>
      <c r="J320" s="92" t="str">
        <f>VLOOKUP(A320,Asteriscati25!B:N,13,0)</f>
        <v>#N/A</v>
      </c>
      <c r="K320" s="93"/>
      <c r="L320" s="18" t="str">
        <f t="shared" si="15"/>
        <v>#REF!</v>
      </c>
      <c r="M320" s="19">
        <f>VLOOKUP(B320,FVM_Asta2526!A:N,14,0)</f>
        <v>13</v>
      </c>
      <c r="N320" s="18">
        <f>VLOOKUP(A320,FVM_update!B:N,13,0)</f>
        <v>15</v>
      </c>
      <c r="O320" s="20">
        <f>VLOOKUP(B320,'FVM_1luglio-31luglio25'!D:Q,14,0)</f>
        <v>8</v>
      </c>
      <c r="P320" s="20">
        <f t="shared" si="16"/>
        <v>15</v>
      </c>
      <c r="Q320" s="21">
        <f t="shared" si="4"/>
        <v>1.5</v>
      </c>
      <c r="R320" s="21">
        <f t="shared" si="14"/>
        <v>1.5</v>
      </c>
      <c r="S320" s="59"/>
      <c r="T320" s="96"/>
      <c r="U320" s="97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</row>
    <row r="321" ht="22.5" customHeight="1">
      <c r="A321" s="9">
        <f>VLOOKUP(B321,FVM_update!A:B,2,0)</f>
        <v>393</v>
      </c>
      <c r="B321" s="10" t="s">
        <v>372</v>
      </c>
      <c r="C321" s="11" t="s">
        <v>357</v>
      </c>
      <c r="D321" s="12" t="str">
        <f>VLOOKUP(B321,FVM_update!A:F,6,0)</f>
        <v>Cremonese</v>
      </c>
      <c r="E321" s="13" t="str">
        <f>VLOOKUP(B321,FVM_update!A:E,4,0)</f>
        <v>Dc</v>
      </c>
      <c r="F321" s="11" t="s">
        <v>45</v>
      </c>
      <c r="G321" s="14">
        <v>45839.0</v>
      </c>
      <c r="H321" s="15">
        <f t="shared" si="1"/>
        <v>46204</v>
      </c>
      <c r="I321" s="11" t="s">
        <v>48</v>
      </c>
      <c r="J321" s="16" t="str">
        <f>VLOOKUP(A321,Asteriscati25!B:N,13,0)</f>
        <v>#N/A</v>
      </c>
      <c r="K321" s="17"/>
      <c r="L321" s="18" t="str">
        <f t="shared" si="15"/>
        <v>#REF!</v>
      </c>
      <c r="M321" s="19">
        <f>VLOOKUP(B321,FVM_Asta2526!A:N,14,0)</f>
        <v>18</v>
      </c>
      <c r="N321" s="18">
        <f>VLOOKUP(A321,FVM_update!B:N,13,0)</f>
        <v>17</v>
      </c>
      <c r="O321" s="20">
        <f>VLOOKUP(B321,'FVM_1luglio-31luglio25'!D:Q,14,0)</f>
        <v>16</v>
      </c>
      <c r="P321" s="20">
        <f t="shared" si="16"/>
        <v>17</v>
      </c>
      <c r="Q321" s="21">
        <f t="shared" si="4"/>
        <v>2</v>
      </c>
      <c r="R321" s="21">
        <f t="shared" si="14"/>
        <v>2</v>
      </c>
      <c r="S321" s="20"/>
      <c r="T321" s="22"/>
      <c r="U321" s="23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</row>
    <row r="322" ht="22.5" customHeight="1">
      <c r="A322" s="9">
        <f>VLOOKUP(B322,FVM_update!A:B,2,0)</f>
        <v>6809</v>
      </c>
      <c r="B322" s="25" t="s">
        <v>373</v>
      </c>
      <c r="C322" s="11" t="s">
        <v>357</v>
      </c>
      <c r="D322" s="12" t="str">
        <f>VLOOKUP(B322,FVM_update!A:F,6,0)</f>
        <v>Torino</v>
      </c>
      <c r="E322" s="13" t="str">
        <f>VLOOKUP(B322,FVM_update!A:E,4,0)</f>
        <v>Dc</v>
      </c>
      <c r="F322" s="11" t="s">
        <v>45</v>
      </c>
      <c r="G322" s="14">
        <v>45839.0</v>
      </c>
      <c r="H322" s="15">
        <f t="shared" si="1"/>
        <v>46204</v>
      </c>
      <c r="I322" s="11" t="s">
        <v>51</v>
      </c>
      <c r="J322" s="16" t="str">
        <f>VLOOKUP(A322,Asteriscati25!B:N,13,0)</f>
        <v>#N/A</v>
      </c>
      <c r="K322" s="26">
        <v>0.0</v>
      </c>
      <c r="L322" s="18" t="str">
        <f t="shared" si="15"/>
        <v>#REF!</v>
      </c>
      <c r="M322" s="27">
        <f>VLOOKUP(B322,FVM_Asta2526!A:N,14,0)</f>
        <v>9</v>
      </c>
      <c r="N322" s="18">
        <f>VLOOKUP(A322,FVM_update!B:N,13,0)</f>
        <v>12</v>
      </c>
      <c r="O322" s="20">
        <f>VLOOKUP(B322,'FVM_1luglio-31luglio25'!D:Q,14,0)</f>
        <v>5</v>
      </c>
      <c r="P322" s="20">
        <f t="shared" si="16"/>
        <v>12</v>
      </c>
      <c r="Q322" s="21">
        <f t="shared" si="4"/>
        <v>1</v>
      </c>
      <c r="R322" s="21">
        <f t="shared" si="14"/>
        <v>1</v>
      </c>
      <c r="S322" s="20"/>
      <c r="T322" s="22"/>
      <c r="U322" s="23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</row>
    <row r="323" ht="22.5" customHeight="1">
      <c r="A323" s="9">
        <f>VLOOKUP(B323,FVM_update!A:B,2,0)</f>
        <v>5116</v>
      </c>
      <c r="B323" s="25" t="s">
        <v>374</v>
      </c>
      <c r="C323" s="11" t="s">
        <v>357</v>
      </c>
      <c r="D323" s="12" t="str">
        <f>VLOOKUP(B323,FVM_update!A:F,6,0)</f>
        <v>Inter</v>
      </c>
      <c r="E323" s="13" t="str">
        <f>VLOOKUP(B323,FVM_update!A:E,4,0)</f>
        <v>Por</v>
      </c>
      <c r="F323" s="11" t="s">
        <v>59</v>
      </c>
      <c r="G323" s="14">
        <v>45474.0</v>
      </c>
      <c r="H323" s="15">
        <f t="shared" si="1"/>
        <v>46569</v>
      </c>
      <c r="I323" s="11" t="s">
        <v>48</v>
      </c>
      <c r="J323" s="16" t="str">
        <f>VLOOKUP(A323,Asteriscati25!B:N,13,0)</f>
        <v>#N/A</v>
      </c>
      <c r="K323" s="26">
        <v>0.0</v>
      </c>
      <c r="L323" s="18" t="str">
        <f t="shared" si="15"/>
        <v>#REF!</v>
      </c>
      <c r="M323" s="19">
        <f>VLOOKUP(B323,FVM_Asta2425!A:M,13,0)</f>
        <v>4</v>
      </c>
      <c r="N323" s="18">
        <f>VLOOKUP(A323,FVM_update!B:N,13,0)</f>
        <v>1</v>
      </c>
      <c r="O323" s="20">
        <f>VLOOKUP(B323,'FVM_1luglio-31luglio25'!D:Q,14,0)</f>
        <v>2</v>
      </c>
      <c r="P323" s="20">
        <f t="shared" si="16"/>
        <v>1</v>
      </c>
      <c r="Q323" s="21">
        <f t="shared" si="4"/>
        <v>0.5</v>
      </c>
      <c r="R323" s="21">
        <f t="shared" si="14"/>
        <v>0.5</v>
      </c>
      <c r="S323" s="20"/>
      <c r="T323" s="22"/>
      <c r="U323" s="23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</row>
    <row r="324" ht="22.5" customHeight="1">
      <c r="A324" s="9">
        <f>VLOOKUP(B324,FVM_update!A:B,2,0)</f>
        <v>2529</v>
      </c>
      <c r="B324" s="10" t="s">
        <v>375</v>
      </c>
      <c r="C324" s="11" t="s">
        <v>357</v>
      </c>
      <c r="D324" s="12" t="str">
        <f>VLOOKUP(B324,FVM_update!A:F,6,0)</f>
        <v>Inter</v>
      </c>
      <c r="E324" s="13" t="str">
        <f>VLOOKUP(B324,FVM_update!A:E,4,0)</f>
        <v>C;T</v>
      </c>
      <c r="F324" s="11" t="s">
        <v>45</v>
      </c>
      <c r="G324" s="14">
        <v>45839.0</v>
      </c>
      <c r="H324" s="15">
        <f t="shared" si="1"/>
        <v>46204</v>
      </c>
      <c r="I324" s="11" t="s">
        <v>48</v>
      </c>
      <c r="J324" s="16" t="str">
        <f>VLOOKUP(A324,Asteriscati25!B:N,13,0)</f>
        <v>#N/A</v>
      </c>
      <c r="K324" s="17"/>
      <c r="L324" s="18" t="str">
        <f t="shared" si="15"/>
        <v>#REF!</v>
      </c>
      <c r="M324" s="19">
        <f>VLOOKUP(B324,FVM_Asta2526!A:N,14,0)</f>
        <v>35</v>
      </c>
      <c r="N324" s="18">
        <f>VLOOKUP(A324,FVM_update!B:N,13,0)</f>
        <v>20</v>
      </c>
      <c r="O324" s="20">
        <f>VLOOKUP(B324,'FVM_1luglio-31luglio25'!D:Q,14,0)</f>
        <v>31</v>
      </c>
      <c r="P324" s="20">
        <f t="shared" si="16"/>
        <v>20</v>
      </c>
      <c r="Q324" s="21">
        <f t="shared" si="4"/>
        <v>3.5</v>
      </c>
      <c r="R324" s="21">
        <f t="shared" si="14"/>
        <v>3.5</v>
      </c>
      <c r="S324" s="20"/>
      <c r="T324" s="22"/>
      <c r="U324" s="23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</row>
    <row r="325" ht="22.5" customHeight="1">
      <c r="A325" s="9">
        <f>VLOOKUP(B325,FVM_update!A:B,2,0)</f>
        <v>6294</v>
      </c>
      <c r="B325" s="10" t="s">
        <v>376</v>
      </c>
      <c r="C325" s="11" t="s">
        <v>357</v>
      </c>
      <c r="D325" s="12" t="str">
        <f>VLOOKUP(B325,FVM_update!A:F,6,0)</f>
        <v>Fiorentina</v>
      </c>
      <c r="E325" s="13" t="str">
        <f>VLOOKUP(B325,FVM_update!A:E,4,0)</f>
        <v>M;C</v>
      </c>
      <c r="F325" s="11" t="s">
        <v>45</v>
      </c>
      <c r="G325" s="14">
        <v>45839.0</v>
      </c>
      <c r="H325" s="15">
        <f t="shared" si="1"/>
        <v>46204</v>
      </c>
      <c r="I325" s="11" t="s">
        <v>48</v>
      </c>
      <c r="J325" s="16" t="str">
        <f>VLOOKUP(A325,Asteriscati25!B:N,13,0)</f>
        <v>#N/A</v>
      </c>
      <c r="K325" s="17"/>
      <c r="L325" s="18" t="str">
        <f t="shared" si="15"/>
        <v>#REF!</v>
      </c>
      <c r="M325" s="19">
        <f>VLOOKUP(B325,FVM_Asta2526!A:N,14,0)</f>
        <v>17</v>
      </c>
      <c r="N325" s="18">
        <f>VLOOKUP(A325,FVM_update!B:N,13,0)</f>
        <v>17</v>
      </c>
      <c r="O325" s="20" t="str">
        <f>VLOOKUP(B325,'FVM_1luglio-31luglio25'!D:Q,14,0)</f>
        <v>#N/A</v>
      </c>
      <c r="P325" s="20">
        <f t="shared" si="16"/>
        <v>17</v>
      </c>
      <c r="Q325" s="21">
        <f t="shared" si="4"/>
        <v>2</v>
      </c>
      <c r="R325" s="21">
        <f t="shared" si="14"/>
        <v>2</v>
      </c>
      <c r="S325" s="20"/>
      <c r="T325" s="22"/>
      <c r="U325" s="23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</row>
    <row r="326" ht="22.5" customHeight="1">
      <c r="A326" s="9">
        <f>VLOOKUP(B326,FVM_update!A:B,2,0)</f>
        <v>6827</v>
      </c>
      <c r="B326" s="25" t="s">
        <v>377</v>
      </c>
      <c r="C326" s="11" t="s">
        <v>357</v>
      </c>
      <c r="D326" s="12" t="str">
        <f>VLOOKUP(B326,FVM_update!A:F,6,0)</f>
        <v>Torino</v>
      </c>
      <c r="E326" s="13" t="str">
        <f>VLOOKUP(B326,FVM_update!A:E,4,0)</f>
        <v>A</v>
      </c>
      <c r="F326" s="11" t="s">
        <v>43</v>
      </c>
      <c r="G326" s="14">
        <v>45839.0</v>
      </c>
      <c r="H326" s="15">
        <f t="shared" si="1"/>
        <v>401768</v>
      </c>
      <c r="I326" s="11" t="s">
        <v>43</v>
      </c>
      <c r="J326" s="16" t="str">
        <f>VLOOKUP(A326,Asteriscati25!B:N,13,0)</f>
        <v>#N/A</v>
      </c>
      <c r="K326" s="17"/>
      <c r="L326" s="18" t="str">
        <f t="shared" si="15"/>
        <v>#REF!</v>
      </c>
      <c r="M326" s="19">
        <f>VLOOKUP(B326,FVM_Asta2526!A:N,14,0)</f>
        <v>1</v>
      </c>
      <c r="N326" s="18">
        <f>VLOOKUP(A326,FVM_update!B:N,13,0)</f>
        <v>4</v>
      </c>
      <c r="O326" s="20" t="str">
        <f>VLOOKUP(B326,'FVM_1luglio-31luglio25'!D:Q,14,0)</f>
        <v>#N/A</v>
      </c>
      <c r="P326" s="20">
        <f t="shared" si="16"/>
        <v>4</v>
      </c>
      <c r="Q326" s="21">
        <f t="shared" si="4"/>
        <v>0.5</v>
      </c>
      <c r="R326" s="21">
        <f t="shared" si="14"/>
        <v>0.5</v>
      </c>
      <c r="S326" s="20"/>
      <c r="T326" s="22"/>
      <c r="U326" s="23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</row>
    <row r="327" ht="22.5" customHeight="1">
      <c r="A327" s="9" t="str">
        <f>VLOOKUP(B327,FVM_update!A:B,2,0)</f>
        <v>#N/A</v>
      </c>
      <c r="B327" s="25" t="s">
        <v>378</v>
      </c>
      <c r="C327" s="11" t="s">
        <v>357</v>
      </c>
      <c r="D327" s="12" t="str">
        <f>VLOOKUP(B327,FVM_update!A:F,6,0)</f>
        <v>#N/A</v>
      </c>
      <c r="E327" s="13" t="str">
        <f>VLOOKUP(B327,FVM_update!A:E,4,0)</f>
        <v>#N/A</v>
      </c>
      <c r="F327" s="17" t="str">
        <f>VLOOKUP(B327,'situazione contratti estate 24'!A:I,9,0)</f>
        <v>Obbligo 1+2</v>
      </c>
      <c r="G327" s="14">
        <v>45108.0</v>
      </c>
      <c r="H327" s="15">
        <f t="shared" si="1"/>
        <v>46204</v>
      </c>
      <c r="I327" s="11" t="s">
        <v>68</v>
      </c>
      <c r="J327" s="16" t="str">
        <f>VLOOKUP(A327,Asteriscati25!B:N,13,0)</f>
        <v>#N/A</v>
      </c>
      <c r="K327" s="26">
        <v>0.0</v>
      </c>
      <c r="L327" s="18" t="str">
        <f t="shared" si="15"/>
        <v>#REF!</v>
      </c>
      <c r="M327" s="19">
        <f>VLOOKUP(B327,FVM_Asta2324!C:M,11,0)</f>
        <v>12</v>
      </c>
      <c r="N327" s="18" t="str">
        <f>VLOOKUP(A327,FVM_update!B:N,13,0)</f>
        <v>#N/A</v>
      </c>
      <c r="O327" s="20" t="str">
        <f>VLOOKUP(B327,'FVM_1luglio-31luglio25'!D:Q,14,0)</f>
        <v>#N/A</v>
      </c>
      <c r="P327" s="9">
        <v>0.0</v>
      </c>
      <c r="Q327" s="21">
        <f t="shared" si="4"/>
        <v>1.5</v>
      </c>
      <c r="R327" s="21">
        <f t="shared" si="14"/>
        <v>1</v>
      </c>
      <c r="S327" s="20"/>
      <c r="T327" s="22"/>
      <c r="U327" s="23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</row>
    <row r="328" ht="22.5" customHeight="1">
      <c r="A328" s="9">
        <f>VLOOKUP(B328,FVM_update!A:B,2,0)</f>
        <v>536</v>
      </c>
      <c r="B328" s="10" t="s">
        <v>379</v>
      </c>
      <c r="C328" s="11" t="s">
        <v>357</v>
      </c>
      <c r="D328" s="12" t="str">
        <f>VLOOKUP(B328,FVM_update!A:F,6,0)</f>
        <v>Napoli</v>
      </c>
      <c r="E328" s="13" t="str">
        <f>VLOOKUP(B328,FVM_update!A:E,4,0)</f>
        <v>W</v>
      </c>
      <c r="F328" s="11" t="s">
        <v>55</v>
      </c>
      <c r="G328" s="14">
        <v>45839.0</v>
      </c>
      <c r="H328" s="15">
        <f t="shared" si="1"/>
        <v>46569</v>
      </c>
      <c r="I328" s="11" t="s">
        <v>48</v>
      </c>
      <c r="J328" s="16" t="str">
        <f>VLOOKUP(A328,Asteriscati25!B:N,13,0)</f>
        <v>#N/A</v>
      </c>
      <c r="K328" s="17"/>
      <c r="L328" s="18" t="str">
        <f t="shared" si="15"/>
        <v>#REF!</v>
      </c>
      <c r="M328" s="19">
        <f>VLOOKUP(B328,FVM_Asta2526!A:N,14,0)</f>
        <v>65</v>
      </c>
      <c r="N328" s="18">
        <f>VLOOKUP(A328,FVM_update!B:N,13,0)</f>
        <v>25</v>
      </c>
      <c r="O328" s="20">
        <f>VLOOKUP(B328,'FVM_1luglio-31luglio25'!D:Q,14,0)</f>
        <v>66</v>
      </c>
      <c r="P328" s="20">
        <f t="shared" ref="P328:P435" si="17">IFERROR(N328,O328)</f>
        <v>25</v>
      </c>
      <c r="Q328" s="21">
        <f t="shared" si="4"/>
        <v>8.5</v>
      </c>
      <c r="R328" s="21">
        <f t="shared" si="14"/>
        <v>8.5</v>
      </c>
      <c r="S328" s="20"/>
      <c r="T328" s="22"/>
      <c r="U328" s="23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</row>
    <row r="329" ht="22.5" customHeight="1">
      <c r="A329" s="9">
        <f>VLOOKUP(B329,FVM_update!A:B,2,0)</f>
        <v>460</v>
      </c>
      <c r="B329" s="10" t="s">
        <v>380</v>
      </c>
      <c r="C329" s="11" t="s">
        <v>357</v>
      </c>
      <c r="D329" s="12" t="str">
        <f>VLOOKUP(B329,FVM_update!A:F,6,0)</f>
        <v>Lazio</v>
      </c>
      <c r="E329" s="13" t="str">
        <f>VLOOKUP(B329,FVM_update!A:E,4,0)</f>
        <v>Dc</v>
      </c>
      <c r="F329" s="11" t="s">
        <v>45</v>
      </c>
      <c r="G329" s="14">
        <v>45839.0</v>
      </c>
      <c r="H329" s="15">
        <f t="shared" si="1"/>
        <v>46204</v>
      </c>
      <c r="I329" s="11" t="s">
        <v>48</v>
      </c>
      <c r="J329" s="16" t="str">
        <f>VLOOKUP(A329,Asteriscati25!B:N,13,0)</f>
        <v>#N/A</v>
      </c>
      <c r="K329" s="17"/>
      <c r="L329" s="18" t="str">
        <f t="shared" si="15"/>
        <v>#REF!</v>
      </c>
      <c r="M329" s="19">
        <f>VLOOKUP(B329,FVM_Asta2526!A:N,14,0)</f>
        <v>22</v>
      </c>
      <c r="N329" s="18">
        <f>VLOOKUP(A329,FVM_update!B:N,13,0)</f>
        <v>21</v>
      </c>
      <c r="O329" s="20">
        <f>VLOOKUP(B329,'FVM_1luglio-31luglio25'!D:Q,14,0)</f>
        <v>25</v>
      </c>
      <c r="P329" s="20">
        <f t="shared" si="17"/>
        <v>21</v>
      </c>
      <c r="Q329" s="21">
        <f t="shared" si="4"/>
        <v>2.5</v>
      </c>
      <c r="R329" s="21">
        <f t="shared" si="14"/>
        <v>2.5</v>
      </c>
      <c r="S329" s="20"/>
      <c r="T329" s="22"/>
      <c r="U329" s="23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</row>
    <row r="330" ht="22.5" customHeight="1">
      <c r="A330" s="9">
        <f>VLOOKUP(B330,FVM_update!A:B,2,0)</f>
        <v>6159</v>
      </c>
      <c r="B330" s="10" t="s">
        <v>381</v>
      </c>
      <c r="C330" s="11" t="s">
        <v>357</v>
      </c>
      <c r="D330" s="12" t="str">
        <f>VLOOKUP(B330,FVM_update!A:F,6,0)</f>
        <v>Verona</v>
      </c>
      <c r="E330" s="13" t="str">
        <f>VLOOKUP(B330,FVM_update!A:E,4,0)</f>
        <v>A</v>
      </c>
      <c r="F330" s="11" t="s">
        <v>45</v>
      </c>
      <c r="G330" s="14">
        <v>45839.0</v>
      </c>
      <c r="H330" s="15">
        <f t="shared" si="1"/>
        <v>46204</v>
      </c>
      <c r="I330" s="11" t="s">
        <v>48</v>
      </c>
      <c r="J330" s="16" t="str">
        <f>VLOOKUP(A330,Asteriscati25!B:N,13,0)</f>
        <v>#N/A</v>
      </c>
      <c r="K330" s="17"/>
      <c r="L330" s="18" t="str">
        <f t="shared" si="15"/>
        <v>#REF!</v>
      </c>
      <c r="M330" s="19">
        <f>VLOOKUP(B330,FVM_Asta2526!A:N,14,0)</f>
        <v>21</v>
      </c>
      <c r="N330" s="18">
        <f>VLOOKUP(A330,FVM_update!B:N,13,0)</f>
        <v>8</v>
      </c>
      <c r="O330" s="20">
        <f>VLOOKUP(B330,'FVM_1luglio-31luglio25'!D:Q,14,0)</f>
        <v>12</v>
      </c>
      <c r="P330" s="20">
        <f t="shared" si="17"/>
        <v>8</v>
      </c>
      <c r="Q330" s="21">
        <f t="shared" si="4"/>
        <v>2.5</v>
      </c>
      <c r="R330" s="21">
        <f t="shared" si="14"/>
        <v>2.5</v>
      </c>
      <c r="S330" s="20"/>
      <c r="T330" s="22"/>
      <c r="U330" s="23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</row>
    <row r="331" ht="22.5" customHeight="1">
      <c r="A331" s="9">
        <f>VLOOKUP(B331,FVM_update!A:B,2,0)</f>
        <v>2061</v>
      </c>
      <c r="B331" s="10" t="s">
        <v>286</v>
      </c>
      <c r="C331" s="11" t="s">
        <v>357</v>
      </c>
      <c r="D331" s="12" t="str">
        <f>VLOOKUP(B331,FVM_update!A:F,6,0)</f>
        <v>Torino</v>
      </c>
      <c r="E331" s="13" t="str">
        <f>VLOOKUP(B331,FVM_update!A:E,4,0)</f>
        <v>Pc</v>
      </c>
      <c r="F331" s="11" t="s">
        <v>45</v>
      </c>
      <c r="G331" s="14">
        <v>45839.0</v>
      </c>
      <c r="H331" s="15">
        <f t="shared" si="1"/>
        <v>46204</v>
      </c>
      <c r="I331" s="11" t="s">
        <v>71</v>
      </c>
      <c r="J331" s="16" t="str">
        <f>VLOOKUP(A331,Asteriscati25!B:N,13,0)</f>
        <v>#N/A</v>
      </c>
      <c r="K331" s="29">
        <v>0.6</v>
      </c>
      <c r="L331" s="18" t="str">
        <f t="shared" si="15"/>
        <v>#REF!</v>
      </c>
      <c r="M331" s="19">
        <f>VLOOKUP(B331,FVM_Asta2526!A:N,14,0)</f>
        <v>24</v>
      </c>
      <c r="N331" s="18">
        <f>VLOOKUP(A331,FVM_update!B:N,13,0)</f>
        <v>54</v>
      </c>
      <c r="O331" s="20">
        <f>VLOOKUP(B331,'FVM_1luglio-31luglio25'!D:Q,14,0)</f>
        <v>10</v>
      </c>
      <c r="P331" s="20">
        <f t="shared" si="17"/>
        <v>54</v>
      </c>
      <c r="Q331" s="21">
        <f t="shared" si="4"/>
        <v>2.5</v>
      </c>
      <c r="R331" s="21">
        <f t="shared" si="14"/>
        <v>1.5</v>
      </c>
      <c r="S331" s="20"/>
      <c r="T331" s="22"/>
      <c r="U331" s="23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</row>
    <row r="332" ht="22.5" customHeight="1">
      <c r="A332" s="9">
        <f>VLOOKUP(B332,FVM_update!A:B,2,0)</f>
        <v>2428</v>
      </c>
      <c r="B332" s="25" t="s">
        <v>382</v>
      </c>
      <c r="C332" s="11" t="s">
        <v>357</v>
      </c>
      <c r="D332" s="12" t="str">
        <f>VLOOKUP(B332,FVM_update!A:F,6,0)</f>
        <v>Inter</v>
      </c>
      <c r="E332" s="13" t="str">
        <f>VLOOKUP(B332,FVM_update!A:E,4,0)</f>
        <v>Por</v>
      </c>
      <c r="F332" s="17" t="str">
        <f>VLOOKUP(B332,'situazione contratti estate 24'!A:I,9,0)</f>
        <v>Obbligo 1+2</v>
      </c>
      <c r="G332" s="14">
        <v>45108.0</v>
      </c>
      <c r="H332" s="15">
        <f t="shared" si="1"/>
        <v>46204</v>
      </c>
      <c r="I332" s="11" t="s">
        <v>48</v>
      </c>
      <c r="J332" s="16" t="str">
        <f>VLOOKUP(A332,Asteriscati25!B:N,13,0)</f>
        <v>#N/A</v>
      </c>
      <c r="K332" s="26">
        <v>0.0</v>
      </c>
      <c r="L332" s="18" t="str">
        <f t="shared" si="15"/>
        <v>#REF!</v>
      </c>
      <c r="M332" s="19">
        <f>VLOOKUP(B332,FVM_Asta2324!C:M,11,0)</f>
        <v>67</v>
      </c>
      <c r="N332" s="18">
        <f>VLOOKUP(A332,FVM_update!B:N,13,0)</f>
        <v>64</v>
      </c>
      <c r="O332" s="20">
        <f>VLOOKUP(B332,'FVM_1luglio-31luglio25'!D:Q,14,0)</f>
        <v>91</v>
      </c>
      <c r="P332" s="20">
        <f t="shared" si="17"/>
        <v>64</v>
      </c>
      <c r="Q332" s="21">
        <f t="shared" si="4"/>
        <v>8</v>
      </c>
      <c r="R332" s="21">
        <f t="shared" si="14"/>
        <v>8</v>
      </c>
      <c r="S332" s="20"/>
      <c r="T332" s="22"/>
      <c r="U332" s="23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</row>
    <row r="333" ht="22.5" customHeight="1">
      <c r="A333" s="9">
        <f>VLOOKUP(B333,FVM_update!A:B,2,0)</f>
        <v>1852</v>
      </c>
      <c r="B333" s="10" t="s">
        <v>146</v>
      </c>
      <c r="C333" s="11" t="s">
        <v>357</v>
      </c>
      <c r="D333" s="12" t="str">
        <f>VLOOKUP(B333,FVM_update!A:F,6,0)</f>
        <v>Napoli</v>
      </c>
      <c r="E333" s="13" t="str">
        <f>VLOOKUP(B333,FVM_update!A:E,4,0)</f>
        <v>Ds;E</v>
      </c>
      <c r="F333" s="11" t="s">
        <v>45</v>
      </c>
      <c r="G333" s="14">
        <v>45839.0</v>
      </c>
      <c r="H333" s="15">
        <f t="shared" si="1"/>
        <v>46204</v>
      </c>
      <c r="I333" s="11" t="s">
        <v>71</v>
      </c>
      <c r="J333" s="16" t="str">
        <f>VLOOKUP(A333,Asteriscati25!B:N,13,0)</f>
        <v>#N/A</v>
      </c>
      <c r="K333" s="29">
        <v>0.6</v>
      </c>
      <c r="L333" s="18" t="str">
        <f t="shared" si="15"/>
        <v>#REF!</v>
      </c>
      <c r="M333" s="19">
        <f>VLOOKUP(B333,FVM_Asta2526!A:N,14,0)</f>
        <v>18</v>
      </c>
      <c r="N333" s="18">
        <f>VLOOKUP(A333,FVM_update!B:N,13,0)</f>
        <v>48</v>
      </c>
      <c r="O333" s="20">
        <f>VLOOKUP(B333,'FVM_1luglio-31luglio25'!D:Q,14,0)</f>
        <v>30</v>
      </c>
      <c r="P333" s="20">
        <f t="shared" si="17"/>
        <v>48</v>
      </c>
      <c r="Q333" s="21">
        <f t="shared" si="4"/>
        <v>2</v>
      </c>
      <c r="R333" s="21">
        <f t="shared" si="14"/>
        <v>1.5</v>
      </c>
      <c r="S333" s="20"/>
      <c r="T333" s="22"/>
      <c r="U333" s="23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</row>
    <row r="334" ht="22.5" customHeight="1">
      <c r="A334" s="9">
        <f>VLOOKUP(B334,FVM_update!A:B,2,0)</f>
        <v>7070</v>
      </c>
      <c r="B334" s="10" t="s">
        <v>383</v>
      </c>
      <c r="C334" s="11" t="s">
        <v>357</v>
      </c>
      <c r="D334" s="12" t="str">
        <f>VLOOKUP(B334,FVM_update!A:F,6,0)</f>
        <v>Inter</v>
      </c>
      <c r="E334" s="13" t="str">
        <f>VLOOKUP(B334,FVM_update!A:E,4,0)</f>
        <v>C</v>
      </c>
      <c r="F334" s="11" t="s">
        <v>55</v>
      </c>
      <c r="G334" s="14">
        <v>45839.0</v>
      </c>
      <c r="H334" s="15">
        <f t="shared" si="1"/>
        <v>46569</v>
      </c>
      <c r="I334" s="11" t="s">
        <v>48</v>
      </c>
      <c r="J334" s="16" t="str">
        <f>VLOOKUP(A334,Asteriscati25!B:N,13,0)</f>
        <v>#N/A</v>
      </c>
      <c r="K334" s="17"/>
      <c r="L334" s="18" t="str">
        <f t="shared" si="15"/>
        <v>#REF!</v>
      </c>
      <c r="M334" s="19">
        <f>VLOOKUP(B334,FVM_Asta2526!A:N,14,0)</f>
        <v>26</v>
      </c>
      <c r="N334" s="18">
        <f>VLOOKUP(A334,FVM_update!B:N,13,0)</f>
        <v>18</v>
      </c>
      <c r="O334" s="20" t="str">
        <f>VLOOKUP(B334,'FVM_1luglio-31luglio25'!D:Q,14,0)</f>
        <v>#N/A</v>
      </c>
      <c r="P334" s="20">
        <f t="shared" si="17"/>
        <v>18</v>
      </c>
      <c r="Q334" s="21">
        <f t="shared" si="4"/>
        <v>3.5</v>
      </c>
      <c r="R334" s="21">
        <f t="shared" si="14"/>
        <v>3.5</v>
      </c>
      <c r="S334" s="20"/>
      <c r="T334" s="22"/>
      <c r="U334" s="23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</row>
    <row r="335" ht="22.5" customHeight="1">
      <c r="A335" s="9">
        <f>VLOOKUP(B335,FVM_update!A:B,2,0)</f>
        <v>6980</v>
      </c>
      <c r="B335" s="25" t="s">
        <v>384</v>
      </c>
      <c r="C335" s="11" t="s">
        <v>357</v>
      </c>
      <c r="D335" s="12" t="str">
        <f>VLOOKUP(B335,FVM_update!A:F,6,0)</f>
        <v>Roma</v>
      </c>
      <c r="E335" s="13" t="str">
        <f>VLOOKUP(B335,FVM_update!A:E,4,0)</f>
        <v>W</v>
      </c>
      <c r="F335" s="11" t="s">
        <v>43</v>
      </c>
      <c r="G335" s="14">
        <v>45839.0</v>
      </c>
      <c r="H335" s="15">
        <f t="shared" si="1"/>
        <v>401768</v>
      </c>
      <c r="I335" s="11" t="s">
        <v>43</v>
      </c>
      <c r="J335" s="16" t="str">
        <f>VLOOKUP(A335,Asteriscati25!B:N,13,0)</f>
        <v>#N/A</v>
      </c>
      <c r="K335" s="17"/>
      <c r="L335" s="18" t="str">
        <f t="shared" si="15"/>
        <v>#REF!</v>
      </c>
      <c r="M335" s="19">
        <f>VLOOKUP(B335,FVM_Asta2526!A:N,14,0)</f>
        <v>10</v>
      </c>
      <c r="N335" s="18">
        <f>VLOOKUP(A335,FVM_update!B:N,13,0)</f>
        <v>13</v>
      </c>
      <c r="O335" s="20">
        <f>VLOOKUP(B335,'FVM_1luglio-31luglio25'!D:Q,14,0)</f>
        <v>1</v>
      </c>
      <c r="P335" s="20">
        <f t="shared" si="17"/>
        <v>13</v>
      </c>
      <c r="Q335" s="21">
        <f t="shared" si="4"/>
        <v>1.5</v>
      </c>
      <c r="R335" s="21">
        <f t="shared" si="14"/>
        <v>0.5</v>
      </c>
      <c r="S335" s="20"/>
      <c r="T335" s="22"/>
      <c r="U335" s="23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</row>
    <row r="336" ht="22.5" customHeight="1">
      <c r="A336" s="9">
        <f>VLOOKUP(B336,FVM_update!A:B,2,0)</f>
        <v>608</v>
      </c>
      <c r="B336" s="10" t="s">
        <v>385</v>
      </c>
      <c r="C336" s="11" t="s">
        <v>357</v>
      </c>
      <c r="D336" s="12" t="str">
        <f>VLOOKUP(B336,FVM_update!A:F,6,0)</f>
        <v>Torino</v>
      </c>
      <c r="E336" s="13" t="str">
        <f>VLOOKUP(B336,FVM_update!A:E,4,0)</f>
        <v>Pc</v>
      </c>
      <c r="F336" s="11" t="s">
        <v>45</v>
      </c>
      <c r="G336" s="14">
        <v>45839.0</v>
      </c>
      <c r="H336" s="15">
        <f t="shared" si="1"/>
        <v>46204</v>
      </c>
      <c r="I336" s="11" t="s">
        <v>48</v>
      </c>
      <c r="J336" s="16" t="str">
        <f>VLOOKUP(A336,Asteriscati25!B:N,13,0)</f>
        <v>#N/A</v>
      </c>
      <c r="K336" s="17"/>
      <c r="L336" s="18" t="str">
        <f t="shared" si="15"/>
        <v>#REF!</v>
      </c>
      <c r="M336" s="19">
        <f>VLOOKUP(B336,FVM_Asta2526!A:N,14,0)</f>
        <v>87</v>
      </c>
      <c r="N336" s="18">
        <f>VLOOKUP(A336,FVM_update!B:N,13,0)</f>
        <v>11</v>
      </c>
      <c r="O336" s="20">
        <f>VLOOKUP(B336,'FVM_1luglio-31luglio25'!D:Q,14,0)</f>
        <v>124</v>
      </c>
      <c r="P336" s="20">
        <f t="shared" si="17"/>
        <v>11</v>
      </c>
      <c r="Q336" s="21">
        <f t="shared" si="4"/>
        <v>9</v>
      </c>
      <c r="R336" s="21">
        <f t="shared" si="14"/>
        <v>9</v>
      </c>
      <c r="S336" s="20"/>
      <c r="T336" s="22"/>
      <c r="U336" s="23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</row>
    <row r="337" ht="22.5" customHeight="1">
      <c r="A337" s="9">
        <f>VLOOKUP(B337,FVM_update!A:B,2,0)</f>
        <v>2640</v>
      </c>
      <c r="B337" s="25" t="s">
        <v>386</v>
      </c>
      <c r="C337" s="11" t="s">
        <v>357</v>
      </c>
      <c r="D337" s="12" t="str">
        <f>VLOOKUP(B337,FVM_update!A:F,6,0)</f>
        <v>Atalanta</v>
      </c>
      <c r="E337" s="13" t="str">
        <f>VLOOKUP(B337,FVM_update!A:E,4,0)</f>
        <v>B;Ds;E</v>
      </c>
      <c r="F337" s="11" t="s">
        <v>92</v>
      </c>
      <c r="G337" s="14">
        <v>46054.0</v>
      </c>
      <c r="H337" s="15">
        <f t="shared" si="1"/>
        <v>46204</v>
      </c>
      <c r="I337" s="11" t="s">
        <v>93</v>
      </c>
      <c r="J337" s="16" t="str">
        <f>VLOOKUP(A337,Asteriscati25!B:N,13,0)</f>
        <v>#N/A</v>
      </c>
      <c r="K337" s="17"/>
      <c r="L337" s="18" t="str">
        <f t="shared" si="15"/>
        <v>#REF!</v>
      </c>
      <c r="M337" s="19">
        <v>17.0</v>
      </c>
      <c r="N337" s="18">
        <f>VLOOKUP(A337,FVM_update!B:N,13,0)</f>
        <v>17</v>
      </c>
      <c r="O337" s="20">
        <f>VLOOKUP(B337,'FVM_1luglio-31luglio25'!D:Q,14,0)</f>
        <v>24</v>
      </c>
      <c r="P337" s="20">
        <f t="shared" si="17"/>
        <v>17</v>
      </c>
      <c r="Q337" s="21">
        <f t="shared" si="4"/>
        <v>2</v>
      </c>
      <c r="R337" s="21">
        <f t="shared" si="14"/>
        <v>1</v>
      </c>
      <c r="S337" s="20"/>
      <c r="T337" s="17"/>
      <c r="U337" s="23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</row>
    <row r="338" ht="22.5" customHeight="1">
      <c r="A338" s="9">
        <f>VLOOKUP(B338,FVM_update!A:B,2,0)</f>
        <v>5119</v>
      </c>
      <c r="B338" s="25" t="s">
        <v>387</v>
      </c>
      <c r="C338" s="11" t="s">
        <v>357</v>
      </c>
      <c r="D338" s="12" t="str">
        <f>VLOOKUP(B338,FVM_update!A:F,6,0)</f>
        <v>Atalanta</v>
      </c>
      <c r="E338" s="13" t="str">
        <f>VLOOKUP(B338,FVM_update!A:E,4,0)</f>
        <v>T</v>
      </c>
      <c r="F338" s="11" t="s">
        <v>74</v>
      </c>
      <c r="G338" s="14">
        <v>46054.0</v>
      </c>
      <c r="H338" s="15">
        <f t="shared" si="1"/>
        <v>46966</v>
      </c>
      <c r="I338" s="11" t="s">
        <v>93</v>
      </c>
      <c r="J338" s="16" t="str">
        <f>VLOOKUP(A338,Asteriscati25!B:N,13,0)</f>
        <v>#N/A</v>
      </c>
      <c r="K338" s="17"/>
      <c r="L338" s="18" t="str">
        <f t="shared" si="15"/>
        <v>#REF!</v>
      </c>
      <c r="M338" s="19">
        <v>10.0</v>
      </c>
      <c r="N338" s="18">
        <f>VLOOKUP(A338,FVM_update!B:N,13,0)</f>
        <v>10</v>
      </c>
      <c r="O338" s="20">
        <f>VLOOKUP(B338,'FVM_1luglio-31luglio25'!D:Q,14,0)</f>
        <v>28</v>
      </c>
      <c r="P338" s="20">
        <f t="shared" si="17"/>
        <v>10</v>
      </c>
      <c r="Q338" s="21">
        <f t="shared" si="4"/>
        <v>1.5</v>
      </c>
      <c r="R338" s="21">
        <f t="shared" si="14"/>
        <v>1</v>
      </c>
      <c r="S338" s="20"/>
      <c r="T338" s="17"/>
      <c r="U338" s="23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</row>
    <row r="339" ht="22.5" customHeight="1">
      <c r="A339" s="9">
        <f>VLOOKUP(B339,FVM_update!A:B,2,0)</f>
        <v>5336</v>
      </c>
      <c r="B339" s="25" t="s">
        <v>388</v>
      </c>
      <c r="C339" s="11" t="s">
        <v>357</v>
      </c>
      <c r="D339" s="12" t="str">
        <f>VLOOKUP(B339,FVM_update!A:F,6,0)</f>
        <v>Sassuolo</v>
      </c>
      <c r="E339" s="13" t="str">
        <f>VLOOKUP(B339,FVM_update!A:E,4,0)</f>
        <v>Pc</v>
      </c>
      <c r="F339" s="11" t="s">
        <v>97</v>
      </c>
      <c r="G339" s="14">
        <v>46054.0</v>
      </c>
      <c r="H339" s="15">
        <f t="shared" si="1"/>
        <v>46600</v>
      </c>
      <c r="I339" s="11" t="s">
        <v>93</v>
      </c>
      <c r="J339" s="16">
        <f>VLOOKUP(A339,Asteriscati25!B:N,13,0)</f>
        <v>10</v>
      </c>
      <c r="K339" s="17"/>
      <c r="L339" s="18" t="str">
        <f t="shared" si="15"/>
        <v>#REF!</v>
      </c>
      <c r="M339" s="19">
        <v>10.0</v>
      </c>
      <c r="N339" s="18">
        <f>VLOOKUP(A339,FVM_update!B:N,13,0)</f>
        <v>10</v>
      </c>
      <c r="O339" s="20" t="str">
        <f>VLOOKUP(B339,'FVM_1luglio-31luglio25'!D:Q,14,0)</f>
        <v>#N/A</v>
      </c>
      <c r="P339" s="20">
        <f t="shared" si="17"/>
        <v>10</v>
      </c>
      <c r="Q339" s="21">
        <f t="shared" si="4"/>
        <v>1.5</v>
      </c>
      <c r="R339" s="21">
        <f t="shared" si="14"/>
        <v>1</v>
      </c>
      <c r="S339" s="20"/>
      <c r="T339" s="17"/>
      <c r="U339" s="23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</row>
    <row r="340" ht="22.5" customHeight="1">
      <c r="A340" s="9">
        <f>VLOOKUP(B340,FVM_update!A:B,2,0)</f>
        <v>513</v>
      </c>
      <c r="B340" s="10" t="s">
        <v>238</v>
      </c>
      <c r="C340" s="11" t="s">
        <v>90</v>
      </c>
      <c r="D340" s="12" t="str">
        <f>VLOOKUP(B340,FVM_update!A:F,6,0)</f>
        <v>Inter</v>
      </c>
      <c r="E340" s="13" t="str">
        <f>VLOOKUP(B340,FVM_update!A:E,4,0)</f>
        <v>Dc</v>
      </c>
      <c r="F340" s="11" t="s">
        <v>45</v>
      </c>
      <c r="G340" s="14">
        <v>45839.0</v>
      </c>
      <c r="H340" s="15">
        <f t="shared" si="1"/>
        <v>46204</v>
      </c>
      <c r="I340" s="11" t="s">
        <v>89</v>
      </c>
      <c r="J340" s="16" t="str">
        <f>VLOOKUP(A340,Asteriscati25!B:N,13,0)</f>
        <v>#N/A</v>
      </c>
      <c r="K340" s="29">
        <v>0.4</v>
      </c>
      <c r="L340" s="18" t="str">
        <f t="shared" si="15"/>
        <v>#REF!</v>
      </c>
      <c r="M340" s="19">
        <f>VLOOKUP(B340,FVM_Asta2526!A:N,14,0)</f>
        <v>26</v>
      </c>
      <c r="N340" s="18">
        <f>VLOOKUP(A340,FVM_update!B:N,13,0)</f>
        <v>10</v>
      </c>
      <c r="O340" s="20">
        <f>VLOOKUP(B340,'FVM_1luglio-31luglio25'!D:Q,14,0)</f>
        <v>26</v>
      </c>
      <c r="P340" s="20">
        <f t="shared" si="17"/>
        <v>10</v>
      </c>
      <c r="Q340" s="21">
        <f t="shared" si="4"/>
        <v>3</v>
      </c>
      <c r="R340" s="21">
        <f t="shared" si="14"/>
        <v>1.5</v>
      </c>
      <c r="S340" s="20"/>
      <c r="T340" s="22"/>
      <c r="U340" s="23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</row>
    <row r="341" ht="22.5" customHeight="1">
      <c r="A341" s="9">
        <f>VLOOKUP(B341,FVM_update!A:B,2,0)</f>
        <v>632</v>
      </c>
      <c r="B341" s="10" t="s">
        <v>274</v>
      </c>
      <c r="C341" s="11" t="s">
        <v>90</v>
      </c>
      <c r="D341" s="12" t="str">
        <f>VLOOKUP(B341,FVM_update!A:F,6,0)</f>
        <v>Lazio</v>
      </c>
      <c r="E341" s="13" t="str">
        <f>VLOOKUP(B341,FVM_update!A:E,4,0)</f>
        <v>W;A</v>
      </c>
      <c r="F341" s="17" t="str">
        <f>VLOOKUP(B341,'situazione contratti estate 24'!A:I,9,0)</f>
        <v>Obbligo 1+1</v>
      </c>
      <c r="G341" s="14">
        <v>45839.0</v>
      </c>
      <c r="H341" s="15">
        <f t="shared" si="1"/>
        <v>46569</v>
      </c>
      <c r="I341" s="11" t="s">
        <v>126</v>
      </c>
      <c r="J341" s="16" t="str">
        <f>VLOOKUP(A341,Asteriscati25!B:N,13,0)</f>
        <v>#N/A</v>
      </c>
      <c r="K341" s="29">
        <v>0.4</v>
      </c>
      <c r="L341" s="18" t="str">
        <f t="shared" si="15"/>
        <v>#REF!</v>
      </c>
      <c r="M341" s="19">
        <f>VLOOKUP(B341,FVM_Asta2526!A:N,14,0)</f>
        <v>206</v>
      </c>
      <c r="N341" s="18">
        <f>VLOOKUP(A341,FVM_update!B:N,13,0)</f>
        <v>65</v>
      </c>
      <c r="O341" s="20">
        <f>VLOOKUP(B341,'FVM_1luglio-31luglio25'!D:Q,14,0)</f>
        <v>152</v>
      </c>
      <c r="P341" s="20">
        <f t="shared" si="17"/>
        <v>65</v>
      </c>
      <c r="Q341" s="21">
        <f t="shared" si="4"/>
        <v>24</v>
      </c>
      <c r="R341" s="21">
        <f t="shared" si="14"/>
        <v>10</v>
      </c>
      <c r="S341" s="20"/>
      <c r="T341" s="22"/>
      <c r="U341" s="23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</row>
    <row r="342" ht="22.5" customHeight="1">
      <c r="A342" s="9">
        <f>VLOOKUP(B342,FVM_update!A:B,2,0)</f>
        <v>2296</v>
      </c>
      <c r="B342" s="25" t="s">
        <v>70</v>
      </c>
      <c r="C342" s="11" t="s">
        <v>90</v>
      </c>
      <c r="D342" s="12" t="str">
        <f>VLOOKUP(B342,FVM_update!A:F,6,0)</f>
        <v>Roma</v>
      </c>
      <c r="E342" s="13" t="str">
        <f>VLOOKUP(B342,FVM_update!A:E,4,0)</f>
        <v>Dc</v>
      </c>
      <c r="F342" s="11" t="s">
        <v>67</v>
      </c>
      <c r="G342" s="14">
        <v>45474.0</v>
      </c>
      <c r="H342" s="15">
        <f t="shared" si="1"/>
        <v>46204</v>
      </c>
      <c r="I342" s="11" t="s">
        <v>89</v>
      </c>
      <c r="J342" s="16" t="str">
        <f>VLOOKUP(A342,Asteriscati25!B:N,13,0)</f>
        <v>#N/A</v>
      </c>
      <c r="K342" s="26">
        <v>1.0</v>
      </c>
      <c r="L342" s="18" t="str">
        <f t="shared" si="15"/>
        <v>#REF!</v>
      </c>
      <c r="M342" s="19">
        <f>VLOOKUP(B342,FVM_Asta2425!A:M,13,0)</f>
        <v>26</v>
      </c>
      <c r="N342" s="18">
        <f>VLOOKUP(A342,FVM_update!B:N,13,0)</f>
        <v>39</v>
      </c>
      <c r="O342" s="20">
        <f>VLOOKUP(B342,'FVM_1luglio-31luglio25'!D:Q,14,0)</f>
        <v>27</v>
      </c>
      <c r="P342" s="20">
        <f t="shared" si="17"/>
        <v>39</v>
      </c>
      <c r="Q342" s="21">
        <f t="shared" si="4"/>
        <v>3</v>
      </c>
      <c r="R342" s="21">
        <f t="shared" si="14"/>
        <v>3</v>
      </c>
      <c r="S342" s="20"/>
      <c r="T342" s="11" t="s">
        <v>42</v>
      </c>
      <c r="U342" s="23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</row>
    <row r="343" ht="22.5" customHeight="1">
      <c r="A343" s="9">
        <f>VLOOKUP(B343,FVM_update!A:B,2,0)</f>
        <v>7183</v>
      </c>
      <c r="B343" s="10" t="s">
        <v>389</v>
      </c>
      <c r="C343" s="11" t="s">
        <v>90</v>
      </c>
      <c r="D343" s="12" t="str">
        <f>VLOOKUP(B343,FVM_update!A:F,6,0)</f>
        <v>Torino</v>
      </c>
      <c r="E343" s="13" t="str">
        <f>VLOOKUP(B343,FVM_update!A:E,4,0)</f>
        <v>A</v>
      </c>
      <c r="F343" s="11" t="s">
        <v>45</v>
      </c>
      <c r="G343" s="14">
        <v>45839.0</v>
      </c>
      <c r="H343" s="15">
        <f t="shared" si="1"/>
        <v>46204</v>
      </c>
      <c r="I343" s="11" t="s">
        <v>46</v>
      </c>
      <c r="J343" s="16" t="str">
        <f>VLOOKUP(A343,Asteriscati25!B:N,13,0)</f>
        <v>#N/A</v>
      </c>
      <c r="K343" s="17"/>
      <c r="L343" s="18" t="str">
        <f t="shared" si="15"/>
        <v>#REF!</v>
      </c>
      <c r="M343" s="19">
        <f>VLOOKUP(B343,FVM_Asta2526!A:N,14,0)</f>
        <v>15</v>
      </c>
      <c r="N343" s="18">
        <f>VLOOKUP(A343,FVM_update!B:N,13,0)</f>
        <v>9</v>
      </c>
      <c r="O343" s="20" t="str">
        <f>VLOOKUP(B343,'FVM_1luglio-31luglio25'!D:Q,14,0)</f>
        <v>#N/A</v>
      </c>
      <c r="P343" s="20">
        <f t="shared" si="17"/>
        <v>9</v>
      </c>
      <c r="Q343" s="21">
        <f t="shared" si="4"/>
        <v>1.5</v>
      </c>
      <c r="R343" s="21">
        <f t="shared" si="14"/>
        <v>1</v>
      </c>
      <c r="S343" s="20"/>
      <c r="T343" s="22"/>
      <c r="U343" s="23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</row>
    <row r="344" ht="22.5" customHeight="1">
      <c r="A344" s="9">
        <f>VLOOKUP(B344,FVM_update!A:B,2,0)</f>
        <v>4870</v>
      </c>
      <c r="B344" s="10" t="s">
        <v>239</v>
      </c>
      <c r="C344" s="11" t="s">
        <v>90</v>
      </c>
      <c r="D344" s="12" t="str">
        <f>VLOOKUP(B344,FVM_update!A:F,6,0)</f>
        <v>Cagliari</v>
      </c>
      <c r="E344" s="13" t="str">
        <f>VLOOKUP(B344,FVM_update!A:E,4,0)</f>
        <v>M;C</v>
      </c>
      <c r="F344" s="11" t="s">
        <v>45</v>
      </c>
      <c r="G344" s="14">
        <v>45839.0</v>
      </c>
      <c r="H344" s="15">
        <f t="shared" si="1"/>
        <v>46204</v>
      </c>
      <c r="I344" s="11" t="s">
        <v>48</v>
      </c>
      <c r="J344" s="16" t="str">
        <f>VLOOKUP(A344,Asteriscati25!B:N,13,0)</f>
        <v>#N/A</v>
      </c>
      <c r="K344" s="29">
        <v>0.6</v>
      </c>
      <c r="L344" s="18" t="str">
        <f t="shared" si="15"/>
        <v>#REF!</v>
      </c>
      <c r="M344" s="19">
        <f>VLOOKUP(B344,FVM_Asta2526!A:N,14,0)</f>
        <v>15</v>
      </c>
      <c r="N344" s="18">
        <f>VLOOKUP(A344,FVM_update!B:N,13,0)</f>
        <v>15</v>
      </c>
      <c r="O344" s="20">
        <f>VLOOKUP(B344,'FVM_1luglio-31luglio25'!D:Q,14,0)</f>
        <v>9</v>
      </c>
      <c r="P344" s="20">
        <f t="shared" si="17"/>
        <v>15</v>
      </c>
      <c r="Q344" s="21">
        <f t="shared" si="4"/>
        <v>1.5</v>
      </c>
      <c r="R344" s="21">
        <f t="shared" si="14"/>
        <v>1.5</v>
      </c>
      <c r="S344" s="20"/>
      <c r="T344" s="11" t="s">
        <v>235</v>
      </c>
      <c r="U344" s="23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</row>
    <row r="345" ht="22.5" customHeight="1">
      <c r="A345" s="9" t="str">
        <f>VLOOKUP(B345,FVM_update!A:B,2,0)</f>
        <v>#N/A</v>
      </c>
      <c r="B345" s="25" t="s">
        <v>390</v>
      </c>
      <c r="C345" s="11" t="s">
        <v>90</v>
      </c>
      <c r="D345" s="12" t="str">
        <f>VLOOKUP(B345,FVM_update!A:F,6,0)</f>
        <v>#N/A</v>
      </c>
      <c r="E345" s="13" t="str">
        <f>VLOOKUP(B345,FVM_update!A:E,4,0)</f>
        <v>#N/A</v>
      </c>
      <c r="F345" s="11" t="s">
        <v>43</v>
      </c>
      <c r="G345" s="14">
        <v>45474.0</v>
      </c>
      <c r="H345" s="15">
        <f t="shared" si="1"/>
        <v>401768</v>
      </c>
      <c r="I345" s="11" t="s">
        <v>43</v>
      </c>
      <c r="J345" s="16" t="str">
        <f>VLOOKUP(A345,Asteriscati25!B:N,13,0)</f>
        <v>#N/A</v>
      </c>
      <c r="K345" s="26">
        <v>0.0</v>
      </c>
      <c r="L345" s="18" t="str">
        <f t="shared" si="15"/>
        <v>#REF!</v>
      </c>
      <c r="M345" s="19">
        <f>VLOOKUP(B345,FVM_Asta2425!A:M,13,0)</f>
        <v>1</v>
      </c>
      <c r="N345" s="18" t="str">
        <f>VLOOKUP(A345,FVM_update!B:N,13,0)</f>
        <v>#N/A</v>
      </c>
      <c r="O345" s="20">
        <f>VLOOKUP(B345,'FVM_1luglio-31luglio25'!D:Q,14,0)</f>
        <v>1</v>
      </c>
      <c r="P345" s="20">
        <f t="shared" si="17"/>
        <v>1</v>
      </c>
      <c r="Q345" s="21">
        <f t="shared" si="4"/>
        <v>0.5</v>
      </c>
      <c r="R345" s="21">
        <f t="shared" si="14"/>
        <v>0.5</v>
      </c>
      <c r="S345" s="20"/>
      <c r="T345" s="22"/>
      <c r="U345" s="23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</row>
    <row r="346" ht="22.5" customHeight="1">
      <c r="A346" s="9">
        <f>VLOOKUP(B346,FVM_update!A:B,2,0)</f>
        <v>4887</v>
      </c>
      <c r="B346" s="10" t="s">
        <v>391</v>
      </c>
      <c r="C346" s="11" t="s">
        <v>90</v>
      </c>
      <c r="D346" s="12" t="str">
        <f>VLOOKUP(B346,FVM_update!A:F,6,0)</f>
        <v>Atalanta</v>
      </c>
      <c r="E346" s="13" t="str">
        <f>VLOOKUP(B346,FVM_update!A:E,4,0)</f>
        <v>E</v>
      </c>
      <c r="F346" s="11" t="s">
        <v>45</v>
      </c>
      <c r="G346" s="14">
        <v>45839.0</v>
      </c>
      <c r="H346" s="15">
        <f t="shared" si="1"/>
        <v>46204</v>
      </c>
      <c r="I346" s="11" t="s">
        <v>48</v>
      </c>
      <c r="J346" s="16" t="str">
        <f>VLOOKUP(A346,Asteriscati25!B:N,13,0)</f>
        <v>#N/A</v>
      </c>
      <c r="K346" s="17"/>
      <c r="L346" s="18" t="str">
        <f t="shared" si="15"/>
        <v>#REF!</v>
      </c>
      <c r="M346" s="19">
        <f>VLOOKUP(B346,FVM_Asta2526!A:N,14,0)</f>
        <v>51</v>
      </c>
      <c r="N346" s="18">
        <f>VLOOKUP(A346,FVM_update!B:N,13,0)</f>
        <v>16</v>
      </c>
      <c r="O346" s="20">
        <f>VLOOKUP(B346,'FVM_1luglio-31luglio25'!D:Q,14,0)</f>
        <v>44</v>
      </c>
      <c r="P346" s="20">
        <f t="shared" si="17"/>
        <v>16</v>
      </c>
      <c r="Q346" s="21">
        <f t="shared" si="4"/>
        <v>5.5</v>
      </c>
      <c r="R346" s="21">
        <f t="shared" si="14"/>
        <v>5.5</v>
      </c>
      <c r="S346" s="20"/>
      <c r="T346" s="22"/>
      <c r="U346" s="23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</row>
    <row r="347" ht="22.5" customHeight="1">
      <c r="A347" s="9">
        <f>VLOOKUP(B347,FVM_update!A:B,2,0)</f>
        <v>6666</v>
      </c>
      <c r="B347" s="10" t="s">
        <v>102</v>
      </c>
      <c r="C347" s="11" t="s">
        <v>90</v>
      </c>
      <c r="D347" s="12" t="str">
        <f>VLOOKUP(B347,FVM_update!A:F,6,0)</f>
        <v>Parma</v>
      </c>
      <c r="E347" s="13" t="str">
        <f>VLOOKUP(B347,FVM_update!A:E,4,0)</f>
        <v>C</v>
      </c>
      <c r="F347" s="11" t="s">
        <v>55</v>
      </c>
      <c r="G347" s="14">
        <v>45839.0</v>
      </c>
      <c r="H347" s="15">
        <f t="shared" si="1"/>
        <v>46569</v>
      </c>
      <c r="I347" s="11" t="s">
        <v>71</v>
      </c>
      <c r="J347" s="16" t="str">
        <f>VLOOKUP(A347,Asteriscati25!B:N,13,0)</f>
        <v>#N/A</v>
      </c>
      <c r="K347" s="29">
        <v>0.0</v>
      </c>
      <c r="L347" s="18" t="str">
        <f t="shared" si="15"/>
        <v>#REF!</v>
      </c>
      <c r="M347" s="19">
        <f>VLOOKUP(B347,FVM_Asta2526!A:N,14,0)</f>
        <v>36</v>
      </c>
      <c r="N347" s="18">
        <f>VLOOKUP(A347,FVM_update!B:N,13,0)</f>
        <v>32</v>
      </c>
      <c r="O347" s="20" t="str">
        <f>VLOOKUP(B347,'FVM_1luglio-31luglio25'!D:Q,14,0)</f>
        <v>#N/A</v>
      </c>
      <c r="P347" s="20">
        <f t="shared" si="17"/>
        <v>32</v>
      </c>
      <c r="Q347" s="21">
        <f t="shared" si="4"/>
        <v>5</v>
      </c>
      <c r="R347" s="21">
        <f t="shared" si="14"/>
        <v>0</v>
      </c>
      <c r="S347" s="20"/>
      <c r="T347" s="22"/>
      <c r="U347" s="23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</row>
    <row r="348" ht="22.5" customHeight="1">
      <c r="A348" s="9">
        <f>VLOOKUP(B348,FVM_update!A:B,2,0)</f>
        <v>6519</v>
      </c>
      <c r="B348" s="25" t="s">
        <v>392</v>
      </c>
      <c r="C348" s="11" t="s">
        <v>90</v>
      </c>
      <c r="D348" s="12" t="str">
        <f>VLOOKUP(B348,FVM_update!A:F,6,0)</f>
        <v>Lecce</v>
      </c>
      <c r="E348" s="13" t="str">
        <f>VLOOKUP(B348,FVM_update!A:E,4,0)</f>
        <v>Pc</v>
      </c>
      <c r="F348" s="11" t="s">
        <v>45</v>
      </c>
      <c r="G348" s="14">
        <v>45839.0</v>
      </c>
      <c r="H348" s="15">
        <f t="shared" si="1"/>
        <v>46204</v>
      </c>
      <c r="I348" s="11" t="s">
        <v>46</v>
      </c>
      <c r="J348" s="16" t="str">
        <f>VLOOKUP(A348,Asteriscati25!B:N,13,0)</f>
        <v>#N/A</v>
      </c>
      <c r="K348" s="26">
        <v>0.0</v>
      </c>
      <c r="L348" s="18" t="str">
        <f t="shared" si="15"/>
        <v>#REF!</v>
      </c>
      <c r="M348" s="27">
        <f>VLOOKUP(B348,FVM_Asta2526!A:N,14,0)</f>
        <v>19</v>
      </c>
      <c r="N348" s="18">
        <f>VLOOKUP(A348,FVM_update!B:N,13,0)</f>
        <v>8</v>
      </c>
      <c r="O348" s="20">
        <f>VLOOKUP(B348,'FVM_1luglio-31luglio25'!D:Q,14,0)</f>
        <v>3</v>
      </c>
      <c r="P348" s="20">
        <f t="shared" si="17"/>
        <v>8</v>
      </c>
      <c r="Q348" s="21">
        <f t="shared" si="4"/>
        <v>2</v>
      </c>
      <c r="R348" s="21">
        <f t="shared" si="14"/>
        <v>1</v>
      </c>
      <c r="S348" s="20"/>
      <c r="T348" s="22"/>
      <c r="U348" s="23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</row>
    <row r="349" ht="22.5" customHeight="1">
      <c r="A349" s="9">
        <f>VLOOKUP(B349,FVM_update!A:B,2,0)</f>
        <v>4431</v>
      </c>
      <c r="B349" s="25" t="s">
        <v>393</v>
      </c>
      <c r="C349" s="11" t="s">
        <v>90</v>
      </c>
      <c r="D349" s="12" t="str">
        <f>VLOOKUP(B349,FVM_update!A:F,6,0)</f>
        <v>Atalanta</v>
      </c>
      <c r="E349" s="13" t="str">
        <f>VLOOKUP(B349,FVM_update!A:E,4,0)</f>
        <v>Por</v>
      </c>
      <c r="F349" s="17" t="str">
        <f>VLOOKUP(B349,'situazione contratti estate 24'!A:I,9,0)</f>
        <v>Obbligo 1+2</v>
      </c>
      <c r="G349" s="14">
        <v>45108.0</v>
      </c>
      <c r="H349" s="15">
        <f t="shared" si="1"/>
        <v>46204</v>
      </c>
      <c r="I349" s="11" t="s">
        <v>48</v>
      </c>
      <c r="J349" s="16" t="str">
        <f>VLOOKUP(A349,Asteriscati25!B:N,13,0)</f>
        <v>#N/A</v>
      </c>
      <c r="K349" s="26">
        <v>0.0</v>
      </c>
      <c r="L349" s="18" t="str">
        <f t="shared" si="15"/>
        <v>#REF!</v>
      </c>
      <c r="M349" s="19">
        <f>VLOOKUP(B349,FVM_Asta2324!C:M,11,0)</f>
        <v>16</v>
      </c>
      <c r="N349" s="18">
        <f>VLOOKUP(A349,FVM_update!B:N,13,0)</f>
        <v>72</v>
      </c>
      <c r="O349" s="20">
        <f>VLOOKUP(B349,'FVM_1luglio-31luglio25'!D:Q,14,0)</f>
        <v>60</v>
      </c>
      <c r="P349" s="20">
        <f t="shared" si="17"/>
        <v>72</v>
      </c>
      <c r="Q349" s="21">
        <f t="shared" si="4"/>
        <v>2</v>
      </c>
      <c r="R349" s="21">
        <f t="shared" si="14"/>
        <v>2</v>
      </c>
      <c r="S349" s="20"/>
      <c r="T349" s="22"/>
      <c r="U349" s="23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</row>
    <row r="350" ht="22.5" customHeight="1">
      <c r="A350" s="9">
        <f>VLOOKUP(B350,FVM_update!A:B,2,0)</f>
        <v>2155</v>
      </c>
      <c r="B350" s="10" t="s">
        <v>394</v>
      </c>
      <c r="C350" s="11" t="s">
        <v>90</v>
      </c>
      <c r="D350" s="12" t="str">
        <f>VLOOKUP(B350,FVM_update!A:F,6,0)</f>
        <v>Parma</v>
      </c>
      <c r="E350" s="13" t="str">
        <f>VLOOKUP(B350,FVM_update!A:E,4,0)</f>
        <v>Pc</v>
      </c>
      <c r="F350" s="11" t="s">
        <v>45</v>
      </c>
      <c r="G350" s="14">
        <v>45839.0</v>
      </c>
      <c r="H350" s="15">
        <f t="shared" si="1"/>
        <v>46204</v>
      </c>
      <c r="I350" s="11" t="s">
        <v>46</v>
      </c>
      <c r="J350" s="16" t="str">
        <f>VLOOKUP(A350,Asteriscati25!B:N,13,0)</f>
        <v>#N/A</v>
      </c>
      <c r="K350" s="17"/>
      <c r="L350" s="18" t="str">
        <f t="shared" si="15"/>
        <v>#REF!</v>
      </c>
      <c r="M350" s="19">
        <f>VLOOKUP(B350,FVM_Asta2526!A:N,14,0)</f>
        <v>21</v>
      </c>
      <c r="N350" s="18">
        <f>VLOOKUP(A350,FVM_update!B:N,13,0)</f>
        <v>11</v>
      </c>
      <c r="O350" s="20">
        <f>VLOOKUP(B350,'FVM_1luglio-31luglio25'!D:Q,14,0)</f>
        <v>20</v>
      </c>
      <c r="P350" s="20">
        <f t="shared" si="17"/>
        <v>11</v>
      </c>
      <c r="Q350" s="21">
        <f t="shared" si="4"/>
        <v>2.5</v>
      </c>
      <c r="R350" s="21">
        <f t="shared" si="14"/>
        <v>1.5</v>
      </c>
      <c r="S350" s="20"/>
      <c r="T350" s="22"/>
      <c r="U350" s="23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</row>
    <row r="351" ht="22.5" customHeight="1">
      <c r="A351" s="9">
        <f>VLOOKUP(B351,FVM_update!A:B,2,0)</f>
        <v>5637</v>
      </c>
      <c r="B351" s="10" t="s">
        <v>395</v>
      </c>
      <c r="C351" s="11" t="s">
        <v>90</v>
      </c>
      <c r="D351" s="12" t="str">
        <f>VLOOKUP(B351,FVM_update!A:F,6,0)</f>
        <v>Udinese</v>
      </c>
      <c r="E351" s="13" t="str">
        <f>VLOOKUP(B351,FVM_update!A:E,4,0)</f>
        <v>Pc</v>
      </c>
      <c r="F351" s="11" t="s">
        <v>45</v>
      </c>
      <c r="G351" s="14">
        <v>45839.0</v>
      </c>
      <c r="H351" s="15">
        <f t="shared" si="1"/>
        <v>46204</v>
      </c>
      <c r="I351" s="11" t="s">
        <v>48</v>
      </c>
      <c r="J351" s="16" t="str">
        <f>VLOOKUP(A351,Asteriscati25!B:N,13,0)</f>
        <v>#N/A</v>
      </c>
      <c r="K351" s="17"/>
      <c r="L351" s="18" t="str">
        <f t="shared" si="15"/>
        <v>#REF!</v>
      </c>
      <c r="M351" s="19">
        <f>VLOOKUP(B351,FVM_Asta2526!A:N,14,0)</f>
        <v>47</v>
      </c>
      <c r="N351" s="18">
        <f>VLOOKUP(A351,FVM_update!B:N,13,0)</f>
        <v>81</v>
      </c>
      <c r="O351" s="20">
        <f>VLOOKUP(B351,'FVM_1luglio-31luglio25'!D:Q,14,0)</f>
        <v>8</v>
      </c>
      <c r="P351" s="20">
        <f t="shared" si="17"/>
        <v>81</v>
      </c>
      <c r="Q351" s="21">
        <f t="shared" si="4"/>
        <v>5</v>
      </c>
      <c r="R351" s="21">
        <f t="shared" si="14"/>
        <v>5</v>
      </c>
      <c r="S351" s="20"/>
      <c r="T351" s="22"/>
      <c r="U351" s="23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</row>
    <row r="352" ht="22.5" customHeight="1">
      <c r="A352" s="9">
        <f>VLOOKUP(B352,FVM_update!A:B,2,0)</f>
        <v>2517</v>
      </c>
      <c r="B352" s="10" t="s">
        <v>396</v>
      </c>
      <c r="C352" s="11" t="s">
        <v>90</v>
      </c>
      <c r="D352" s="12" t="str">
        <f>VLOOKUP(B352,FVM_update!A:F,6,0)</f>
        <v>Napoli</v>
      </c>
      <c r="E352" s="13" t="str">
        <f>VLOOKUP(B352,FVM_update!A:E,4,0)</f>
        <v>T</v>
      </c>
      <c r="F352" s="11" t="s">
        <v>45</v>
      </c>
      <c r="G352" s="14">
        <v>45839.0</v>
      </c>
      <c r="H352" s="15">
        <f t="shared" si="1"/>
        <v>46204</v>
      </c>
      <c r="I352" s="11" t="s">
        <v>46</v>
      </c>
      <c r="J352" s="16" t="str">
        <f>VLOOKUP(A352,Asteriscati25!B:N,13,0)</f>
        <v>#N/A</v>
      </c>
      <c r="K352" s="17"/>
      <c r="L352" s="18" t="str">
        <f t="shared" si="15"/>
        <v>#REF!</v>
      </c>
      <c r="M352" s="19">
        <f>VLOOKUP(B352,FVM_Asta2526!A:N,14,0)</f>
        <v>139</v>
      </c>
      <c r="N352" s="18">
        <f>VLOOKUP(A352,FVM_update!B:N,13,0)</f>
        <v>80</v>
      </c>
      <c r="O352" s="20" t="str">
        <f>VLOOKUP(B352,'FVM_1luglio-31luglio25'!D:Q,14,0)</f>
        <v>#N/A</v>
      </c>
      <c r="P352" s="20">
        <f t="shared" si="17"/>
        <v>80</v>
      </c>
      <c r="Q352" s="21">
        <f t="shared" si="4"/>
        <v>14</v>
      </c>
      <c r="R352" s="21">
        <f t="shared" si="14"/>
        <v>7</v>
      </c>
      <c r="S352" s="20"/>
      <c r="T352" s="22"/>
      <c r="U352" s="23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</row>
    <row r="353" ht="22.5" customHeight="1">
      <c r="A353" s="9">
        <f>VLOOKUP(B353,FVM_update!A:B,2,0)</f>
        <v>5513</v>
      </c>
      <c r="B353" s="10" t="s">
        <v>250</v>
      </c>
      <c r="C353" s="11" t="s">
        <v>90</v>
      </c>
      <c r="D353" s="12" t="str">
        <f>VLOOKUP(B353,FVM_update!A:F,6,0)</f>
        <v>Inter</v>
      </c>
      <c r="E353" s="13" t="str">
        <f>VLOOKUP(B353,FVM_update!A:E,4,0)</f>
        <v>E</v>
      </c>
      <c r="F353" s="11" t="s">
        <v>59</v>
      </c>
      <c r="G353" s="14">
        <v>45839.0</v>
      </c>
      <c r="H353" s="15">
        <f t="shared" si="1"/>
        <v>46935</v>
      </c>
      <c r="I353" s="11" t="s">
        <v>71</v>
      </c>
      <c r="J353" s="16" t="str">
        <f>VLOOKUP(A353,Asteriscati25!B:N,13,0)</f>
        <v>#N/A</v>
      </c>
      <c r="K353" s="29">
        <v>0.2</v>
      </c>
      <c r="L353" s="18" t="str">
        <f t="shared" si="15"/>
        <v>#REF!</v>
      </c>
      <c r="M353" s="19">
        <f>VLOOKUP(B353,FVM_Asta2526!A:N,14,0)</f>
        <v>107</v>
      </c>
      <c r="N353" s="18">
        <f>VLOOKUP(A353,FVM_update!B:N,13,0)</f>
        <v>25</v>
      </c>
      <c r="O353" s="20">
        <f>VLOOKUP(B353,'FVM_1luglio-31luglio25'!D:Q,14,0)</f>
        <v>69</v>
      </c>
      <c r="P353" s="20">
        <f t="shared" si="17"/>
        <v>25</v>
      </c>
      <c r="Q353" s="21">
        <f t="shared" si="4"/>
        <v>12.5</v>
      </c>
      <c r="R353" s="21">
        <f t="shared" si="14"/>
        <v>2.5</v>
      </c>
      <c r="S353" s="20"/>
      <c r="T353" s="22"/>
      <c r="U353" s="23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</row>
    <row r="354" ht="22.5" customHeight="1">
      <c r="A354" s="9">
        <f>VLOOKUP(B354,FVM_update!A:B,2,0)</f>
        <v>5273</v>
      </c>
      <c r="B354" s="10" t="s">
        <v>254</v>
      </c>
      <c r="C354" s="11" t="s">
        <v>90</v>
      </c>
      <c r="D354" s="12" t="str">
        <f>VLOOKUP(B354,FVM_update!A:F,6,0)</f>
        <v>Milan</v>
      </c>
      <c r="E354" s="13" t="str">
        <f>VLOOKUP(B354,FVM_update!A:E,4,0)</f>
        <v>Ds;E</v>
      </c>
      <c r="F354" s="11" t="s">
        <v>45</v>
      </c>
      <c r="G354" s="14">
        <v>45839.0</v>
      </c>
      <c r="H354" s="15">
        <f t="shared" si="1"/>
        <v>46204</v>
      </c>
      <c r="I354" s="11" t="s">
        <v>89</v>
      </c>
      <c r="J354" s="16" t="str">
        <f>VLOOKUP(A354,Asteriscati25!B:N,13,0)</f>
        <v>#N/A</v>
      </c>
      <c r="K354" s="29">
        <v>0.8</v>
      </c>
      <c r="L354" s="18" t="str">
        <f t="shared" si="15"/>
        <v>#REF!</v>
      </c>
      <c r="M354" s="19">
        <f>VLOOKUP(B354,FVM_Asta2526!A:N,14,0)</f>
        <v>39</v>
      </c>
      <c r="N354" s="18">
        <f>VLOOKUP(A354,FVM_update!B:N,13,0)</f>
        <v>10</v>
      </c>
      <c r="O354" s="20" t="str">
        <f>VLOOKUP(B354,'FVM_1luglio-31luglio25'!D:Q,14,0)</f>
        <v>#N/A</v>
      </c>
      <c r="P354" s="20">
        <f t="shared" si="17"/>
        <v>10</v>
      </c>
      <c r="Q354" s="21">
        <f t="shared" si="4"/>
        <v>4</v>
      </c>
      <c r="R354" s="21">
        <f t="shared" si="14"/>
        <v>3.5</v>
      </c>
      <c r="S354" s="20"/>
      <c r="T354" s="11" t="s">
        <v>235</v>
      </c>
      <c r="U354" s="23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</row>
    <row r="355" ht="22.5" customHeight="1">
      <c r="A355" s="9">
        <f>VLOOKUP(B355,FVM_update!A:B,2,0)</f>
        <v>6365</v>
      </c>
      <c r="B355" s="10" t="s">
        <v>397</v>
      </c>
      <c r="C355" s="11" t="s">
        <v>90</v>
      </c>
      <c r="D355" s="12" t="str">
        <f>VLOOKUP(B355,FVM_update!A:F,6,0)</f>
        <v>Roma</v>
      </c>
      <c r="E355" s="13" t="str">
        <f>VLOOKUP(B355,FVM_update!A:E,4,0)</f>
        <v>Pc</v>
      </c>
      <c r="F355" s="11" t="s">
        <v>55</v>
      </c>
      <c r="G355" s="14">
        <v>45839.0</v>
      </c>
      <c r="H355" s="15">
        <f t="shared" si="1"/>
        <v>46569</v>
      </c>
      <c r="I355" s="11" t="s">
        <v>48</v>
      </c>
      <c r="J355" s="16" t="str">
        <f>VLOOKUP(A355,Asteriscati25!B:N,13,0)</f>
        <v>#N/A</v>
      </c>
      <c r="K355" s="17"/>
      <c r="L355" s="18" t="str">
        <f t="shared" si="15"/>
        <v>#REF!</v>
      </c>
      <c r="M355" s="19">
        <f>VLOOKUP(B355,FVM_Asta2526!A:N,14,0)</f>
        <v>162</v>
      </c>
      <c r="N355" s="18">
        <f>VLOOKUP(A355,FVM_update!B:N,13,0)</f>
        <v>21</v>
      </c>
      <c r="O355" s="20" t="str">
        <f>VLOOKUP(B355,'FVM_1luglio-31luglio25'!D:Q,14,0)</f>
        <v>#N/A</v>
      </c>
      <c r="P355" s="20">
        <f t="shared" si="17"/>
        <v>21</v>
      </c>
      <c r="Q355" s="21">
        <f t="shared" si="4"/>
        <v>21.5</v>
      </c>
      <c r="R355" s="21">
        <f t="shared" si="14"/>
        <v>21.5</v>
      </c>
      <c r="S355" s="20"/>
      <c r="T355" s="22"/>
      <c r="U355" s="23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</row>
    <row r="356" ht="22.5" customHeight="1">
      <c r="A356" s="9">
        <f>VLOOKUP(B356,FVM_update!A:B,2,0)</f>
        <v>2848</v>
      </c>
      <c r="B356" s="25" t="s">
        <v>256</v>
      </c>
      <c r="C356" s="11" t="s">
        <v>90</v>
      </c>
      <c r="D356" s="12" t="str">
        <f>VLOOKUP(B356,FVM_update!A:F,6,0)</f>
        <v>Inter</v>
      </c>
      <c r="E356" s="13" t="str">
        <f>VLOOKUP(B356,FVM_update!A:E,4,0)</f>
        <v>C;T</v>
      </c>
      <c r="F356" s="17" t="str">
        <f>VLOOKUP(B356,'situazione contratti estate 24'!A:I,9,0)</f>
        <v>Obbligo 1+2</v>
      </c>
      <c r="G356" s="14">
        <v>45108.0</v>
      </c>
      <c r="H356" s="15">
        <f t="shared" si="1"/>
        <v>46204</v>
      </c>
      <c r="I356" s="11" t="s">
        <v>89</v>
      </c>
      <c r="J356" s="16" t="str">
        <f>VLOOKUP(A356,Asteriscati25!B:N,13,0)</f>
        <v>#N/A</v>
      </c>
      <c r="K356" s="26">
        <v>0.8</v>
      </c>
      <c r="L356" s="18" t="str">
        <f t="shared" si="15"/>
        <v>#REF!</v>
      </c>
      <c r="M356" s="19">
        <f>VLOOKUP(B356,FVM_Asta2324!C:M,11,0)</f>
        <v>54</v>
      </c>
      <c r="N356" s="18">
        <f>VLOOKUP(A356,FVM_update!B:N,13,0)</f>
        <v>10</v>
      </c>
      <c r="O356" s="20">
        <f>VLOOKUP(B356,'FVM_1luglio-31luglio25'!D:Q,14,0)</f>
        <v>41</v>
      </c>
      <c r="P356" s="20">
        <f t="shared" si="17"/>
        <v>10</v>
      </c>
      <c r="Q356" s="21">
        <f t="shared" si="4"/>
        <v>6.5</v>
      </c>
      <c r="R356" s="21">
        <f t="shared" si="14"/>
        <v>5.5</v>
      </c>
      <c r="S356" s="20"/>
      <c r="T356" s="11" t="s">
        <v>235</v>
      </c>
      <c r="U356" s="23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</row>
    <row r="357" ht="22.5" customHeight="1">
      <c r="A357" s="9">
        <f>VLOOKUP(B357,FVM_update!A:B,2,0)</f>
        <v>6722</v>
      </c>
      <c r="B357" s="10" t="s">
        <v>398</v>
      </c>
      <c r="C357" s="11" t="s">
        <v>90</v>
      </c>
      <c r="D357" s="12" t="str">
        <f>VLOOKUP(B357,FVM_update!A:F,6,0)</f>
        <v>Genoa</v>
      </c>
      <c r="E357" s="13" t="str">
        <f>VLOOKUP(B357,FVM_update!A:E,4,0)</f>
        <v>W;T</v>
      </c>
      <c r="F357" s="11" t="s">
        <v>45</v>
      </c>
      <c r="G357" s="14">
        <v>45839.0</v>
      </c>
      <c r="H357" s="15">
        <f t="shared" si="1"/>
        <v>46204</v>
      </c>
      <c r="I357" s="11" t="s">
        <v>46</v>
      </c>
      <c r="J357" s="16" t="str">
        <f>VLOOKUP(A357,Asteriscati25!B:N,13,0)</f>
        <v>#N/A</v>
      </c>
      <c r="K357" s="17"/>
      <c r="L357" s="18" t="str">
        <f t="shared" si="15"/>
        <v>#REF!</v>
      </c>
      <c r="M357" s="19">
        <f>VLOOKUP(B357,FVM_Asta2526!A:N,14,0)</f>
        <v>32</v>
      </c>
      <c r="N357" s="18">
        <f>VLOOKUP(A357,FVM_update!B:N,13,0)</f>
        <v>4</v>
      </c>
      <c r="O357" s="20" t="str">
        <f>VLOOKUP(B357,'FVM_1luglio-31luglio25'!D:Q,14,0)</f>
        <v>#N/A</v>
      </c>
      <c r="P357" s="20">
        <f t="shared" si="17"/>
        <v>4</v>
      </c>
      <c r="Q357" s="21">
        <f t="shared" si="4"/>
        <v>3.5</v>
      </c>
      <c r="R357" s="21">
        <f t="shared" si="14"/>
        <v>2</v>
      </c>
      <c r="S357" s="20"/>
      <c r="T357" s="22"/>
      <c r="U357" s="23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</row>
    <row r="358" ht="22.5" customHeight="1">
      <c r="A358" s="9">
        <f>VLOOKUP(B358,FVM_update!A:B,2,0)</f>
        <v>7272</v>
      </c>
      <c r="B358" s="25" t="s">
        <v>399</v>
      </c>
      <c r="C358" s="11" t="s">
        <v>90</v>
      </c>
      <c r="D358" s="12" t="str">
        <f>VLOOKUP(B358,FVM_update!A:F,6,0)</f>
        <v>Udinese</v>
      </c>
      <c r="E358" s="13" t="str">
        <f>VLOOKUP(B358,FVM_update!A:E,4,0)</f>
        <v>Pc</v>
      </c>
      <c r="F358" s="11" t="s">
        <v>43</v>
      </c>
      <c r="G358" s="14">
        <v>45839.0</v>
      </c>
      <c r="H358" s="15">
        <f t="shared" si="1"/>
        <v>401768</v>
      </c>
      <c r="I358" s="11" t="s">
        <v>43</v>
      </c>
      <c r="J358" s="16" t="str">
        <f>VLOOKUP(A358,Asteriscati25!B:N,13,0)</f>
        <v>#N/A</v>
      </c>
      <c r="K358" s="17"/>
      <c r="L358" s="18" t="str">
        <f t="shared" si="15"/>
        <v>#REF!</v>
      </c>
      <c r="M358" s="19">
        <f>VLOOKUP(B358,FVM_Asta2526!A:N,14,0)</f>
        <v>1</v>
      </c>
      <c r="N358" s="18">
        <f>VLOOKUP(A358,FVM_update!B:N,13,0)</f>
        <v>1</v>
      </c>
      <c r="O358" s="20" t="str">
        <f>VLOOKUP(B358,'FVM_1luglio-31luglio25'!D:Q,14,0)</f>
        <v>#N/A</v>
      </c>
      <c r="P358" s="20">
        <f t="shared" si="17"/>
        <v>1</v>
      </c>
      <c r="Q358" s="21">
        <f t="shared" si="4"/>
        <v>0.5</v>
      </c>
      <c r="R358" s="21">
        <f t="shared" si="14"/>
        <v>0.5</v>
      </c>
      <c r="S358" s="20"/>
      <c r="T358" s="22"/>
      <c r="U358" s="23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</row>
    <row r="359" ht="22.5" customHeight="1">
      <c r="A359" s="9">
        <f>VLOOKUP(B359,FVM_update!A:B,2,0)</f>
        <v>5578</v>
      </c>
      <c r="B359" s="10" t="s">
        <v>260</v>
      </c>
      <c r="C359" s="11" t="s">
        <v>90</v>
      </c>
      <c r="D359" s="12" t="str">
        <f>VLOOKUP(B359,FVM_update!A:F,6,0)</f>
        <v>Atalanta</v>
      </c>
      <c r="E359" s="13" t="str">
        <f>VLOOKUP(B359,FVM_update!A:E,4,0)</f>
        <v>Dd;Dc</v>
      </c>
      <c r="F359" s="11" t="s">
        <v>45</v>
      </c>
      <c r="G359" s="14">
        <v>45839.0</v>
      </c>
      <c r="H359" s="15">
        <f t="shared" si="1"/>
        <v>46204</v>
      </c>
      <c r="I359" s="11" t="s">
        <v>71</v>
      </c>
      <c r="J359" s="16" t="str">
        <f>VLOOKUP(A359,Asteriscati25!B:N,13,0)</f>
        <v>#N/A</v>
      </c>
      <c r="K359" s="29">
        <v>0.2</v>
      </c>
      <c r="L359" s="18" t="str">
        <f t="shared" si="15"/>
        <v>#REF!</v>
      </c>
      <c r="M359" s="19">
        <f>VLOOKUP(B359,FVM_Asta2526!A:N,14,0)</f>
        <v>24</v>
      </c>
      <c r="N359" s="18">
        <f>VLOOKUP(A359,FVM_update!B:N,13,0)</f>
        <v>12</v>
      </c>
      <c r="O359" s="20">
        <f>VLOOKUP(B359,'FVM_1luglio-31luglio25'!D:Q,14,0)</f>
        <v>19</v>
      </c>
      <c r="P359" s="20">
        <f t="shared" si="17"/>
        <v>12</v>
      </c>
      <c r="Q359" s="21">
        <f t="shared" si="4"/>
        <v>2.5</v>
      </c>
      <c r="R359" s="21">
        <f t="shared" si="14"/>
        <v>0.5</v>
      </c>
      <c r="S359" s="20"/>
      <c r="T359" s="22"/>
      <c r="U359" s="23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</row>
    <row r="360" ht="22.5" customHeight="1">
      <c r="A360" s="9">
        <f>VLOOKUP(B360,FVM_update!A:B,2,0)</f>
        <v>4730</v>
      </c>
      <c r="B360" s="10" t="s">
        <v>400</v>
      </c>
      <c r="C360" s="11" t="s">
        <v>90</v>
      </c>
      <c r="D360" s="12" t="str">
        <f>VLOOKUP(B360,FVM_update!A:F,6,0)</f>
        <v>Atalanta</v>
      </c>
      <c r="E360" s="13" t="str">
        <f>VLOOKUP(B360,FVM_update!A:E,4,0)</f>
        <v>A</v>
      </c>
      <c r="F360" s="11" t="s">
        <v>59</v>
      </c>
      <c r="G360" s="14">
        <v>45839.0</v>
      </c>
      <c r="H360" s="15">
        <f t="shared" si="1"/>
        <v>46935</v>
      </c>
      <c r="I360" s="11" t="s">
        <v>46</v>
      </c>
      <c r="J360" s="16" t="str">
        <f>VLOOKUP(A360,Asteriscati25!B:N,13,0)</f>
        <v>#N/A</v>
      </c>
      <c r="K360" s="17"/>
      <c r="L360" s="18" t="str">
        <f t="shared" si="15"/>
        <v>#REF!</v>
      </c>
      <c r="M360" s="19">
        <f>VLOOKUP(B360,FVM_Asta2526!A:N,14,0)</f>
        <v>123</v>
      </c>
      <c r="N360" s="18">
        <f>VLOOKUP(A360,FVM_update!B:N,13,0)</f>
        <v>65</v>
      </c>
      <c r="O360" s="20">
        <f>VLOOKUP(B360,'FVM_1luglio-31luglio25'!D:Q,14,0)</f>
        <v>282</v>
      </c>
      <c r="P360" s="20">
        <f t="shared" si="17"/>
        <v>65</v>
      </c>
      <c r="Q360" s="21">
        <f t="shared" si="4"/>
        <v>14.5</v>
      </c>
      <c r="R360" s="21">
        <f t="shared" si="14"/>
        <v>7.5</v>
      </c>
      <c r="S360" s="20"/>
      <c r="T360" s="22"/>
      <c r="U360" s="23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</row>
    <row r="361" ht="22.5" customHeight="1">
      <c r="A361" s="9">
        <f>VLOOKUP(B361,FVM_update!A:B,2,0)</f>
        <v>4665</v>
      </c>
      <c r="B361" s="10" t="s">
        <v>401</v>
      </c>
      <c r="C361" s="11" t="s">
        <v>90</v>
      </c>
      <c r="D361" s="12" t="str">
        <f>VLOOKUP(B361,FVM_update!A:F,6,0)</f>
        <v>Torino</v>
      </c>
      <c r="E361" s="13" t="str">
        <f>VLOOKUP(B361,FVM_update!A:E,4,0)</f>
        <v>Dc</v>
      </c>
      <c r="F361" s="11" t="s">
        <v>45</v>
      </c>
      <c r="G361" s="14">
        <v>45839.0</v>
      </c>
      <c r="H361" s="15">
        <f t="shared" si="1"/>
        <v>46204</v>
      </c>
      <c r="I361" s="11" t="s">
        <v>48</v>
      </c>
      <c r="J361" s="16" t="str">
        <f>VLOOKUP(A361,Asteriscati25!B:N,13,0)</f>
        <v>#N/A</v>
      </c>
      <c r="K361" s="17"/>
      <c r="L361" s="18" t="str">
        <f t="shared" si="15"/>
        <v>#REF!</v>
      </c>
      <c r="M361" s="19">
        <f>VLOOKUP(B361,FVM_Asta2526!A:N,14,0)</f>
        <v>13</v>
      </c>
      <c r="N361" s="18">
        <f>VLOOKUP(A361,FVM_update!B:N,13,0)</f>
        <v>20</v>
      </c>
      <c r="O361" s="20">
        <f>VLOOKUP(B361,'FVM_1luglio-31luglio25'!D:Q,14,0)</f>
        <v>17</v>
      </c>
      <c r="P361" s="20">
        <f t="shared" si="17"/>
        <v>20</v>
      </c>
      <c r="Q361" s="21">
        <f t="shared" si="4"/>
        <v>1.5</v>
      </c>
      <c r="R361" s="21">
        <f t="shared" si="14"/>
        <v>1.5</v>
      </c>
      <c r="S361" s="20"/>
      <c r="T361" s="22"/>
      <c r="U361" s="23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</row>
    <row r="362" ht="22.5" customHeight="1">
      <c r="A362" s="9">
        <f>VLOOKUP(B362,FVM_update!A:B,2,0)</f>
        <v>2188</v>
      </c>
      <c r="B362" s="10" t="s">
        <v>402</v>
      </c>
      <c r="C362" s="11" t="s">
        <v>90</v>
      </c>
      <c r="D362" s="12" t="str">
        <f>VLOOKUP(B362,FVM_update!A:F,6,0)</f>
        <v>Lazio</v>
      </c>
      <c r="E362" s="13" t="str">
        <f>VLOOKUP(B362,FVM_update!A:E,4,0)</f>
        <v>Dd;Ds;E</v>
      </c>
      <c r="F362" s="11" t="s">
        <v>45</v>
      </c>
      <c r="G362" s="14">
        <v>45839.0</v>
      </c>
      <c r="H362" s="15">
        <f t="shared" si="1"/>
        <v>46204</v>
      </c>
      <c r="I362" s="11" t="s">
        <v>48</v>
      </c>
      <c r="J362" s="16" t="str">
        <f>VLOOKUP(A362,Asteriscati25!B:N,13,0)</f>
        <v>#N/A</v>
      </c>
      <c r="K362" s="17"/>
      <c r="L362" s="18" t="str">
        <f t="shared" si="15"/>
        <v>#REF!</v>
      </c>
      <c r="M362" s="19">
        <f>VLOOKUP(B362,FVM_Asta2526!A:N,14,0)</f>
        <v>26</v>
      </c>
      <c r="N362" s="18">
        <f>VLOOKUP(A362,FVM_update!B:N,13,0)</f>
        <v>17</v>
      </c>
      <c r="O362" s="20">
        <f>VLOOKUP(B362,'FVM_1luglio-31luglio25'!D:Q,14,0)</f>
        <v>21</v>
      </c>
      <c r="P362" s="20">
        <f t="shared" si="17"/>
        <v>17</v>
      </c>
      <c r="Q362" s="21">
        <f t="shared" si="4"/>
        <v>3</v>
      </c>
      <c r="R362" s="21">
        <f t="shared" si="14"/>
        <v>3</v>
      </c>
      <c r="S362" s="20"/>
      <c r="T362" s="22"/>
      <c r="U362" s="23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</row>
    <row r="363" ht="22.5" customHeight="1">
      <c r="A363" s="9">
        <f>VLOOKUP(B363,FVM_update!A:B,2,0)</f>
        <v>6917</v>
      </c>
      <c r="B363" s="10" t="s">
        <v>403</v>
      </c>
      <c r="C363" s="11" t="s">
        <v>90</v>
      </c>
      <c r="D363" s="12" t="str">
        <f>VLOOKUP(B363,FVM_update!A:F,6,0)</f>
        <v>Genoa</v>
      </c>
      <c r="E363" s="13" t="str">
        <f>VLOOKUP(B363,FVM_update!A:E,4,0)</f>
        <v>M;C</v>
      </c>
      <c r="F363" s="11" t="s">
        <v>45</v>
      </c>
      <c r="G363" s="14">
        <v>45839.0</v>
      </c>
      <c r="H363" s="15">
        <f t="shared" si="1"/>
        <v>46204</v>
      </c>
      <c r="I363" s="11" t="s">
        <v>48</v>
      </c>
      <c r="J363" s="16" t="str">
        <f>VLOOKUP(A363,Asteriscati25!B:N,13,0)</f>
        <v>#N/A</v>
      </c>
      <c r="K363" s="17"/>
      <c r="L363" s="18" t="str">
        <f t="shared" si="15"/>
        <v>#REF!</v>
      </c>
      <c r="M363" s="19">
        <f>VLOOKUP(B363,FVM_Asta2526!A:N,14,0)</f>
        <v>17</v>
      </c>
      <c r="N363" s="18">
        <f>VLOOKUP(A363,FVM_update!B:N,13,0)</f>
        <v>12</v>
      </c>
      <c r="O363" s="20">
        <f>VLOOKUP(B363,'FVM_1luglio-31luglio25'!D:Q,14,0)</f>
        <v>14</v>
      </c>
      <c r="P363" s="20">
        <f t="shared" si="17"/>
        <v>12</v>
      </c>
      <c r="Q363" s="21">
        <f t="shared" si="4"/>
        <v>2</v>
      </c>
      <c r="R363" s="21">
        <f t="shared" si="14"/>
        <v>2</v>
      </c>
      <c r="S363" s="20"/>
      <c r="T363" s="22"/>
      <c r="U363" s="23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</row>
    <row r="364" ht="22.5" customHeight="1">
      <c r="A364" s="9">
        <f>VLOOKUP(B364,FVM_update!A:B,2,0)</f>
        <v>6411</v>
      </c>
      <c r="B364" s="10" t="s">
        <v>404</v>
      </c>
      <c r="C364" s="11" t="s">
        <v>90</v>
      </c>
      <c r="D364" s="12" t="str">
        <f>VLOOKUP(B364,FVM_update!A:F,6,0)</f>
        <v>Pisa</v>
      </c>
      <c r="E364" s="13" t="str">
        <f>VLOOKUP(B364,FVM_update!A:E,4,0)</f>
        <v>Dc</v>
      </c>
      <c r="F364" s="11" t="s">
        <v>45</v>
      </c>
      <c r="G364" s="14">
        <v>45839.0</v>
      </c>
      <c r="H364" s="15">
        <f t="shared" si="1"/>
        <v>46204</v>
      </c>
      <c r="I364" s="11" t="s">
        <v>46</v>
      </c>
      <c r="J364" s="16" t="str">
        <f>VLOOKUP(A364,Asteriscati25!B:N,13,0)</f>
        <v>#N/A</v>
      </c>
      <c r="K364" s="17"/>
      <c r="L364" s="18" t="str">
        <f t="shared" si="15"/>
        <v>#REF!</v>
      </c>
      <c r="M364" s="19">
        <f>VLOOKUP(B364,FVM_Asta2526!A:N,14,0)</f>
        <v>7</v>
      </c>
      <c r="N364" s="18">
        <f>VLOOKUP(A364,FVM_update!B:N,13,0)</f>
        <v>5</v>
      </c>
      <c r="O364" s="20" t="str">
        <f>VLOOKUP(B364,'FVM_1luglio-31luglio25'!D:Q,14,0)</f>
        <v>#N/A</v>
      </c>
      <c r="P364" s="20">
        <f t="shared" si="17"/>
        <v>5</v>
      </c>
      <c r="Q364" s="21">
        <f t="shared" si="4"/>
        <v>1</v>
      </c>
      <c r="R364" s="21">
        <f t="shared" si="14"/>
        <v>0.5</v>
      </c>
      <c r="S364" s="20"/>
      <c r="T364" s="22"/>
      <c r="U364" s="23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</row>
    <row r="365" ht="22.5" customHeight="1">
      <c r="A365" s="9">
        <f>VLOOKUP(B365,FVM_update!A:B,2,0)</f>
        <v>4777</v>
      </c>
      <c r="B365" s="43" t="s">
        <v>405</v>
      </c>
      <c r="C365" s="112" t="s">
        <v>90</v>
      </c>
      <c r="D365" s="12" t="str">
        <f>VLOOKUP(B365,FVM_update!A:F,6,0)</f>
        <v>Napoli</v>
      </c>
      <c r="E365" s="13" t="str">
        <f>VLOOKUP(B365,FVM_update!A:E,4,0)</f>
        <v>C;T</v>
      </c>
      <c r="F365" s="65" t="s">
        <v>59</v>
      </c>
      <c r="G365" s="15">
        <v>45474.0</v>
      </c>
      <c r="H365" s="15">
        <f t="shared" si="1"/>
        <v>46569</v>
      </c>
      <c r="I365" s="33" t="s">
        <v>71</v>
      </c>
      <c r="J365" s="34" t="str">
        <f>VLOOKUP(A365,Asteriscati25!B:N,13,0)</f>
        <v>#N/A</v>
      </c>
      <c r="K365" s="67">
        <v>0.6</v>
      </c>
      <c r="L365" s="18" t="str">
        <f t="shared" si="15"/>
        <v>#REF!</v>
      </c>
      <c r="M365" s="47">
        <f>VLOOKUP(B365,FVM_Asta2425!A:M,13,0)</f>
        <v>70</v>
      </c>
      <c r="N365" s="18">
        <f>VLOOKUP(A365,FVM_update!B:N,13,0)</f>
        <v>206</v>
      </c>
      <c r="O365" s="20">
        <f>VLOOKUP(B365,'FVM_1luglio-31luglio25'!D:Q,14,0)</f>
        <v>137</v>
      </c>
      <c r="P365" s="36">
        <f t="shared" si="17"/>
        <v>206</v>
      </c>
      <c r="Q365" s="21">
        <f t="shared" si="4"/>
        <v>8.5</v>
      </c>
      <c r="R365" s="21">
        <f t="shared" si="14"/>
        <v>5.5</v>
      </c>
      <c r="S365" s="37"/>
      <c r="T365" s="114" t="s">
        <v>148</v>
      </c>
      <c r="U365" s="115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</row>
    <row r="366" ht="22.5" customHeight="1">
      <c r="A366" s="9">
        <f>VLOOKUP(B366,FVM_update!A:B,2,0)</f>
        <v>4777</v>
      </c>
      <c r="B366" s="43" t="s">
        <v>405</v>
      </c>
      <c r="C366" s="112" t="s">
        <v>90</v>
      </c>
      <c r="D366" s="12" t="str">
        <f>VLOOKUP(B366,FVM_update!A:F,6,0)</f>
        <v>Napoli</v>
      </c>
      <c r="E366" s="13" t="str">
        <f>VLOOKUP(B366,FVM_update!A:E,4,0)</f>
        <v>C;T</v>
      </c>
      <c r="F366" s="65" t="s">
        <v>59</v>
      </c>
      <c r="G366" s="15">
        <v>45474.0</v>
      </c>
      <c r="H366" s="15">
        <f t="shared" si="1"/>
        <v>46569</v>
      </c>
      <c r="I366" s="33" t="s">
        <v>89</v>
      </c>
      <c r="J366" s="34" t="str">
        <f>VLOOKUP(A366,Asteriscati25!B:N,13,0)</f>
        <v>#N/A</v>
      </c>
      <c r="K366" s="67">
        <v>0.4</v>
      </c>
      <c r="L366" s="18" t="str">
        <f t="shared" si="15"/>
        <v>#REF!</v>
      </c>
      <c r="M366" s="47">
        <f>VLOOKUP(B366,FVM_Asta2425!A:M,13,0)</f>
        <v>70</v>
      </c>
      <c r="N366" s="18">
        <f>VLOOKUP(A366,FVM_update!B:N,13,0)</f>
        <v>206</v>
      </c>
      <c r="O366" s="20">
        <f>VLOOKUP(B366,'FVM_1luglio-31luglio25'!D:Q,14,0)</f>
        <v>137</v>
      </c>
      <c r="P366" s="36">
        <f t="shared" si="17"/>
        <v>206</v>
      </c>
      <c r="Q366" s="21">
        <f t="shared" si="4"/>
        <v>8.5</v>
      </c>
      <c r="R366" s="21">
        <f t="shared" si="14"/>
        <v>3.5</v>
      </c>
      <c r="S366" s="37"/>
      <c r="T366" s="114" t="s">
        <v>148</v>
      </c>
      <c r="U366" s="115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</row>
    <row r="367" ht="22.5" customHeight="1">
      <c r="A367" s="9">
        <f>VLOOKUP(B367,FVM_update!A:B,2,0)</f>
        <v>7208</v>
      </c>
      <c r="B367" s="10" t="s">
        <v>406</v>
      </c>
      <c r="C367" s="11" t="s">
        <v>90</v>
      </c>
      <c r="D367" s="12" t="str">
        <f>VLOOKUP(B367,FVM_update!A:F,6,0)</f>
        <v>Udinese</v>
      </c>
      <c r="E367" s="13" t="str">
        <f>VLOOKUP(B367,FVM_update!A:E,4,0)</f>
        <v>M;C</v>
      </c>
      <c r="F367" s="11" t="s">
        <v>55</v>
      </c>
      <c r="G367" s="14">
        <v>45839.0</v>
      </c>
      <c r="H367" s="15">
        <f t="shared" si="1"/>
        <v>46569</v>
      </c>
      <c r="I367" s="11" t="s">
        <v>48</v>
      </c>
      <c r="J367" s="16" t="str">
        <f>VLOOKUP(A367,Asteriscati25!B:N,13,0)</f>
        <v>#N/A</v>
      </c>
      <c r="K367" s="17"/>
      <c r="L367" s="18" t="str">
        <f t="shared" si="15"/>
        <v>#REF!</v>
      </c>
      <c r="M367" s="19">
        <f>VLOOKUP(B367,FVM_Asta2526!A:N,14,0)</f>
        <v>12</v>
      </c>
      <c r="N367" s="18">
        <f>VLOOKUP(A367,FVM_update!B:N,13,0)</f>
        <v>17</v>
      </c>
      <c r="O367" s="20" t="str">
        <f>VLOOKUP(B367,'FVM_1luglio-31luglio25'!D:Q,14,0)</f>
        <v>#N/A</v>
      </c>
      <c r="P367" s="20">
        <f t="shared" si="17"/>
        <v>17</v>
      </c>
      <c r="Q367" s="21">
        <f t="shared" si="4"/>
        <v>2</v>
      </c>
      <c r="R367" s="21">
        <f t="shared" si="14"/>
        <v>2</v>
      </c>
      <c r="S367" s="20"/>
      <c r="T367" s="22"/>
      <c r="U367" s="23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</row>
    <row r="368" ht="22.5" customHeight="1">
      <c r="A368" s="9">
        <f>VLOOKUP(B368,FVM_update!A:B,2,0)</f>
        <v>4957</v>
      </c>
      <c r="B368" s="25" t="s">
        <v>407</v>
      </c>
      <c r="C368" s="11" t="s">
        <v>90</v>
      </c>
      <c r="D368" s="12" t="str">
        <f>VLOOKUP(B368,FVM_update!A:F,6,0)</f>
        <v>Verona</v>
      </c>
      <c r="E368" s="13" t="str">
        <f>VLOOKUP(B368,FVM_update!A:E,4,0)</f>
        <v>Por</v>
      </c>
      <c r="F368" s="11" t="s">
        <v>141</v>
      </c>
      <c r="G368" s="85">
        <v>45689.0</v>
      </c>
      <c r="H368" s="15">
        <f t="shared" si="1"/>
        <v>46235</v>
      </c>
      <c r="I368" s="11" t="s">
        <v>46</v>
      </c>
      <c r="J368" s="16" t="str">
        <f>VLOOKUP(A368,Asteriscati25!B:N,13,0)</f>
        <v>#N/A</v>
      </c>
      <c r="K368" s="26">
        <v>0.0</v>
      </c>
      <c r="L368" s="18" t="str">
        <f t="shared" si="15"/>
        <v>#REF!</v>
      </c>
      <c r="M368" s="27">
        <v>10.0</v>
      </c>
      <c r="N368" s="18">
        <f>VLOOKUP(A368,FVM_update!B:N,13,0)</f>
        <v>2</v>
      </c>
      <c r="O368" s="20" t="str">
        <f>VLOOKUP(B368,'FVM_1luglio-31luglio25'!D:Q,14,0)</f>
        <v>#N/A</v>
      </c>
      <c r="P368" s="20">
        <f t="shared" si="17"/>
        <v>2</v>
      </c>
      <c r="Q368" s="21">
        <f t="shared" si="4"/>
        <v>1.5</v>
      </c>
      <c r="R368" s="21">
        <f t="shared" si="14"/>
        <v>1</v>
      </c>
      <c r="S368" s="20"/>
      <c r="T368" s="22"/>
      <c r="U368" s="23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</row>
    <row r="369" ht="22.5" customHeight="1">
      <c r="A369" s="9">
        <f>VLOOKUP(B369,FVM_update!A:B,2,0)</f>
        <v>6145</v>
      </c>
      <c r="B369" s="120" t="s">
        <v>308</v>
      </c>
      <c r="C369" s="121" t="s">
        <v>90</v>
      </c>
      <c r="D369" s="12" t="str">
        <f>VLOOKUP(B369,FVM_update!A:F,6,0)</f>
        <v>Torino</v>
      </c>
      <c r="E369" s="13" t="str">
        <f>VLOOKUP(B369,FVM_update!A:E,4,0)</f>
        <v>A</v>
      </c>
      <c r="F369" s="122" t="s">
        <v>45</v>
      </c>
      <c r="G369" s="85">
        <v>45839.0</v>
      </c>
      <c r="H369" s="15">
        <f t="shared" si="1"/>
        <v>46204</v>
      </c>
      <c r="I369" s="123" t="s">
        <v>46</v>
      </c>
      <c r="J369" s="124" t="str">
        <f>VLOOKUP(A369,Asteriscati25!B:N,13,0)</f>
        <v>#N/A</v>
      </c>
      <c r="K369" s="125">
        <v>1.0</v>
      </c>
      <c r="L369" s="126" t="str">
        <f t="shared" si="15"/>
        <v>#REF!</v>
      </c>
      <c r="M369" s="19">
        <f>VLOOKUP(B369,FVM_Asta2526!A:N,14,0)</f>
        <v>20</v>
      </c>
      <c r="N369" s="18">
        <f>VLOOKUP(A369,FVM_update!B:N,13,0)</f>
        <v>11</v>
      </c>
      <c r="O369" s="127">
        <f>VLOOKUP(B369,'FVM_1luglio-31luglio25'!D:Q,14,0)</f>
        <v>13</v>
      </c>
      <c r="P369" s="127">
        <f t="shared" si="17"/>
        <v>11</v>
      </c>
      <c r="Q369" s="21">
        <f t="shared" si="4"/>
        <v>2</v>
      </c>
      <c r="R369" s="21">
        <f t="shared" si="14"/>
        <v>1</v>
      </c>
      <c r="S369" s="128"/>
      <c r="T369" s="129" t="s">
        <v>245</v>
      </c>
      <c r="U369" s="130" t="s">
        <v>408</v>
      </c>
      <c r="V369" s="131"/>
      <c r="W369" s="131"/>
      <c r="X369" s="131"/>
      <c r="Y369" s="131"/>
      <c r="Z369" s="131"/>
      <c r="AA369" s="131"/>
      <c r="AB369" s="131"/>
      <c r="AC369" s="131"/>
      <c r="AD369" s="131"/>
      <c r="AE369" s="131"/>
      <c r="AF369" s="131"/>
      <c r="AG369" s="131"/>
      <c r="AH369" s="131"/>
      <c r="AI369" s="131"/>
      <c r="AJ369" s="131"/>
      <c r="AK369" s="131"/>
      <c r="AL369" s="131"/>
      <c r="AM369" s="131"/>
    </row>
    <row r="370" ht="22.5" customHeight="1">
      <c r="A370" s="9">
        <f>VLOOKUP(B370,FVM_update!A:B,2,0)</f>
        <v>4349</v>
      </c>
      <c r="B370" s="102" t="s">
        <v>118</v>
      </c>
      <c r="C370" s="132" t="s">
        <v>90</v>
      </c>
      <c r="D370" s="12" t="str">
        <f>VLOOKUP(B370,FVM_update!A:F,6,0)</f>
        <v>Parma</v>
      </c>
      <c r="E370" s="13" t="str">
        <f>VLOOKUP(B370,FVM_update!A:E,4,0)</f>
        <v>M;C</v>
      </c>
      <c r="F370" s="133" t="s">
        <v>45</v>
      </c>
      <c r="G370" s="82">
        <v>45839.0</v>
      </c>
      <c r="H370" s="15">
        <f t="shared" si="1"/>
        <v>46204</v>
      </c>
      <c r="I370" s="103" t="s">
        <v>89</v>
      </c>
      <c r="J370" s="104" t="str">
        <f>VLOOKUP(A370,Asteriscati25!B:N,13,0)</f>
        <v>#N/A</v>
      </c>
      <c r="K370" s="105">
        <v>1.0</v>
      </c>
      <c r="L370" s="106" t="str">
        <f t="shared" si="15"/>
        <v>#REF!</v>
      </c>
      <c r="M370" s="19">
        <f>VLOOKUP(B370,FVM_Asta2526!A:N,14,0)</f>
        <v>28</v>
      </c>
      <c r="N370" s="18">
        <f>VLOOKUP(A370,FVM_update!B:N,13,0)</f>
        <v>17</v>
      </c>
      <c r="O370" s="107">
        <f>VLOOKUP(B370,'FVM_1luglio-31luglio25'!D:Q,14,0)</f>
        <v>27</v>
      </c>
      <c r="P370" s="107">
        <f t="shared" si="17"/>
        <v>17</v>
      </c>
      <c r="Q370" s="21">
        <f t="shared" si="4"/>
        <v>3</v>
      </c>
      <c r="R370" s="21">
        <f t="shared" si="14"/>
        <v>3</v>
      </c>
      <c r="S370" s="108"/>
      <c r="T370" s="134" t="s">
        <v>99</v>
      </c>
      <c r="U370" s="110" t="s">
        <v>409</v>
      </c>
      <c r="V370" s="111"/>
      <c r="W370" s="111"/>
      <c r="X370" s="111"/>
      <c r="Y370" s="111"/>
      <c r="Z370" s="111"/>
      <c r="AA370" s="111"/>
      <c r="AB370" s="111"/>
      <c r="AC370" s="111"/>
      <c r="AD370" s="111"/>
      <c r="AE370" s="111"/>
      <c r="AF370" s="111"/>
      <c r="AG370" s="111"/>
      <c r="AH370" s="111"/>
      <c r="AI370" s="111"/>
      <c r="AJ370" s="111"/>
      <c r="AK370" s="111"/>
      <c r="AL370" s="111"/>
      <c r="AM370" s="111"/>
    </row>
    <row r="371" ht="22.5" customHeight="1">
      <c r="A371" s="9">
        <f>VLOOKUP(B371,FVM_update!A:B,2,0)</f>
        <v>5701</v>
      </c>
      <c r="B371" s="10" t="s">
        <v>266</v>
      </c>
      <c r="C371" s="11" t="s">
        <v>90</v>
      </c>
      <c r="D371" s="12" t="str">
        <f>VLOOKUP(B371,FVM_update!A:F,6,0)</f>
        <v>Cagliari</v>
      </c>
      <c r="E371" s="13" t="str">
        <f>VLOOKUP(B371,FVM_update!A:E,4,0)</f>
        <v>Ds;Dc</v>
      </c>
      <c r="F371" s="11" t="s">
        <v>45</v>
      </c>
      <c r="G371" s="14">
        <v>45839.0</v>
      </c>
      <c r="H371" s="15">
        <f t="shared" si="1"/>
        <v>46204</v>
      </c>
      <c r="I371" s="11" t="s">
        <v>71</v>
      </c>
      <c r="J371" s="16" t="str">
        <f>VLOOKUP(A371,Asteriscati25!B:N,13,0)</f>
        <v>#N/A</v>
      </c>
      <c r="K371" s="29">
        <v>0.4</v>
      </c>
      <c r="L371" s="18" t="str">
        <f t="shared" si="15"/>
        <v>#REF!</v>
      </c>
      <c r="M371" s="19">
        <f>VLOOKUP(B371,FVM_Asta2526!A:N,14,0)</f>
        <v>11</v>
      </c>
      <c r="N371" s="18">
        <f>VLOOKUP(A371,FVM_update!B:N,13,0)</f>
        <v>17</v>
      </c>
      <c r="O371" s="20">
        <f>VLOOKUP(B371,'FVM_1luglio-31luglio25'!D:Q,14,0)</f>
        <v>7</v>
      </c>
      <c r="P371" s="20">
        <f t="shared" si="17"/>
        <v>17</v>
      </c>
      <c r="Q371" s="21">
        <f t="shared" si="4"/>
        <v>1.5</v>
      </c>
      <c r="R371" s="21">
        <f t="shared" si="14"/>
        <v>1</v>
      </c>
      <c r="S371" s="20"/>
      <c r="T371" s="22"/>
      <c r="U371" s="23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</row>
    <row r="372" ht="22.5" customHeight="1">
      <c r="A372" s="9">
        <f>VLOOKUP(B372,FVM_update!A:B,2,0)</f>
        <v>5022</v>
      </c>
      <c r="B372" s="25" t="s">
        <v>410</v>
      </c>
      <c r="C372" s="11" t="s">
        <v>90</v>
      </c>
      <c r="D372" s="12" t="str">
        <f>VLOOKUP(B372,FVM_update!A:F,6,0)</f>
        <v>Milan</v>
      </c>
      <c r="E372" s="13" t="str">
        <f>VLOOKUP(B372,FVM_update!A:E,4,0)</f>
        <v>Dc</v>
      </c>
      <c r="F372" s="11" t="s">
        <v>59</v>
      </c>
      <c r="G372" s="14">
        <v>45474.0</v>
      </c>
      <c r="H372" s="15">
        <f t="shared" si="1"/>
        <v>46569</v>
      </c>
      <c r="I372" s="11" t="s">
        <v>48</v>
      </c>
      <c r="J372" s="16" t="str">
        <f>VLOOKUP(A372,Asteriscati25!B:N,13,0)</f>
        <v>#N/A</v>
      </c>
      <c r="K372" s="26">
        <v>0.0</v>
      </c>
      <c r="L372" s="18" t="str">
        <f t="shared" si="15"/>
        <v>#REF!</v>
      </c>
      <c r="M372" s="19">
        <f>VLOOKUP(B372,FVM_Asta2425!A:M,13,0)</f>
        <v>29</v>
      </c>
      <c r="N372" s="18">
        <f>VLOOKUP(A372,FVM_update!B:N,13,0)</f>
        <v>30</v>
      </c>
      <c r="O372" s="20">
        <f>VLOOKUP(B372,'FVM_1luglio-31luglio25'!D:Q,14,0)</f>
        <v>21</v>
      </c>
      <c r="P372" s="20">
        <f t="shared" si="17"/>
        <v>30</v>
      </c>
      <c r="Q372" s="21">
        <f t="shared" si="4"/>
        <v>3.5</v>
      </c>
      <c r="R372" s="21">
        <f t="shared" si="14"/>
        <v>3.5</v>
      </c>
      <c r="S372" s="20"/>
      <c r="T372" s="22"/>
      <c r="U372" s="23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</row>
    <row r="373" ht="22.5" customHeight="1">
      <c r="A373" s="9">
        <f>VLOOKUP(B373,FVM_update!A:B,2,0)</f>
        <v>6151</v>
      </c>
      <c r="B373" s="10" t="s">
        <v>88</v>
      </c>
      <c r="C373" s="11" t="s">
        <v>90</v>
      </c>
      <c r="D373" s="12" t="str">
        <f>VLOOKUP(B373,FVM_update!A:F,6,0)</f>
        <v>Como</v>
      </c>
      <c r="E373" s="13" t="str">
        <f>VLOOKUP(B373,FVM_update!A:E,4,0)</f>
        <v>M;C</v>
      </c>
      <c r="F373" s="11" t="s">
        <v>45</v>
      </c>
      <c r="G373" s="14">
        <v>45839.0</v>
      </c>
      <c r="H373" s="15">
        <f t="shared" si="1"/>
        <v>46204</v>
      </c>
      <c r="I373" s="11" t="s">
        <v>71</v>
      </c>
      <c r="J373" s="16" t="str">
        <f>VLOOKUP(A373,Asteriscati25!B:N,13,0)</f>
        <v>#N/A</v>
      </c>
      <c r="K373" s="29">
        <v>0.0</v>
      </c>
      <c r="L373" s="18" t="str">
        <f t="shared" si="15"/>
        <v>#REF!</v>
      </c>
      <c r="M373" s="19">
        <f>VLOOKUP(B373,FVM_Asta2526!A:N,14,0)</f>
        <v>21</v>
      </c>
      <c r="N373" s="18">
        <f>VLOOKUP(A373,FVM_update!B:N,13,0)</f>
        <v>45</v>
      </c>
      <c r="O373" s="20">
        <f>VLOOKUP(B373,'FVM_1luglio-31luglio25'!D:Q,14,0)</f>
        <v>13</v>
      </c>
      <c r="P373" s="20">
        <f t="shared" si="17"/>
        <v>45</v>
      </c>
      <c r="Q373" s="21">
        <f t="shared" si="4"/>
        <v>2.5</v>
      </c>
      <c r="R373" s="21">
        <f t="shared" si="14"/>
        <v>0</v>
      </c>
      <c r="S373" s="20"/>
      <c r="T373" s="22"/>
      <c r="U373" s="23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</row>
    <row r="374" ht="22.5" customHeight="1">
      <c r="A374" s="9">
        <f>VLOOKUP(B374,FVM_update!A:B,2,0)</f>
        <v>4459</v>
      </c>
      <c r="B374" s="10" t="s">
        <v>313</v>
      </c>
      <c r="C374" s="11" t="s">
        <v>90</v>
      </c>
      <c r="D374" s="12" t="str">
        <f>VLOOKUP(B374,FVM_update!A:F,6,0)</f>
        <v>Lazio</v>
      </c>
      <c r="E374" s="13" t="str">
        <f>VLOOKUP(B374,FVM_update!A:E,4,0)</f>
        <v>M;C</v>
      </c>
      <c r="F374" s="11" t="s">
        <v>45</v>
      </c>
      <c r="G374" s="82">
        <v>45839.0</v>
      </c>
      <c r="H374" s="15">
        <f t="shared" si="1"/>
        <v>46204</v>
      </c>
      <c r="I374" s="11" t="s">
        <v>71</v>
      </c>
      <c r="J374" s="16" t="str">
        <f>VLOOKUP(A374,Asteriscati25!B:N,13,0)</f>
        <v>#N/A</v>
      </c>
      <c r="K374" s="29">
        <v>0.0</v>
      </c>
      <c r="L374" s="18" t="str">
        <f t="shared" si="15"/>
        <v>#REF!</v>
      </c>
      <c r="M374" s="19">
        <f>VLOOKUP(B374,FVM_Asta2526!A:N,14,0)</f>
        <v>24</v>
      </c>
      <c r="N374" s="18">
        <f>VLOOKUP(A374,FVM_update!B:N,13,0)</f>
        <v>15</v>
      </c>
      <c r="O374" s="20">
        <f>VLOOKUP(B374,'FVM_1luglio-31luglio25'!D:Q,14,0)</f>
        <v>18</v>
      </c>
      <c r="P374" s="20">
        <f t="shared" si="17"/>
        <v>15</v>
      </c>
      <c r="Q374" s="21">
        <f t="shared" si="4"/>
        <v>2.5</v>
      </c>
      <c r="R374" s="21">
        <f t="shared" si="14"/>
        <v>0</v>
      </c>
      <c r="S374" s="20"/>
      <c r="T374" s="22"/>
      <c r="U374" s="97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</row>
    <row r="375" ht="22.5" customHeight="1">
      <c r="A375" s="9" t="str">
        <f>VLOOKUP(B375,FVM_update!A:B,2,0)</f>
        <v>#N/A</v>
      </c>
      <c r="B375" s="25" t="s">
        <v>411</v>
      </c>
      <c r="C375" s="11" t="s">
        <v>90</v>
      </c>
      <c r="D375" s="12" t="str">
        <f>VLOOKUP(B375,FVM_update!A:F,6,0)</f>
        <v>#N/A</v>
      </c>
      <c r="E375" s="13" t="str">
        <f>VLOOKUP(B375,FVM_update!A:E,4,0)</f>
        <v>#N/A</v>
      </c>
      <c r="F375" s="11" t="s">
        <v>43</v>
      </c>
      <c r="G375" s="14">
        <v>45474.0</v>
      </c>
      <c r="H375" s="15">
        <f t="shared" si="1"/>
        <v>401768</v>
      </c>
      <c r="I375" s="11" t="s">
        <v>43</v>
      </c>
      <c r="J375" s="16" t="str">
        <f>VLOOKUP(A375,Asteriscati25!B:N,13,0)</f>
        <v>#N/A</v>
      </c>
      <c r="K375" s="26">
        <v>0.0</v>
      </c>
      <c r="L375" s="18" t="str">
        <f t="shared" si="15"/>
        <v>#REF!</v>
      </c>
      <c r="M375" s="19" t="str">
        <f>VLOOKUP(B375,FVM_Asta2425!A:M,13,0)</f>
        <v>#N/A</v>
      </c>
      <c r="N375" s="18" t="str">
        <f>VLOOKUP(A375,FVM_update!B:N,13,0)</f>
        <v>#N/A</v>
      </c>
      <c r="O375" s="20" t="str">
        <f>VLOOKUP(B375,'FVM_1luglio-31luglio25'!D:Q,14,0)</f>
        <v>#N/A</v>
      </c>
      <c r="P375" s="20" t="str">
        <f t="shared" si="17"/>
        <v>#N/A</v>
      </c>
      <c r="Q375" s="21" t="str">
        <f t="shared" si="4"/>
        <v>#N/A</v>
      </c>
      <c r="R375" s="21">
        <f t="shared" si="14"/>
        <v>0.5</v>
      </c>
      <c r="S375" s="20"/>
      <c r="T375" s="22"/>
      <c r="U375" s="23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</row>
    <row r="376" ht="22.5" customHeight="1">
      <c r="A376" s="9">
        <f>VLOOKUP(B376,FVM_update!A:B,2,0)</f>
        <v>5319</v>
      </c>
      <c r="B376" s="10" t="s">
        <v>270</v>
      </c>
      <c r="C376" s="11" t="s">
        <v>90</v>
      </c>
      <c r="D376" s="12" t="str">
        <f>VLOOKUP(B376,FVM_update!A:F,6,0)</f>
        <v>Bologna</v>
      </c>
      <c r="E376" s="13" t="str">
        <f>VLOOKUP(B376,FVM_update!A:E,4,0)</f>
        <v>C</v>
      </c>
      <c r="F376" s="11" t="s">
        <v>45</v>
      </c>
      <c r="G376" s="14">
        <v>45839.0</v>
      </c>
      <c r="H376" s="15">
        <f t="shared" si="1"/>
        <v>46204</v>
      </c>
      <c r="I376" s="11" t="s">
        <v>71</v>
      </c>
      <c r="J376" s="16" t="str">
        <f>VLOOKUP(A376,Asteriscati25!B:N,13,0)</f>
        <v>#N/A</v>
      </c>
      <c r="K376" s="29">
        <v>0.2</v>
      </c>
      <c r="L376" s="18" t="str">
        <f t="shared" si="15"/>
        <v>#REF!</v>
      </c>
      <c r="M376" s="19">
        <f>VLOOKUP(B376,FVM_Asta2526!A:N,14,0)</f>
        <v>34</v>
      </c>
      <c r="N376" s="18">
        <f>VLOOKUP(A376,FVM_update!B:N,13,0)</f>
        <v>10</v>
      </c>
      <c r="O376" s="20">
        <f>VLOOKUP(B376,'FVM_1luglio-31luglio25'!D:Q,14,0)</f>
        <v>19</v>
      </c>
      <c r="P376" s="20">
        <f t="shared" si="17"/>
        <v>10</v>
      </c>
      <c r="Q376" s="21">
        <f t="shared" si="4"/>
        <v>3.5</v>
      </c>
      <c r="R376" s="21">
        <f t="shared" si="14"/>
        <v>1</v>
      </c>
      <c r="S376" s="20"/>
      <c r="T376" s="22"/>
      <c r="U376" s="23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</row>
    <row r="377" ht="22.5" customHeight="1">
      <c r="A377" s="9">
        <f>VLOOKUP(B377,FVM_update!A:B,2,0)</f>
        <v>4</v>
      </c>
      <c r="B377" s="10" t="s">
        <v>412</v>
      </c>
      <c r="C377" s="11" t="s">
        <v>90</v>
      </c>
      <c r="D377" s="12" t="str">
        <f>VLOOKUP(B377,FVM_update!A:F,6,0)</f>
        <v>Atalanta</v>
      </c>
      <c r="E377" s="13" t="str">
        <f>VLOOKUP(B377,FVM_update!A:E,4,0)</f>
        <v>Por</v>
      </c>
      <c r="F377" s="11" t="s">
        <v>45</v>
      </c>
      <c r="G377" s="14">
        <v>45839.0</v>
      </c>
      <c r="H377" s="15">
        <f t="shared" si="1"/>
        <v>46204</v>
      </c>
      <c r="I377" s="11" t="s">
        <v>48</v>
      </c>
      <c r="J377" s="16" t="str">
        <f>VLOOKUP(A377,Asteriscati25!B:N,13,0)</f>
        <v>#N/A</v>
      </c>
      <c r="K377" s="17"/>
      <c r="L377" s="18" t="str">
        <f t="shared" si="15"/>
        <v>#REF!</v>
      </c>
      <c r="M377" s="19">
        <f>VLOOKUP(B377,FVM_Asta2526!A:N,14,0)</f>
        <v>1</v>
      </c>
      <c r="N377" s="18">
        <f>VLOOKUP(A377,FVM_update!B:N,13,0)</f>
        <v>1</v>
      </c>
      <c r="O377" s="20">
        <f>VLOOKUP(B377,'FVM_1luglio-31luglio25'!D:Q,14,0)</f>
        <v>1</v>
      </c>
      <c r="P377" s="20">
        <f t="shared" si="17"/>
        <v>1</v>
      </c>
      <c r="Q377" s="21">
        <f t="shared" si="4"/>
        <v>0.5</v>
      </c>
      <c r="R377" s="21">
        <f t="shared" si="14"/>
        <v>0.5</v>
      </c>
      <c r="S377" s="20"/>
      <c r="T377" s="22"/>
      <c r="U377" s="23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</row>
    <row r="378" ht="22.5" customHeight="1">
      <c r="A378" s="9">
        <f>VLOOKUP(B378,FVM_update!A:B,2,0)</f>
        <v>5918</v>
      </c>
      <c r="B378" s="10" t="s">
        <v>413</v>
      </c>
      <c r="C378" s="11" t="s">
        <v>90</v>
      </c>
      <c r="D378" s="12" t="str">
        <f>VLOOKUP(B378,FVM_update!A:F,6,0)</f>
        <v>Atalanta</v>
      </c>
      <c r="E378" s="13" t="str">
        <f>VLOOKUP(B378,FVM_update!A:E,4,0)</f>
        <v>A</v>
      </c>
      <c r="F378" s="11" t="s">
        <v>59</v>
      </c>
      <c r="G378" s="14">
        <v>45839.0</v>
      </c>
      <c r="H378" s="15">
        <f t="shared" si="1"/>
        <v>46935</v>
      </c>
      <c r="I378" s="11" t="s">
        <v>126</v>
      </c>
      <c r="J378" s="16" t="str">
        <f>VLOOKUP(A378,Asteriscati25!B:N,13,0)</f>
        <v>#N/A</v>
      </c>
      <c r="K378" s="67">
        <v>1.0</v>
      </c>
      <c r="L378" s="18" t="str">
        <f t="shared" si="15"/>
        <v>#REF!</v>
      </c>
      <c r="M378" s="19">
        <f>VLOOKUP(B378,FVM_Asta2526!A:N,14,0)</f>
        <v>20</v>
      </c>
      <c r="N378" s="18">
        <f>VLOOKUP(A378,FVM_update!B:N,13,0)</f>
        <v>11</v>
      </c>
      <c r="O378" s="20" t="str">
        <f>VLOOKUP(B378,'FVM_1luglio-31luglio25'!D:Q,14,0)</f>
        <v>#N/A</v>
      </c>
      <c r="P378" s="20">
        <f t="shared" si="17"/>
        <v>11</v>
      </c>
      <c r="Q378" s="21">
        <f t="shared" si="4"/>
        <v>2.5</v>
      </c>
      <c r="R378" s="21">
        <f t="shared" si="14"/>
        <v>2.5</v>
      </c>
      <c r="S378" s="20"/>
      <c r="T378" s="11" t="s">
        <v>127</v>
      </c>
      <c r="U378" s="135" t="s">
        <v>414</v>
      </c>
      <c r="V378" s="131"/>
      <c r="W378" s="131"/>
      <c r="X378" s="131"/>
      <c r="Y378" s="131"/>
      <c r="Z378" s="131"/>
      <c r="AA378" s="131"/>
      <c r="AB378" s="131"/>
      <c r="AC378" s="131"/>
      <c r="AD378" s="131"/>
      <c r="AE378" s="131"/>
      <c r="AF378" s="131"/>
      <c r="AG378" s="131"/>
      <c r="AH378" s="131"/>
      <c r="AI378" s="131"/>
      <c r="AJ378" s="131"/>
      <c r="AK378" s="131"/>
      <c r="AL378" s="131"/>
      <c r="AM378" s="131"/>
    </row>
    <row r="379" ht="22.5" customHeight="1">
      <c r="A379" s="9">
        <f>VLOOKUP(B379,FVM_update!A:B,2,0)</f>
        <v>6957</v>
      </c>
      <c r="B379" s="10" t="s">
        <v>415</v>
      </c>
      <c r="C379" s="11" t="s">
        <v>90</v>
      </c>
      <c r="D379" s="12" t="str">
        <f>VLOOKUP(B379,FVM_update!A:F,6,0)</f>
        <v>Verona</v>
      </c>
      <c r="E379" s="13" t="str">
        <f>VLOOKUP(B379,FVM_update!A:E,4,0)</f>
        <v>Dc</v>
      </c>
      <c r="F379" s="11" t="s">
        <v>45</v>
      </c>
      <c r="G379" s="14">
        <v>45839.0</v>
      </c>
      <c r="H379" s="15">
        <f t="shared" si="1"/>
        <v>46204</v>
      </c>
      <c r="I379" s="11" t="s">
        <v>48</v>
      </c>
      <c r="J379" s="16" t="str">
        <f>VLOOKUP(A379,Asteriscati25!B:N,13,0)</f>
        <v>#N/A</v>
      </c>
      <c r="K379" s="17"/>
      <c r="L379" s="18" t="str">
        <f t="shared" si="15"/>
        <v>#REF!</v>
      </c>
      <c r="M379" s="19">
        <f>VLOOKUP(B379,FVM_Asta2526!A:N,14,0)</f>
        <v>9</v>
      </c>
      <c r="N379" s="18">
        <f>VLOOKUP(A379,FVM_update!B:N,13,0)</f>
        <v>10</v>
      </c>
      <c r="O379" s="20">
        <f>VLOOKUP(B379,'FVM_1luglio-31luglio25'!D:Q,14,0)</f>
        <v>8</v>
      </c>
      <c r="P379" s="20">
        <f t="shared" si="17"/>
        <v>10</v>
      </c>
      <c r="Q379" s="21">
        <f t="shared" si="4"/>
        <v>1</v>
      </c>
      <c r="R379" s="21">
        <f t="shared" si="14"/>
        <v>1</v>
      </c>
      <c r="S379" s="20"/>
      <c r="T379" s="22"/>
      <c r="U379" s="23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</row>
    <row r="380" ht="22.5" customHeight="1">
      <c r="A380" s="9">
        <f>VLOOKUP(B380,FVM_update!A:B,2,0)</f>
        <v>6867</v>
      </c>
      <c r="B380" s="87" t="s">
        <v>416</v>
      </c>
      <c r="C380" s="88" t="s">
        <v>90</v>
      </c>
      <c r="D380" s="12" t="str">
        <f>VLOOKUP(B380,FVM_update!A:F,6,0)</f>
        <v>Como</v>
      </c>
      <c r="E380" s="13" t="str">
        <f>VLOOKUP(B380,FVM_update!A:E,4,0)</f>
        <v>Ds;E</v>
      </c>
      <c r="F380" s="88" t="s">
        <v>45</v>
      </c>
      <c r="G380" s="14">
        <v>45839.0</v>
      </c>
      <c r="H380" s="15">
        <f t="shared" si="1"/>
        <v>46204</v>
      </c>
      <c r="I380" s="88" t="s">
        <v>48</v>
      </c>
      <c r="J380" s="92" t="str">
        <f>VLOOKUP(A380,Asteriscati25!B:N,13,0)</f>
        <v>#N/A</v>
      </c>
      <c r="K380" s="93"/>
      <c r="L380" s="58" t="str">
        <f t="shared" si="15"/>
        <v>#REF!</v>
      </c>
      <c r="M380" s="19">
        <f>VLOOKUP(B380,FVM_Asta2526!A:N,14,0)</f>
        <v>13</v>
      </c>
      <c r="N380" s="18">
        <f>VLOOKUP(A380,FVM_update!B:N,13,0)</f>
        <v>14</v>
      </c>
      <c r="O380" s="59" t="str">
        <f>VLOOKUP(B380,'FVM_1luglio-31luglio25'!D:Q,14,0)</f>
        <v>#N/A</v>
      </c>
      <c r="P380" s="59">
        <f t="shared" si="17"/>
        <v>14</v>
      </c>
      <c r="Q380" s="21">
        <f t="shared" si="4"/>
        <v>1.5</v>
      </c>
      <c r="R380" s="21">
        <f t="shared" si="14"/>
        <v>1.5</v>
      </c>
      <c r="S380" s="59"/>
      <c r="T380" s="96"/>
      <c r="U380" s="97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</row>
    <row r="381" ht="22.5" customHeight="1">
      <c r="A381" s="9">
        <f>VLOOKUP(B381,FVM_update!A:B,2,0)</f>
        <v>6896</v>
      </c>
      <c r="B381" s="10" t="s">
        <v>417</v>
      </c>
      <c r="C381" s="11" t="s">
        <v>90</v>
      </c>
      <c r="D381" s="12" t="str">
        <f>VLOOKUP(B381,FVM_update!A:F,6,0)</f>
        <v>Como</v>
      </c>
      <c r="E381" s="13" t="str">
        <f>VLOOKUP(B381,FVM_update!A:E,4,0)</f>
        <v>Dd;E</v>
      </c>
      <c r="F381" s="11" t="s">
        <v>45</v>
      </c>
      <c r="G381" s="14">
        <v>45839.0</v>
      </c>
      <c r="H381" s="15">
        <f t="shared" si="1"/>
        <v>46204</v>
      </c>
      <c r="I381" s="11" t="s">
        <v>48</v>
      </c>
      <c r="J381" s="16" t="str">
        <f>VLOOKUP(A381,Asteriscati25!B:N,13,0)</f>
        <v>#N/A</v>
      </c>
      <c r="K381" s="17"/>
      <c r="L381" s="18" t="str">
        <f t="shared" si="15"/>
        <v>#REF!</v>
      </c>
      <c r="M381" s="19">
        <f>VLOOKUP(B381,FVM_Asta2526!A:N,14,0)</f>
        <v>8</v>
      </c>
      <c r="N381" s="18">
        <f>VLOOKUP(A381,FVM_update!B:N,13,0)</f>
        <v>8</v>
      </c>
      <c r="O381" s="20">
        <f>VLOOKUP(B381,'FVM_1luglio-31luglio25'!D:Q,14,0)</f>
        <v>8</v>
      </c>
      <c r="P381" s="20">
        <f t="shared" si="17"/>
        <v>8</v>
      </c>
      <c r="Q381" s="21">
        <f t="shared" si="4"/>
        <v>1</v>
      </c>
      <c r="R381" s="21">
        <f t="shared" si="14"/>
        <v>1</v>
      </c>
      <c r="S381" s="20"/>
      <c r="T381" s="22"/>
      <c r="U381" s="23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</row>
    <row r="382" ht="22.5" customHeight="1">
      <c r="A382" s="9">
        <f>VLOOKUP(B382,FVM_update!A:B,2,0)</f>
        <v>2766</v>
      </c>
      <c r="B382" s="10" t="s">
        <v>275</v>
      </c>
      <c r="C382" s="11" t="s">
        <v>90</v>
      </c>
      <c r="D382" s="12" t="str">
        <f>VLOOKUP(B382,FVM_update!A:F,6,0)</f>
        <v>Udinese</v>
      </c>
      <c r="E382" s="13" t="str">
        <f>VLOOKUP(B382,FVM_update!A:E,4,0)</f>
        <v>T;A</v>
      </c>
      <c r="F382" s="11" t="s">
        <v>45</v>
      </c>
      <c r="G382" s="14">
        <v>45839.0</v>
      </c>
      <c r="H382" s="15">
        <f t="shared" si="1"/>
        <v>46204</v>
      </c>
      <c r="I382" s="11" t="s">
        <v>89</v>
      </c>
      <c r="J382" s="16" t="str">
        <f>VLOOKUP(A382,Asteriscati25!B:N,13,0)</f>
        <v>#N/A</v>
      </c>
      <c r="K382" s="29">
        <v>0.8</v>
      </c>
      <c r="L382" s="18" t="str">
        <f t="shared" si="15"/>
        <v>#REF!</v>
      </c>
      <c r="M382" s="19">
        <f>VLOOKUP(B382,FVM_Asta2526!A:N,14,0)</f>
        <v>25</v>
      </c>
      <c r="N382" s="18">
        <f>VLOOKUP(A382,FVM_update!B:N,13,0)</f>
        <v>80</v>
      </c>
      <c r="O382" s="20">
        <f>VLOOKUP(B382,'FVM_1luglio-31luglio25'!D:Q,14,0)</f>
        <v>20</v>
      </c>
      <c r="P382" s="20">
        <f t="shared" si="17"/>
        <v>80</v>
      </c>
      <c r="Q382" s="21">
        <f t="shared" si="4"/>
        <v>2.5</v>
      </c>
      <c r="R382" s="21">
        <f t="shared" si="14"/>
        <v>2</v>
      </c>
      <c r="S382" s="20"/>
      <c r="T382" s="11" t="s">
        <v>235</v>
      </c>
      <c r="U382" s="23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</row>
    <row r="383" ht="22.5" customHeight="1">
      <c r="A383" s="9">
        <f>VLOOKUP(B383,FVM_update!A:B,2,0)</f>
        <v>2297</v>
      </c>
      <c r="B383" s="25" t="s">
        <v>418</v>
      </c>
      <c r="C383" s="11" t="s">
        <v>90</v>
      </c>
      <c r="D383" s="12" t="str">
        <f>VLOOKUP(B383,FVM_update!A:F,6,0)</f>
        <v>Atalanta</v>
      </c>
      <c r="E383" s="13" t="str">
        <f>VLOOKUP(B383,FVM_update!A:E,4,0)</f>
        <v>Por</v>
      </c>
      <c r="F383" s="11" t="s">
        <v>92</v>
      </c>
      <c r="G383" s="14">
        <v>46054.0</v>
      </c>
      <c r="H383" s="15">
        <f t="shared" si="1"/>
        <v>46204</v>
      </c>
      <c r="I383" s="11" t="s">
        <v>93</v>
      </c>
      <c r="J383" s="16" t="str">
        <f>VLOOKUP(A383,Asteriscati25!B:N,13,0)</f>
        <v>#N/A</v>
      </c>
      <c r="K383" s="17"/>
      <c r="L383" s="18" t="str">
        <f t="shared" si="15"/>
        <v>#REF!</v>
      </c>
      <c r="M383" s="19">
        <v>1.0</v>
      </c>
      <c r="N383" s="18">
        <f>VLOOKUP(A383,FVM_update!B:N,13,0)</f>
        <v>1</v>
      </c>
      <c r="O383" s="20">
        <f>VLOOKUP(B383,'FVM_1luglio-31luglio25'!D:Q,14,0)</f>
        <v>1</v>
      </c>
      <c r="P383" s="20">
        <f t="shared" si="17"/>
        <v>1</v>
      </c>
      <c r="Q383" s="21">
        <f t="shared" si="4"/>
        <v>0.5</v>
      </c>
      <c r="R383" s="21">
        <f t="shared" si="14"/>
        <v>0.5</v>
      </c>
      <c r="S383" s="20"/>
      <c r="T383" s="17"/>
      <c r="U383" s="23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</row>
    <row r="384" ht="22.5" customHeight="1">
      <c r="A384" s="9">
        <f>VLOOKUP(B384,FVM_update!A:B,2,0)</f>
        <v>7326</v>
      </c>
      <c r="B384" s="25" t="s">
        <v>419</v>
      </c>
      <c r="C384" s="11" t="s">
        <v>90</v>
      </c>
      <c r="D384" s="12" t="str">
        <f>VLOOKUP(B384,FVM_update!A:F,6,0)</f>
        <v>Bologna</v>
      </c>
      <c r="E384" s="13" t="str">
        <f>VLOOKUP(B384,FVM_update!A:E,4,0)</f>
        <v>Dd;Dc</v>
      </c>
      <c r="F384" s="11" t="s">
        <v>92</v>
      </c>
      <c r="G384" s="14">
        <v>46054.0</v>
      </c>
      <c r="H384" s="15">
        <f t="shared" si="1"/>
        <v>46204</v>
      </c>
      <c r="I384" s="11" t="s">
        <v>93</v>
      </c>
      <c r="J384" s="16" t="str">
        <f>VLOOKUP(A384,Asteriscati25!B:N,13,0)</f>
        <v>#N/A</v>
      </c>
      <c r="K384" s="17"/>
      <c r="L384" s="18" t="str">
        <f t="shared" si="15"/>
        <v>#REF!</v>
      </c>
      <c r="M384" s="19">
        <v>10.0</v>
      </c>
      <c r="N384" s="18">
        <f>VLOOKUP(A384,FVM_update!B:N,13,0)</f>
        <v>10</v>
      </c>
      <c r="O384" s="20" t="str">
        <f>VLOOKUP(B384,'FVM_1luglio-31luglio25'!D:Q,14,0)</f>
        <v>#N/A</v>
      </c>
      <c r="P384" s="20">
        <f t="shared" si="17"/>
        <v>10</v>
      </c>
      <c r="Q384" s="21">
        <f t="shared" si="4"/>
        <v>1</v>
      </c>
      <c r="R384" s="21">
        <f t="shared" si="14"/>
        <v>0.5</v>
      </c>
      <c r="S384" s="20"/>
      <c r="T384" s="17"/>
      <c r="U384" s="23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</row>
    <row r="385" ht="22.5" customHeight="1">
      <c r="A385" s="9">
        <f>VLOOKUP(B385,FVM_update!A:B,2,0)</f>
        <v>7069</v>
      </c>
      <c r="B385" s="25" t="s">
        <v>420</v>
      </c>
      <c r="C385" s="11" t="s">
        <v>90</v>
      </c>
      <c r="D385" s="12" t="str">
        <f>VLOOKUP(B385,FVM_update!A:F,6,0)</f>
        <v>Fiorentina</v>
      </c>
      <c r="E385" s="13" t="str">
        <f>VLOOKUP(B385,FVM_update!A:E,4,0)</f>
        <v>E</v>
      </c>
      <c r="F385" s="11" t="s">
        <v>92</v>
      </c>
      <c r="G385" s="14">
        <v>46054.0</v>
      </c>
      <c r="H385" s="15">
        <f t="shared" si="1"/>
        <v>46204</v>
      </c>
      <c r="I385" s="11" t="s">
        <v>93</v>
      </c>
      <c r="J385" s="16" t="str">
        <f>VLOOKUP(A385,Asteriscati25!B:N,13,0)</f>
        <v>#N/A</v>
      </c>
      <c r="K385" s="17"/>
      <c r="L385" s="18" t="str">
        <f t="shared" si="15"/>
        <v>#REF!</v>
      </c>
      <c r="M385" s="19">
        <v>9.0</v>
      </c>
      <c r="N385" s="18">
        <f>VLOOKUP(A385,FVM_update!B:N,13,0)</f>
        <v>9</v>
      </c>
      <c r="O385" s="20" t="str">
        <f>VLOOKUP(B385,'FVM_1luglio-31luglio25'!D:Q,14,0)</f>
        <v>#N/A</v>
      </c>
      <c r="P385" s="20">
        <f t="shared" si="17"/>
        <v>9</v>
      </c>
      <c r="Q385" s="21">
        <f t="shared" si="4"/>
        <v>1</v>
      </c>
      <c r="R385" s="21">
        <f t="shared" si="14"/>
        <v>0.5</v>
      </c>
      <c r="S385" s="20"/>
      <c r="T385" s="17"/>
      <c r="U385" s="23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</row>
    <row r="386" ht="22.5" customHeight="1">
      <c r="A386" s="9">
        <f>VLOOKUP(B386,FVM_update!A:B,2,0)</f>
        <v>152</v>
      </c>
      <c r="B386" s="25" t="s">
        <v>225</v>
      </c>
      <c r="C386" s="11" t="s">
        <v>90</v>
      </c>
      <c r="D386" s="12" t="str">
        <f>VLOOKUP(B386,FVM_update!A:F,6,0)</f>
        <v>Inter</v>
      </c>
      <c r="E386" s="13" t="str">
        <f>VLOOKUP(B386,FVM_update!A:E,4,0)</f>
        <v>C;T</v>
      </c>
      <c r="F386" s="11" t="s">
        <v>74</v>
      </c>
      <c r="G386" s="14">
        <v>46054.0</v>
      </c>
      <c r="H386" s="15">
        <f t="shared" si="1"/>
        <v>46966</v>
      </c>
      <c r="I386" s="11" t="s">
        <v>93</v>
      </c>
      <c r="J386" s="16" t="str">
        <f>VLOOKUP(A386,Asteriscati25!B:N,13,0)</f>
        <v>#N/A</v>
      </c>
      <c r="K386" s="17"/>
      <c r="L386" s="18" t="str">
        <f t="shared" si="15"/>
        <v>#REF!</v>
      </c>
      <c r="M386" s="19">
        <v>40.0</v>
      </c>
      <c r="N386" s="18">
        <f>VLOOKUP(A386,FVM_update!B:N,13,0)</f>
        <v>40</v>
      </c>
      <c r="O386" s="20">
        <f>VLOOKUP(B386,'FVM_1luglio-31luglio25'!D:Q,14,0)</f>
        <v>20</v>
      </c>
      <c r="P386" s="20">
        <f t="shared" si="17"/>
        <v>40</v>
      </c>
      <c r="Q386" s="21">
        <f t="shared" si="4"/>
        <v>5</v>
      </c>
      <c r="R386" s="21">
        <f t="shared" si="14"/>
        <v>2.5</v>
      </c>
      <c r="S386" s="20"/>
      <c r="T386" s="17"/>
      <c r="U386" s="23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</row>
    <row r="387" ht="22.5" customHeight="1">
      <c r="A387" s="9">
        <f>VLOOKUP(B387,FVM_update!A:B,2,0)</f>
        <v>5735</v>
      </c>
      <c r="B387" s="25" t="s">
        <v>421</v>
      </c>
      <c r="C387" s="11" t="s">
        <v>90</v>
      </c>
      <c r="D387" s="12" t="str">
        <f>VLOOKUP(B387,FVM_update!A:F,6,0)</f>
        <v>Sassuolo</v>
      </c>
      <c r="E387" s="13" t="str">
        <f>VLOOKUP(B387,FVM_update!A:E,4,0)</f>
        <v>W;T</v>
      </c>
      <c r="F387" s="11" t="s">
        <v>92</v>
      </c>
      <c r="G387" s="14">
        <v>46054.0</v>
      </c>
      <c r="H387" s="15">
        <f t="shared" si="1"/>
        <v>46204</v>
      </c>
      <c r="I387" s="11" t="s">
        <v>93</v>
      </c>
      <c r="J387" s="16" t="str">
        <f>VLOOKUP(A387,Asteriscati25!B:N,13,0)</f>
        <v>#N/A</v>
      </c>
      <c r="K387" s="17"/>
      <c r="L387" s="18" t="str">
        <f t="shared" si="15"/>
        <v>#REF!</v>
      </c>
      <c r="M387" s="19">
        <v>19.0</v>
      </c>
      <c r="N387" s="18">
        <f>VLOOKUP(A387,FVM_update!B:N,13,0)</f>
        <v>19</v>
      </c>
      <c r="O387" s="20" t="str">
        <f>VLOOKUP(B387,'FVM_1luglio-31luglio25'!D:Q,14,0)</f>
        <v>#N/A</v>
      </c>
      <c r="P387" s="20">
        <f t="shared" si="17"/>
        <v>19</v>
      </c>
      <c r="Q387" s="21">
        <f t="shared" si="4"/>
        <v>2</v>
      </c>
      <c r="R387" s="21">
        <f t="shared" si="14"/>
        <v>1</v>
      </c>
      <c r="S387" s="20"/>
      <c r="T387" s="17"/>
      <c r="U387" s="23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</row>
    <row r="388" ht="22.5" customHeight="1">
      <c r="A388" s="9">
        <f>VLOOKUP(B388,FVM_update!A:B,2,0)</f>
        <v>2832</v>
      </c>
      <c r="B388" s="25" t="s">
        <v>422</v>
      </c>
      <c r="C388" s="11" t="s">
        <v>90</v>
      </c>
      <c r="D388" s="12" t="str">
        <f>VLOOKUP(B388,FVM_update!A:F,6,0)</f>
        <v>Juventus</v>
      </c>
      <c r="E388" s="13" t="str">
        <f>VLOOKUP(B388,FVM_update!A:E,4,0)</f>
        <v>W;A</v>
      </c>
      <c r="F388" s="11" t="s">
        <v>92</v>
      </c>
      <c r="G388" s="14">
        <v>46054.0</v>
      </c>
      <c r="H388" s="15">
        <f t="shared" si="1"/>
        <v>46204</v>
      </c>
      <c r="I388" s="11" t="s">
        <v>93</v>
      </c>
      <c r="J388" s="16" t="str">
        <f>VLOOKUP(A388,Asteriscati25!B:N,13,0)</f>
        <v>#N/A</v>
      </c>
      <c r="K388" s="17"/>
      <c r="L388" s="18" t="str">
        <f t="shared" si="15"/>
        <v>#REF!</v>
      </c>
      <c r="M388" s="19">
        <v>15.0</v>
      </c>
      <c r="N388" s="18">
        <f>VLOOKUP(A388,FVM_update!B:N,13,0)</f>
        <v>15</v>
      </c>
      <c r="O388" s="20" t="str">
        <f>VLOOKUP(B388,'FVM_1luglio-31luglio25'!D:Q,14,0)</f>
        <v>#N/A</v>
      </c>
      <c r="P388" s="20">
        <f t="shared" si="17"/>
        <v>15</v>
      </c>
      <c r="Q388" s="21">
        <f t="shared" si="4"/>
        <v>1.5</v>
      </c>
      <c r="R388" s="21">
        <f t="shared" si="14"/>
        <v>1</v>
      </c>
      <c r="S388" s="20"/>
      <c r="T388" s="17"/>
      <c r="U388" s="23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</row>
    <row r="389" ht="22.5" customHeight="1">
      <c r="A389" s="9">
        <f>VLOOKUP(B389,FVM_update!A:B,2,0)</f>
        <v>4371</v>
      </c>
      <c r="B389" s="25" t="s">
        <v>423</v>
      </c>
      <c r="C389" s="11" t="s">
        <v>90</v>
      </c>
      <c r="D389" s="12" t="str">
        <f>VLOOKUP(B389,FVM_update!A:F,6,0)</f>
        <v>Atalanta</v>
      </c>
      <c r="E389" s="13" t="str">
        <f>VLOOKUP(B389,FVM_update!A:E,4,0)</f>
        <v>A</v>
      </c>
      <c r="F389" s="11" t="s">
        <v>74</v>
      </c>
      <c r="G389" s="14">
        <v>46054.0</v>
      </c>
      <c r="H389" s="15">
        <f t="shared" si="1"/>
        <v>46966</v>
      </c>
      <c r="I389" s="11" t="s">
        <v>93</v>
      </c>
      <c r="J389" s="16" t="str">
        <f>VLOOKUP(A389,Asteriscati25!B:N,13,0)</f>
        <v>#N/A</v>
      </c>
      <c r="K389" s="17"/>
      <c r="L389" s="18" t="str">
        <f t="shared" si="15"/>
        <v>#REF!</v>
      </c>
      <c r="M389" s="19">
        <v>69.0</v>
      </c>
      <c r="N389" s="18">
        <f>VLOOKUP(A389,FVM_update!B:N,13,0)</f>
        <v>69</v>
      </c>
      <c r="O389" s="20">
        <f>VLOOKUP(B389,'FVM_1luglio-31luglio25'!D:Q,14,0)</f>
        <v>33</v>
      </c>
      <c r="P389" s="20">
        <f t="shared" si="17"/>
        <v>69</v>
      </c>
      <c r="Q389" s="21">
        <f t="shared" si="4"/>
        <v>8</v>
      </c>
      <c r="R389" s="21">
        <f t="shared" si="14"/>
        <v>4</v>
      </c>
      <c r="S389" s="20"/>
      <c r="T389" s="22"/>
      <c r="U389" s="23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</row>
    <row r="390" ht="22.5" customHeight="1">
      <c r="A390" s="9">
        <f>VLOOKUP(B390,FVM_update!A:B,2,0)</f>
        <v>6981</v>
      </c>
      <c r="B390" s="30" t="s">
        <v>424</v>
      </c>
      <c r="C390" s="11" t="s">
        <v>90</v>
      </c>
      <c r="D390" s="12" t="str">
        <f>VLOOKUP(B390,FVM_update!A:F,6,0)</f>
        <v>Roma</v>
      </c>
      <c r="E390" s="13" t="str">
        <f>VLOOKUP(B390,FVM_update!A:E,4,0)</f>
        <v>Pc</v>
      </c>
      <c r="F390" s="31" t="s">
        <v>74</v>
      </c>
      <c r="G390" s="14">
        <v>46054.0</v>
      </c>
      <c r="H390" s="15">
        <f t="shared" si="1"/>
        <v>46966</v>
      </c>
      <c r="I390" s="33" t="s">
        <v>93</v>
      </c>
      <c r="J390" s="34" t="str">
        <f>VLOOKUP(A390,Asteriscati25!B:N,13,0)</f>
        <v>#N/A</v>
      </c>
      <c r="K390" s="35"/>
      <c r="L390" s="18" t="str">
        <f t="shared" si="15"/>
        <v>#REF!</v>
      </c>
      <c r="M390" s="19">
        <v>20.0</v>
      </c>
      <c r="N390" s="18">
        <f>VLOOKUP(A390,FVM_update!B:N,13,0)</f>
        <v>20</v>
      </c>
      <c r="O390" s="20" t="str">
        <f>VLOOKUP(B390,'FVM_1luglio-31luglio25'!D:Q,14,0)</f>
        <v>#N/A</v>
      </c>
      <c r="P390" s="36">
        <f t="shared" si="17"/>
        <v>20</v>
      </c>
      <c r="Q390" s="21">
        <f t="shared" si="4"/>
        <v>2.5</v>
      </c>
      <c r="R390" s="21">
        <f t="shared" si="14"/>
        <v>1.5</v>
      </c>
      <c r="S390" s="136"/>
      <c r="T390" s="137"/>
      <c r="U390" s="39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</row>
    <row r="391" ht="22.5" customHeight="1">
      <c r="A391" s="9">
        <f>VLOOKUP(B391,FVM_update!A:B,2,0)</f>
        <v>6314</v>
      </c>
      <c r="B391" s="30" t="s">
        <v>425</v>
      </c>
      <c r="C391" s="11" t="s">
        <v>127</v>
      </c>
      <c r="D391" s="12" t="str">
        <f>VLOOKUP(B391,FVM_update!A:F,6,0)</f>
        <v>Juventus</v>
      </c>
      <c r="E391" s="13" t="str">
        <f>VLOOKUP(B391,FVM_update!A:E,4,0)</f>
        <v>Pc</v>
      </c>
      <c r="F391" s="31" t="s">
        <v>92</v>
      </c>
      <c r="G391" s="32">
        <v>46054.0</v>
      </c>
      <c r="H391" s="15">
        <f t="shared" si="1"/>
        <v>46204</v>
      </c>
      <c r="I391" s="33" t="s">
        <v>93</v>
      </c>
      <c r="J391" s="34" t="str">
        <f>VLOOKUP(A391,Asteriscati25!B:N,13,0)</f>
        <v>#N/A</v>
      </c>
      <c r="K391" s="35"/>
      <c r="L391" s="18" t="str">
        <f t="shared" si="15"/>
        <v>#REF!</v>
      </c>
      <c r="M391" s="19">
        <v>15.0</v>
      </c>
      <c r="N391" s="18">
        <f>VLOOKUP(A391,FVM_update!B:N,13,0)</f>
        <v>15</v>
      </c>
      <c r="O391" s="20" t="str">
        <f>VLOOKUP(B391,'FVM_1luglio-31luglio25'!D:Q,14,0)</f>
        <v>#N/A</v>
      </c>
      <c r="P391" s="36">
        <f t="shared" si="17"/>
        <v>15</v>
      </c>
      <c r="Q391" s="21">
        <f t="shared" si="4"/>
        <v>1.5</v>
      </c>
      <c r="R391" s="21">
        <f t="shared" si="14"/>
        <v>1</v>
      </c>
      <c r="S391" s="136">
        <v>10.0</v>
      </c>
      <c r="T391" s="42" t="s">
        <v>172</v>
      </c>
      <c r="U391" s="39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</row>
    <row r="392" ht="22.5" customHeight="1">
      <c r="A392" s="9">
        <f>VLOOKUP(B392,FVM_update!A:B,2,0)</f>
        <v>7127</v>
      </c>
      <c r="B392" s="25" t="s">
        <v>426</v>
      </c>
      <c r="C392" s="11" t="s">
        <v>127</v>
      </c>
      <c r="D392" s="12" t="str">
        <f>VLOOKUP(B392,FVM_update!A:F,6,0)</f>
        <v>Como</v>
      </c>
      <c r="E392" s="13" t="str">
        <f>VLOOKUP(B392,FVM_update!A:E,4,0)</f>
        <v>W;A</v>
      </c>
      <c r="F392" s="11" t="s">
        <v>43</v>
      </c>
      <c r="G392" s="14">
        <v>45839.0</v>
      </c>
      <c r="H392" s="15">
        <f t="shared" si="1"/>
        <v>401768</v>
      </c>
      <c r="I392" s="11" t="s">
        <v>43</v>
      </c>
      <c r="J392" s="16" t="str">
        <f>VLOOKUP(A392,Asteriscati25!B:N,13,0)</f>
        <v>#N/A</v>
      </c>
      <c r="K392" s="17"/>
      <c r="L392" s="18" t="str">
        <f t="shared" si="15"/>
        <v>#REF!</v>
      </c>
      <c r="M392" s="19">
        <f>VLOOKUP(B392,FVM_Asta2526!A:N,14,0)</f>
        <v>19</v>
      </c>
      <c r="N392" s="18">
        <f>VLOOKUP(A392,FVM_update!B:N,13,0)</f>
        <v>16</v>
      </c>
      <c r="O392" s="20" t="str">
        <f>VLOOKUP(B392,'FVM_1luglio-31luglio25'!D:Q,14,0)</f>
        <v>#N/A</v>
      </c>
      <c r="P392" s="20">
        <f t="shared" si="17"/>
        <v>16</v>
      </c>
      <c r="Q392" s="21">
        <f t="shared" si="4"/>
        <v>2.5</v>
      </c>
      <c r="R392" s="21">
        <f t="shared" si="14"/>
        <v>0.5</v>
      </c>
      <c r="S392" s="20"/>
      <c r="T392" s="22"/>
      <c r="U392" s="23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</row>
    <row r="393" ht="22.5" customHeight="1">
      <c r="A393" s="9">
        <f>VLOOKUP(B393,FVM_update!A:B,2,0)</f>
        <v>6677</v>
      </c>
      <c r="B393" s="25" t="s">
        <v>427</v>
      </c>
      <c r="C393" s="11" t="s">
        <v>127</v>
      </c>
      <c r="D393" s="12" t="str">
        <f>VLOOKUP(B393,FVM_update!A:F,6,0)</f>
        <v>Juventus</v>
      </c>
      <c r="E393" s="13" t="str">
        <f>VLOOKUP(B393,FVM_update!A:E,4,0)</f>
        <v>C;T</v>
      </c>
      <c r="F393" s="11" t="s">
        <v>45</v>
      </c>
      <c r="G393" s="14">
        <v>45839.0</v>
      </c>
      <c r="H393" s="15">
        <f t="shared" si="1"/>
        <v>46204</v>
      </c>
      <c r="I393" s="11" t="s">
        <v>51</v>
      </c>
      <c r="J393" s="16" t="str">
        <f>VLOOKUP(A393,Asteriscati25!B:N,13,0)</f>
        <v>#N/A</v>
      </c>
      <c r="K393" s="26">
        <v>0.0</v>
      </c>
      <c r="L393" s="18" t="str">
        <f t="shared" si="15"/>
        <v>#REF!</v>
      </c>
      <c r="M393" s="27">
        <f>VLOOKUP(B393,FVM_Asta2526!A:N,14,0)</f>
        <v>1</v>
      </c>
      <c r="N393" s="18">
        <f>VLOOKUP(A393,FVM_update!B:N,13,0)</f>
        <v>1</v>
      </c>
      <c r="O393" s="20">
        <f>VLOOKUP(B393,'FVM_1luglio-31luglio25'!D:Q,14,0)</f>
        <v>2</v>
      </c>
      <c r="P393" s="20">
        <f t="shared" si="17"/>
        <v>1</v>
      </c>
      <c r="Q393" s="21">
        <f t="shared" si="4"/>
        <v>0.5</v>
      </c>
      <c r="R393" s="21">
        <f t="shared" si="14"/>
        <v>0.5</v>
      </c>
      <c r="S393" s="20"/>
      <c r="T393" s="22"/>
      <c r="U393" s="23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</row>
    <row r="394" ht="22.5" customHeight="1">
      <c r="A394" s="9">
        <f>VLOOKUP(B394,FVM_update!A:B,2,0)</f>
        <v>2670</v>
      </c>
      <c r="B394" s="10" t="s">
        <v>428</v>
      </c>
      <c r="C394" s="11" t="s">
        <v>127</v>
      </c>
      <c r="D394" s="12" t="str">
        <f>VLOOKUP(B394,FVM_update!A:F,6,0)</f>
        <v>Roma</v>
      </c>
      <c r="E394" s="13" t="str">
        <f>VLOOKUP(B394,FVM_update!A:E,4,0)</f>
        <v>W;A</v>
      </c>
      <c r="F394" s="11" t="s">
        <v>59</v>
      </c>
      <c r="G394" s="14">
        <v>45839.0</v>
      </c>
      <c r="H394" s="15">
        <f t="shared" si="1"/>
        <v>46935</v>
      </c>
      <c r="I394" s="11" t="s">
        <v>46</v>
      </c>
      <c r="J394" s="16" t="str">
        <f>VLOOKUP(A394,Asteriscati25!B:N,13,0)</f>
        <v>#N/A</v>
      </c>
      <c r="K394" s="17"/>
      <c r="L394" s="18" t="str">
        <f t="shared" si="15"/>
        <v>#REF!</v>
      </c>
      <c r="M394" s="19">
        <f>VLOOKUP(B394,FVM_Asta2526!A:N,14,0)</f>
        <v>51</v>
      </c>
      <c r="N394" s="18">
        <f>VLOOKUP(A394,FVM_update!B:N,13,0)</f>
        <v>10</v>
      </c>
      <c r="O394" s="20" t="str">
        <f>VLOOKUP(B394,'FVM_1luglio-31luglio25'!D:Q,14,0)</f>
        <v>#N/A</v>
      </c>
      <c r="P394" s="20">
        <f t="shared" si="17"/>
        <v>10</v>
      </c>
      <c r="Q394" s="21">
        <f t="shared" si="4"/>
        <v>6</v>
      </c>
      <c r="R394" s="21">
        <f t="shared" si="14"/>
        <v>3</v>
      </c>
      <c r="S394" s="20"/>
      <c r="T394" s="22"/>
      <c r="U394" s="23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</row>
    <row r="395" ht="22.5" customHeight="1">
      <c r="A395" s="9">
        <f>VLOOKUP(B395,FVM_update!A:B,2,0)</f>
        <v>2120</v>
      </c>
      <c r="B395" s="25" t="s">
        <v>192</v>
      </c>
      <c r="C395" s="11" t="s">
        <v>127</v>
      </c>
      <c r="D395" s="12" t="str">
        <f>VLOOKUP(B395,FVM_update!A:F,6,0)</f>
        <v>Inter</v>
      </c>
      <c r="E395" s="13" t="str">
        <f>VLOOKUP(B395,FVM_update!A:E,4,0)</f>
        <v>Dc</v>
      </c>
      <c r="F395" s="17" t="str">
        <f>VLOOKUP(B395,'situazione contratti estate 24'!A:I,9,0)</f>
        <v>Obbligo 1+2</v>
      </c>
      <c r="G395" s="14">
        <v>45108.0</v>
      </c>
      <c r="H395" s="15">
        <f t="shared" si="1"/>
        <v>46204</v>
      </c>
      <c r="I395" s="11" t="s">
        <v>126</v>
      </c>
      <c r="J395" s="16" t="str">
        <f>VLOOKUP(A395,Asteriscati25!B:N,13,0)</f>
        <v>#N/A</v>
      </c>
      <c r="K395" s="26">
        <v>0.6</v>
      </c>
      <c r="L395" s="18" t="str">
        <f t="shared" si="15"/>
        <v>#REF!</v>
      </c>
      <c r="M395" s="19">
        <f>VLOOKUP(B395,FVM_Asta2324!C:M,11,0)</f>
        <v>48</v>
      </c>
      <c r="N395" s="18">
        <f>VLOOKUP(A395,FVM_update!B:N,13,0)</f>
        <v>60</v>
      </c>
      <c r="O395" s="20">
        <f>VLOOKUP(B395,'FVM_1luglio-31luglio25'!D:Q,14,0)</f>
        <v>63</v>
      </c>
      <c r="P395" s="20">
        <f t="shared" si="17"/>
        <v>60</v>
      </c>
      <c r="Q395" s="21">
        <f t="shared" si="4"/>
        <v>6</v>
      </c>
      <c r="R395" s="21">
        <f t="shared" si="14"/>
        <v>4</v>
      </c>
      <c r="S395" s="20"/>
      <c r="T395" s="22"/>
      <c r="U395" s="23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</row>
    <row r="396" ht="22.5" customHeight="1">
      <c r="A396" s="9">
        <f>VLOOKUP(B396,FVM_update!A:B,2,0)</f>
        <v>2724</v>
      </c>
      <c r="B396" s="25" t="s">
        <v>429</v>
      </c>
      <c r="C396" s="11" t="s">
        <v>127</v>
      </c>
      <c r="D396" s="12" t="str">
        <f>VLOOKUP(B396,FVM_update!A:F,6,0)</f>
        <v>Napoli</v>
      </c>
      <c r="E396" s="13" t="str">
        <f>VLOOKUP(B396,FVM_update!A:E,4,0)</f>
        <v>Dc</v>
      </c>
      <c r="F396" s="11" t="s">
        <v>59</v>
      </c>
      <c r="G396" s="14">
        <v>45108.0</v>
      </c>
      <c r="H396" s="15">
        <f t="shared" si="1"/>
        <v>46204</v>
      </c>
      <c r="I396" s="11" t="s">
        <v>126</v>
      </c>
      <c r="J396" s="16" t="str">
        <f>VLOOKUP(A396,Asteriscati25!B:N,13,0)</f>
        <v>#N/A</v>
      </c>
      <c r="K396" s="67">
        <v>1.0</v>
      </c>
      <c r="L396" s="18" t="str">
        <f t="shared" si="15"/>
        <v>#REF!</v>
      </c>
      <c r="M396" s="19">
        <v>23.0</v>
      </c>
      <c r="N396" s="18">
        <f>VLOOKUP(A396,FVM_update!B:N,13,0)</f>
        <v>17</v>
      </c>
      <c r="O396" s="20">
        <f>VLOOKUP(B396,'FVM_1luglio-31luglio25'!D:Q,14,0)</f>
        <v>53</v>
      </c>
      <c r="P396" s="20">
        <f t="shared" si="17"/>
        <v>17</v>
      </c>
      <c r="Q396" s="21">
        <f t="shared" si="4"/>
        <v>3</v>
      </c>
      <c r="R396" s="21">
        <f t="shared" si="14"/>
        <v>3</v>
      </c>
      <c r="S396" s="19"/>
      <c r="T396" s="11" t="s">
        <v>99</v>
      </c>
      <c r="U396" s="10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</row>
    <row r="397" ht="22.5" customHeight="1">
      <c r="A397" s="9" t="str">
        <f>VLOOKUP(B397,FVM_update!A:B,2,0)</f>
        <v>#N/A</v>
      </c>
      <c r="B397" s="25" t="s">
        <v>430</v>
      </c>
      <c r="C397" s="11" t="s">
        <v>127</v>
      </c>
      <c r="D397" s="12" t="str">
        <f>VLOOKUP(B397,FVM_update!A:F,6,0)</f>
        <v>#N/A</v>
      </c>
      <c r="E397" s="13" t="str">
        <f>VLOOKUP(B397,FVM_update!A:E,4,0)</f>
        <v>#N/A</v>
      </c>
      <c r="F397" s="11" t="s">
        <v>43</v>
      </c>
      <c r="G397" s="14">
        <v>45474.0</v>
      </c>
      <c r="H397" s="15">
        <f t="shared" si="1"/>
        <v>401768</v>
      </c>
      <c r="I397" s="11" t="s">
        <v>43</v>
      </c>
      <c r="J397" s="16" t="str">
        <f>VLOOKUP(A397,Asteriscati25!B:N,13,0)</f>
        <v>#N/A</v>
      </c>
      <c r="K397" s="26">
        <v>0.0</v>
      </c>
      <c r="L397" s="18" t="str">
        <f t="shared" si="15"/>
        <v>#REF!</v>
      </c>
      <c r="M397" s="19">
        <f>VLOOKUP(B397,FVM_Asta2425!A:M,13,0)</f>
        <v>1</v>
      </c>
      <c r="N397" s="18" t="str">
        <f>VLOOKUP(A397,FVM_update!B:N,13,0)</f>
        <v>#N/A</v>
      </c>
      <c r="O397" s="20">
        <f>VLOOKUP(B397,'FVM_1luglio-31luglio25'!D:Q,14,0)</f>
        <v>1</v>
      </c>
      <c r="P397" s="20">
        <f t="shared" si="17"/>
        <v>1</v>
      </c>
      <c r="Q397" s="21">
        <f t="shared" si="4"/>
        <v>0.5</v>
      </c>
      <c r="R397" s="21">
        <f t="shared" si="14"/>
        <v>0.5</v>
      </c>
      <c r="S397" s="20"/>
      <c r="T397" s="22"/>
      <c r="U397" s="23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</row>
    <row r="398" ht="22.5" customHeight="1">
      <c r="A398" s="9">
        <f>VLOOKUP(B398,FVM_update!A:B,2,0)</f>
        <v>5520</v>
      </c>
      <c r="B398" s="25" t="s">
        <v>431</v>
      </c>
      <c r="C398" s="11" t="s">
        <v>127</v>
      </c>
      <c r="D398" s="12" t="str">
        <f>VLOOKUP(B398,FVM_update!A:F,6,0)</f>
        <v>Juventus</v>
      </c>
      <c r="E398" s="13" t="str">
        <f>VLOOKUP(B398,FVM_update!A:E,4,0)</f>
        <v>E</v>
      </c>
      <c r="F398" s="17" t="str">
        <f>VLOOKUP(B398,'situazione contratti estate 24'!A:I,9,0)</f>
        <v>Obbligo 1+2</v>
      </c>
      <c r="G398" s="14">
        <v>45108.0</v>
      </c>
      <c r="H398" s="15">
        <f t="shared" si="1"/>
        <v>46204</v>
      </c>
      <c r="I398" s="11" t="s">
        <v>48</v>
      </c>
      <c r="J398" s="16" t="str">
        <f>VLOOKUP(A398,Asteriscati25!B:N,13,0)</f>
        <v>#N/A</v>
      </c>
      <c r="K398" s="26">
        <v>0.0</v>
      </c>
      <c r="L398" s="18" t="str">
        <f t="shared" si="15"/>
        <v>#REF!</v>
      </c>
      <c r="M398" s="19">
        <f>VLOOKUP(B398,FVM_Asta2324!C:M,11,0)</f>
        <v>27</v>
      </c>
      <c r="N398" s="18">
        <f>VLOOKUP(A398,FVM_update!B:N,13,0)</f>
        <v>15</v>
      </c>
      <c r="O398" s="20">
        <f>VLOOKUP(B398,'FVM_1luglio-31luglio25'!D:Q,14,0)</f>
        <v>39</v>
      </c>
      <c r="P398" s="20">
        <f t="shared" si="17"/>
        <v>15</v>
      </c>
      <c r="Q398" s="21">
        <f t="shared" si="4"/>
        <v>3.5</v>
      </c>
      <c r="R398" s="21">
        <f t="shared" si="14"/>
        <v>3.5</v>
      </c>
      <c r="S398" s="20"/>
      <c r="T398" s="22"/>
      <c r="U398" s="23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</row>
    <row r="399" ht="22.5" customHeight="1">
      <c r="A399" s="9">
        <f>VLOOKUP(B399,FVM_update!A:B,2,0)</f>
        <v>4923</v>
      </c>
      <c r="B399" s="10" t="s">
        <v>432</v>
      </c>
      <c r="C399" s="11" t="s">
        <v>127</v>
      </c>
      <c r="D399" s="12" t="str">
        <f>VLOOKUP(B399,FVM_update!A:F,6,0)</f>
        <v>Genoa</v>
      </c>
      <c r="E399" s="13" t="str">
        <f>VLOOKUP(B399,FVM_update!A:E,4,0)</f>
        <v>Pc</v>
      </c>
      <c r="F399" s="11" t="s">
        <v>45</v>
      </c>
      <c r="G399" s="14">
        <v>45839.0</v>
      </c>
      <c r="H399" s="15">
        <f t="shared" si="1"/>
        <v>46204</v>
      </c>
      <c r="I399" s="11" t="s">
        <v>46</v>
      </c>
      <c r="J399" s="16" t="str">
        <f>VLOOKUP(A399,Asteriscati25!B:N,13,0)</f>
        <v>#N/A</v>
      </c>
      <c r="K399" s="17"/>
      <c r="L399" s="18" t="str">
        <f t="shared" si="15"/>
        <v>#REF!</v>
      </c>
      <c r="M399" s="19">
        <f>VLOOKUP(B399,FVM_Asta2526!A:N,14,0)</f>
        <v>38</v>
      </c>
      <c r="N399" s="18">
        <f>VLOOKUP(A399,FVM_update!B:N,13,0)</f>
        <v>41</v>
      </c>
      <c r="O399" s="20">
        <f>VLOOKUP(B399,'FVM_1luglio-31luglio25'!D:Q,14,0)</f>
        <v>30</v>
      </c>
      <c r="P399" s="20">
        <f t="shared" si="17"/>
        <v>41</v>
      </c>
      <c r="Q399" s="21">
        <f t="shared" si="4"/>
        <v>4</v>
      </c>
      <c r="R399" s="21">
        <f t="shared" si="14"/>
        <v>2</v>
      </c>
      <c r="S399" s="20"/>
      <c r="T399" s="22"/>
      <c r="U399" s="23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</row>
    <row r="400" ht="22.5" customHeight="1">
      <c r="A400" s="9">
        <f>VLOOKUP(B400,FVM_update!A:B,2,0)</f>
        <v>6664</v>
      </c>
      <c r="B400" s="10" t="s">
        <v>433</v>
      </c>
      <c r="C400" s="11" t="s">
        <v>127</v>
      </c>
      <c r="D400" s="12" t="str">
        <f>VLOOKUP(B400,FVM_update!A:F,6,0)</f>
        <v>Parma</v>
      </c>
      <c r="E400" s="13" t="str">
        <f>VLOOKUP(B400,FVM_update!A:E,4,0)</f>
        <v>B;Dd;E</v>
      </c>
      <c r="F400" s="11" t="s">
        <v>45</v>
      </c>
      <c r="G400" s="14">
        <v>45839.0</v>
      </c>
      <c r="H400" s="15">
        <f t="shared" si="1"/>
        <v>46204</v>
      </c>
      <c r="I400" s="11" t="s">
        <v>48</v>
      </c>
      <c r="J400" s="16" t="str">
        <f>VLOOKUP(A400,Asteriscati25!B:N,13,0)</f>
        <v>#N/A</v>
      </c>
      <c r="K400" s="17"/>
      <c r="L400" s="18" t="str">
        <f t="shared" si="15"/>
        <v>#REF!</v>
      </c>
      <c r="M400" s="19">
        <f>VLOOKUP(B400,FVM_Asta2526!A:N,14,0)</f>
        <v>24</v>
      </c>
      <c r="N400" s="18">
        <f>VLOOKUP(A400,FVM_update!B:N,13,0)</f>
        <v>22</v>
      </c>
      <c r="O400" s="20">
        <f>VLOOKUP(B400,'FVM_1luglio-31luglio25'!D:Q,14,0)</f>
        <v>20</v>
      </c>
      <c r="P400" s="20">
        <f t="shared" si="17"/>
        <v>22</v>
      </c>
      <c r="Q400" s="21">
        <f t="shared" si="4"/>
        <v>2.5</v>
      </c>
      <c r="R400" s="21">
        <f t="shared" si="14"/>
        <v>2.5</v>
      </c>
      <c r="S400" s="20"/>
      <c r="T400" s="22"/>
      <c r="U400" s="23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</row>
    <row r="401" ht="22.5" customHeight="1">
      <c r="A401" s="9">
        <f>VLOOKUP(B401,FVM_update!A:B,2,0)</f>
        <v>647</v>
      </c>
      <c r="B401" s="10" t="s">
        <v>434</v>
      </c>
      <c r="C401" s="11" t="s">
        <v>127</v>
      </c>
      <c r="D401" s="12" t="str">
        <f>VLOOKUP(B401,FVM_update!A:F,6,0)</f>
        <v>Fiorentina</v>
      </c>
      <c r="E401" s="13" t="str">
        <f>VLOOKUP(B401,FVM_update!A:E,4,0)</f>
        <v>Pc</v>
      </c>
      <c r="F401" s="11" t="s">
        <v>45</v>
      </c>
      <c r="G401" s="14">
        <v>45839.0</v>
      </c>
      <c r="H401" s="15">
        <f t="shared" si="1"/>
        <v>46204</v>
      </c>
      <c r="I401" s="11" t="s">
        <v>46</v>
      </c>
      <c r="J401" s="16" t="str">
        <f>VLOOKUP(A401,Asteriscati25!B:N,13,0)</f>
        <v>#N/A</v>
      </c>
      <c r="K401" s="17"/>
      <c r="L401" s="18" t="str">
        <f t="shared" si="15"/>
        <v>#REF!</v>
      </c>
      <c r="M401" s="19">
        <f>VLOOKUP(B401,FVM_Asta2526!A:N,14,0)</f>
        <v>39</v>
      </c>
      <c r="N401" s="18">
        <f>VLOOKUP(A401,FVM_update!B:N,13,0)</f>
        <v>10</v>
      </c>
      <c r="O401" s="20" t="str">
        <f>VLOOKUP(B401,'FVM_1luglio-31luglio25'!D:Q,14,0)</f>
        <v>#N/A</v>
      </c>
      <c r="P401" s="20">
        <f t="shared" si="17"/>
        <v>10</v>
      </c>
      <c r="Q401" s="21">
        <f t="shared" si="4"/>
        <v>4</v>
      </c>
      <c r="R401" s="21">
        <f t="shared" si="14"/>
        <v>2</v>
      </c>
      <c r="S401" s="20"/>
      <c r="T401" s="22"/>
      <c r="U401" s="23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</row>
    <row r="402" ht="22.5" customHeight="1">
      <c r="A402" s="9">
        <f>VLOOKUP(B402,FVM_update!A:B,2,0)</f>
        <v>5792</v>
      </c>
      <c r="B402" s="25" t="s">
        <v>202</v>
      </c>
      <c r="C402" s="11" t="s">
        <v>127</v>
      </c>
      <c r="D402" s="12" t="str">
        <f>VLOOKUP(B402,FVM_update!A:F,6,0)</f>
        <v>Atalanta</v>
      </c>
      <c r="E402" s="13" t="str">
        <f>VLOOKUP(B402,FVM_update!A:E,4,0)</f>
        <v>M;C</v>
      </c>
      <c r="F402" s="11" t="s">
        <v>59</v>
      </c>
      <c r="G402" s="14">
        <v>45474.0</v>
      </c>
      <c r="H402" s="15">
        <f t="shared" si="1"/>
        <v>46569</v>
      </c>
      <c r="I402" s="11" t="s">
        <v>122</v>
      </c>
      <c r="J402" s="16" t="str">
        <f>VLOOKUP(A402,Asteriscati25!B:N,13,0)</f>
        <v>#N/A</v>
      </c>
      <c r="K402" s="26">
        <v>0.4</v>
      </c>
      <c r="L402" s="18" t="str">
        <f t="shared" si="15"/>
        <v>#REF!</v>
      </c>
      <c r="M402" s="19">
        <f>VLOOKUP(B402,FVM_Asta2425!A:M,13,0)</f>
        <v>67</v>
      </c>
      <c r="N402" s="18">
        <f>VLOOKUP(A402,FVM_update!B:N,13,0)</f>
        <v>39</v>
      </c>
      <c r="O402" s="20">
        <f>VLOOKUP(B402,'FVM_1luglio-31luglio25'!D:Q,14,0)</f>
        <v>63</v>
      </c>
      <c r="P402" s="20">
        <f t="shared" si="17"/>
        <v>39</v>
      </c>
      <c r="Q402" s="21">
        <f t="shared" si="4"/>
        <v>8</v>
      </c>
      <c r="R402" s="21">
        <f t="shared" si="14"/>
        <v>3.5</v>
      </c>
      <c r="S402" s="20"/>
      <c r="T402" s="22"/>
      <c r="U402" s="23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</row>
    <row r="403" ht="22.5" customHeight="1">
      <c r="A403" s="9">
        <f>VLOOKUP(B403,FVM_update!A:B,2,0)</f>
        <v>4465</v>
      </c>
      <c r="B403" s="10" t="s">
        <v>298</v>
      </c>
      <c r="C403" s="11" t="s">
        <v>127</v>
      </c>
      <c r="D403" s="12" t="str">
        <f>VLOOKUP(B403,FVM_update!A:F,6,0)</f>
        <v>Fiorentina</v>
      </c>
      <c r="E403" s="13" t="str">
        <f>VLOOKUP(B403,FVM_update!A:E,4,0)</f>
        <v>C</v>
      </c>
      <c r="F403" s="11" t="s">
        <v>45</v>
      </c>
      <c r="G403" s="14">
        <v>45839.0</v>
      </c>
      <c r="H403" s="15">
        <f t="shared" si="1"/>
        <v>46204</v>
      </c>
      <c r="I403" s="11" t="s">
        <v>122</v>
      </c>
      <c r="J403" s="16" t="str">
        <f>VLOOKUP(A403,Asteriscati25!B:N,13,0)</f>
        <v>#N/A</v>
      </c>
      <c r="K403" s="29">
        <v>0.4</v>
      </c>
      <c r="L403" s="18" t="str">
        <f t="shared" si="15"/>
        <v>#REF!</v>
      </c>
      <c r="M403" s="19">
        <f>VLOOKUP(B403,FVM_Asta2526!A:N,14,0)</f>
        <v>21</v>
      </c>
      <c r="N403" s="18">
        <f>VLOOKUP(A403,FVM_update!B:N,13,0)</f>
        <v>27</v>
      </c>
      <c r="O403" s="20">
        <f>VLOOKUP(B403,'FVM_1luglio-31luglio25'!D:Q,14,0)</f>
        <v>19</v>
      </c>
      <c r="P403" s="20">
        <f t="shared" si="17"/>
        <v>27</v>
      </c>
      <c r="Q403" s="21">
        <f t="shared" si="4"/>
        <v>2.5</v>
      </c>
      <c r="R403" s="21">
        <f t="shared" si="14"/>
        <v>1</v>
      </c>
      <c r="S403" s="20"/>
      <c r="T403" s="22"/>
      <c r="U403" s="23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</row>
    <row r="404" ht="22.5" customHeight="1">
      <c r="A404" s="9">
        <f>VLOOKUP(B404,FVM_update!A:B,2,0)</f>
        <v>788</v>
      </c>
      <c r="B404" s="10" t="s">
        <v>356</v>
      </c>
      <c r="C404" s="11" t="s">
        <v>127</v>
      </c>
      <c r="D404" s="12" t="str">
        <f>VLOOKUP(B404,FVM_update!A:F,6,0)</f>
        <v>Bologna</v>
      </c>
      <c r="E404" s="13" t="str">
        <f>VLOOKUP(B404,FVM_update!A:E,4,0)</f>
        <v>M;C</v>
      </c>
      <c r="F404" s="11" t="s">
        <v>45</v>
      </c>
      <c r="G404" s="14">
        <v>45839.0</v>
      </c>
      <c r="H404" s="15">
        <f t="shared" si="1"/>
        <v>46204</v>
      </c>
      <c r="I404" s="11" t="s">
        <v>122</v>
      </c>
      <c r="J404" s="16" t="str">
        <f>VLOOKUP(A404,Asteriscati25!B:N,13,0)</f>
        <v>#N/A</v>
      </c>
      <c r="K404" s="29">
        <v>0.6</v>
      </c>
      <c r="L404" s="18" t="str">
        <f t="shared" si="15"/>
        <v>#REF!</v>
      </c>
      <c r="M404" s="19">
        <f>VLOOKUP(B404,FVM_Asta2526!A:N,14,0)</f>
        <v>28</v>
      </c>
      <c r="N404" s="18">
        <f>VLOOKUP(A404,FVM_update!B:N,13,0)</f>
        <v>21</v>
      </c>
      <c r="O404" s="20">
        <f>VLOOKUP(B404,'FVM_1luglio-31luglio25'!D:Q,14,0)</f>
        <v>28</v>
      </c>
      <c r="P404" s="20">
        <f t="shared" si="17"/>
        <v>21</v>
      </c>
      <c r="Q404" s="21">
        <f t="shared" si="4"/>
        <v>3</v>
      </c>
      <c r="R404" s="21">
        <f t="shared" si="14"/>
        <v>2</v>
      </c>
      <c r="S404" s="20"/>
      <c r="T404" s="22"/>
      <c r="U404" s="23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</row>
    <row r="405" ht="22.5" customHeight="1">
      <c r="A405" s="9">
        <f>VLOOKUP(B405,FVM_update!A:B,2,0)</f>
        <v>6537</v>
      </c>
      <c r="B405" s="25" t="s">
        <v>435</v>
      </c>
      <c r="C405" s="11" t="s">
        <v>127</v>
      </c>
      <c r="D405" s="12" t="str">
        <f>VLOOKUP(B405,FVM_update!A:F,6,0)</f>
        <v>Udinese</v>
      </c>
      <c r="E405" s="13" t="str">
        <f>VLOOKUP(B405,FVM_update!A:E,4,0)</f>
        <v>Dd;Dc</v>
      </c>
      <c r="F405" s="11" t="s">
        <v>45</v>
      </c>
      <c r="G405" s="14">
        <v>45839.0</v>
      </c>
      <c r="H405" s="15">
        <f t="shared" si="1"/>
        <v>46204</v>
      </c>
      <c r="I405" s="11" t="s">
        <v>46</v>
      </c>
      <c r="J405" s="16" t="str">
        <f>VLOOKUP(A405,Asteriscati25!B:N,13,0)</f>
        <v>#N/A</v>
      </c>
      <c r="K405" s="26">
        <v>0.0</v>
      </c>
      <c r="L405" s="18" t="str">
        <f t="shared" si="15"/>
        <v>#REF!</v>
      </c>
      <c r="M405" s="27">
        <f>VLOOKUP(B405,FVM_Asta2526!A:N,14,0)</f>
        <v>11</v>
      </c>
      <c r="N405" s="18">
        <f>VLOOKUP(A405,FVM_update!B:N,13,0)</f>
        <v>9</v>
      </c>
      <c r="O405" s="20">
        <f>VLOOKUP(B405,'FVM_1luglio-31luglio25'!D:Q,14,0)</f>
        <v>8</v>
      </c>
      <c r="P405" s="20">
        <f t="shared" si="17"/>
        <v>9</v>
      </c>
      <c r="Q405" s="21">
        <f t="shared" si="4"/>
        <v>1.5</v>
      </c>
      <c r="R405" s="21">
        <f t="shared" si="14"/>
        <v>1</v>
      </c>
      <c r="S405" s="20"/>
      <c r="T405" s="22"/>
      <c r="U405" s="23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</row>
    <row r="406" ht="22.5" customHeight="1">
      <c r="A406" s="9">
        <f>VLOOKUP(B406,FVM_update!A:B,2,0)</f>
        <v>2160</v>
      </c>
      <c r="B406" s="10" t="s">
        <v>436</v>
      </c>
      <c r="C406" s="11" t="s">
        <v>127</v>
      </c>
      <c r="D406" s="12" t="str">
        <f>VLOOKUP(B406,FVM_update!A:F,6,0)</f>
        <v>Fiorentina</v>
      </c>
      <c r="E406" s="13" t="str">
        <f>VLOOKUP(B406,FVM_update!A:E,4,0)</f>
        <v>E</v>
      </c>
      <c r="F406" s="11" t="s">
        <v>45</v>
      </c>
      <c r="G406" s="14">
        <v>45839.0</v>
      </c>
      <c r="H406" s="15">
        <f t="shared" si="1"/>
        <v>46204</v>
      </c>
      <c r="I406" s="11" t="s">
        <v>48</v>
      </c>
      <c r="J406" s="16" t="str">
        <f>VLOOKUP(A406,Asteriscati25!B:N,13,0)</f>
        <v>#N/A</v>
      </c>
      <c r="K406" s="17"/>
      <c r="L406" s="18" t="str">
        <f t="shared" si="15"/>
        <v>#REF!</v>
      </c>
      <c r="M406" s="19">
        <f>VLOOKUP(B406,FVM_Asta2526!A:N,14,0)</f>
        <v>83</v>
      </c>
      <c r="N406" s="18">
        <f>VLOOKUP(A406,FVM_update!B:N,13,0)</f>
        <v>20</v>
      </c>
      <c r="O406" s="20">
        <f>VLOOKUP(B406,'FVM_1luglio-31luglio25'!D:Q,14,0)</f>
        <v>51</v>
      </c>
      <c r="P406" s="20">
        <f t="shared" si="17"/>
        <v>20</v>
      </c>
      <c r="Q406" s="21">
        <f t="shared" si="4"/>
        <v>8.5</v>
      </c>
      <c r="R406" s="21">
        <f t="shared" si="14"/>
        <v>8.5</v>
      </c>
      <c r="S406" s="20"/>
      <c r="T406" s="22"/>
      <c r="U406" s="23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</row>
    <row r="407" ht="22.5" customHeight="1">
      <c r="A407" s="9">
        <f>VLOOKUP(B407,FVM_update!A:B,2,0)</f>
        <v>5800</v>
      </c>
      <c r="B407" s="43" t="s">
        <v>437</v>
      </c>
      <c r="C407" s="44" t="s">
        <v>127</v>
      </c>
      <c r="D407" s="12" t="str">
        <f>VLOOKUP(B407,FVM_update!A:F,6,0)</f>
        <v>Fiorentina</v>
      </c>
      <c r="E407" s="13" t="str">
        <f>VLOOKUP(B407,FVM_update!A:E,4,0)</f>
        <v>T;A</v>
      </c>
      <c r="F407" s="114" t="s">
        <v>59</v>
      </c>
      <c r="G407" s="14">
        <v>45839.0</v>
      </c>
      <c r="H407" s="15">
        <f t="shared" si="1"/>
        <v>46935</v>
      </c>
      <c r="I407" s="114" t="s">
        <v>126</v>
      </c>
      <c r="J407" s="34" t="str">
        <f>VLOOKUP(A407,Asteriscati25!B:N,13,0)</f>
        <v>#N/A</v>
      </c>
      <c r="K407" s="67">
        <v>1.0</v>
      </c>
      <c r="L407" s="47" t="str">
        <f t="shared" si="15"/>
        <v>#REF!</v>
      </c>
      <c r="M407" s="19">
        <f>VLOOKUP(B407,FVM_Asta2526!A:N,14,0)</f>
        <v>156</v>
      </c>
      <c r="N407" s="18">
        <f>VLOOKUP(A407,FVM_update!B:N,13,0)</f>
        <v>74</v>
      </c>
      <c r="O407" s="48">
        <f>VLOOKUP(B407,'FVM_1luglio-31luglio25'!D:Q,14,0)</f>
        <v>105</v>
      </c>
      <c r="P407" s="48">
        <f t="shared" si="17"/>
        <v>74</v>
      </c>
      <c r="Q407" s="21">
        <f t="shared" si="4"/>
        <v>18</v>
      </c>
      <c r="R407" s="21">
        <f t="shared" si="14"/>
        <v>18</v>
      </c>
      <c r="S407" s="37"/>
      <c r="T407" s="114" t="s">
        <v>90</v>
      </c>
      <c r="U407" s="135" t="s">
        <v>414</v>
      </c>
      <c r="V407" s="131"/>
      <c r="W407" s="131"/>
      <c r="X407" s="131"/>
      <c r="Y407" s="131"/>
      <c r="Z407" s="131"/>
      <c r="AA407" s="131"/>
      <c r="AB407" s="131"/>
      <c r="AC407" s="131"/>
      <c r="AD407" s="131"/>
      <c r="AE407" s="131"/>
      <c r="AF407" s="131"/>
      <c r="AG407" s="131"/>
      <c r="AH407" s="131"/>
      <c r="AI407" s="131"/>
      <c r="AJ407" s="131"/>
      <c r="AK407" s="131"/>
      <c r="AL407" s="131"/>
      <c r="AM407" s="131"/>
    </row>
    <row r="408" ht="22.5" customHeight="1">
      <c r="A408" s="9">
        <f>VLOOKUP(B408,FVM_update!A:B,2,0)</f>
        <v>4186</v>
      </c>
      <c r="B408" s="25" t="s">
        <v>438</v>
      </c>
      <c r="C408" s="11" t="s">
        <v>127</v>
      </c>
      <c r="D408" s="12" t="str">
        <f>VLOOKUP(B408,FVM_update!A:F,6,0)</f>
        <v>Lazio</v>
      </c>
      <c r="E408" s="13" t="str">
        <f>VLOOKUP(B408,FVM_update!A:E,4,0)</f>
        <v>C</v>
      </c>
      <c r="F408" s="17" t="str">
        <f>VLOOKUP(B408,'situazione contratti estate 24'!A:I,9,0)</f>
        <v>Obbligo 1+2</v>
      </c>
      <c r="G408" s="14">
        <v>45108.0</v>
      </c>
      <c r="H408" s="15">
        <f t="shared" si="1"/>
        <v>46204</v>
      </c>
      <c r="I408" s="11" t="s">
        <v>46</v>
      </c>
      <c r="J408" s="16" t="str">
        <f>VLOOKUP(A408,Asteriscati25!B:N,13,0)</f>
        <v>#N/A</v>
      </c>
      <c r="K408" s="26">
        <v>0.0</v>
      </c>
      <c r="L408" s="18" t="str">
        <f t="shared" si="15"/>
        <v>#REF!</v>
      </c>
      <c r="M408" s="19">
        <f>VLOOKUP(B408,FVM_Asta2324!C:M,11,0)</f>
        <v>30</v>
      </c>
      <c r="N408" s="18">
        <f>VLOOKUP(A408,FVM_update!B:N,13,0)</f>
        <v>20</v>
      </c>
      <c r="O408" s="20">
        <f>VLOOKUP(B408,'FVM_1luglio-31luglio25'!D:Q,14,0)</f>
        <v>17</v>
      </c>
      <c r="P408" s="20">
        <f t="shared" si="17"/>
        <v>20</v>
      </c>
      <c r="Q408" s="21">
        <f t="shared" si="4"/>
        <v>3.5</v>
      </c>
      <c r="R408" s="21">
        <f t="shared" si="14"/>
        <v>2</v>
      </c>
      <c r="S408" s="20"/>
      <c r="T408" s="22"/>
      <c r="U408" s="23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</row>
    <row r="409" ht="22.5" customHeight="1">
      <c r="A409" s="9">
        <f>VLOOKUP(B409,FVM_update!A:B,2,0)</f>
        <v>4807</v>
      </c>
      <c r="B409" s="10" t="s">
        <v>439</v>
      </c>
      <c r="C409" s="11" t="s">
        <v>127</v>
      </c>
      <c r="D409" s="12" t="str">
        <f>VLOOKUP(B409,FVM_update!A:F,6,0)</f>
        <v>Roma</v>
      </c>
      <c r="E409" s="13" t="str">
        <f>VLOOKUP(B409,FVM_update!A:E,4,0)</f>
        <v>Dc</v>
      </c>
      <c r="F409" s="11" t="s">
        <v>45</v>
      </c>
      <c r="G409" s="14">
        <v>45839.0</v>
      </c>
      <c r="H409" s="15">
        <f t="shared" si="1"/>
        <v>46204</v>
      </c>
      <c r="I409" s="11" t="s">
        <v>48</v>
      </c>
      <c r="J409" s="16">
        <f>VLOOKUP(A409,Asteriscati25!B:N,13,0)</f>
        <v>5</v>
      </c>
      <c r="K409" s="17"/>
      <c r="L409" s="18" t="str">
        <f t="shared" si="15"/>
        <v>#REF!</v>
      </c>
      <c r="M409" s="19">
        <f>VLOOKUP(B409,FVM_Asta2526!A:N,14,0)</f>
        <v>15</v>
      </c>
      <c r="N409" s="18">
        <f>VLOOKUP(A409,FVM_update!B:N,13,0)</f>
        <v>18</v>
      </c>
      <c r="O409" s="20" t="str">
        <f>VLOOKUP(B409,'FVM_1luglio-31luglio25'!D:Q,14,0)</f>
        <v>#N/A</v>
      </c>
      <c r="P409" s="20">
        <f t="shared" si="17"/>
        <v>18</v>
      </c>
      <c r="Q409" s="21">
        <f t="shared" si="4"/>
        <v>1.5</v>
      </c>
      <c r="R409" s="21">
        <f t="shared" si="14"/>
        <v>1.5</v>
      </c>
      <c r="S409" s="20"/>
      <c r="T409" s="22"/>
      <c r="U409" s="23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</row>
    <row r="410" ht="22.5" customHeight="1">
      <c r="A410" s="9">
        <f>VLOOKUP(B410,FVM_update!A:B,2,0)</f>
        <v>6672</v>
      </c>
      <c r="B410" s="10" t="s">
        <v>440</v>
      </c>
      <c r="C410" s="11" t="s">
        <v>127</v>
      </c>
      <c r="D410" s="12" t="str">
        <f>VLOOKUP(B410,FVM_update!A:F,6,0)</f>
        <v>Sassuolo</v>
      </c>
      <c r="E410" s="13" t="str">
        <f>VLOOKUP(B410,FVM_update!A:E,4,0)</f>
        <v>Dc</v>
      </c>
      <c r="F410" s="11" t="s">
        <v>45</v>
      </c>
      <c r="G410" s="14">
        <v>45839.0</v>
      </c>
      <c r="H410" s="15">
        <f t="shared" si="1"/>
        <v>46204</v>
      </c>
      <c r="I410" s="11" t="s">
        <v>48</v>
      </c>
      <c r="J410" s="16" t="str">
        <f>VLOOKUP(A410,Asteriscati25!B:N,13,0)</f>
        <v>#N/A</v>
      </c>
      <c r="K410" s="17"/>
      <c r="L410" s="18" t="str">
        <f t="shared" si="15"/>
        <v>#REF!</v>
      </c>
      <c r="M410" s="19">
        <f>VLOOKUP(B410,FVM_Asta2526!A:N,14,0)</f>
        <v>17</v>
      </c>
      <c r="N410" s="18">
        <f>VLOOKUP(A410,FVM_update!B:N,13,0)</f>
        <v>13</v>
      </c>
      <c r="O410" s="20">
        <f>VLOOKUP(B410,'FVM_1luglio-31luglio25'!D:Q,14,0)</f>
        <v>12</v>
      </c>
      <c r="P410" s="20">
        <f t="shared" si="17"/>
        <v>13</v>
      </c>
      <c r="Q410" s="21">
        <f t="shared" si="4"/>
        <v>2</v>
      </c>
      <c r="R410" s="21">
        <f t="shared" si="14"/>
        <v>2</v>
      </c>
      <c r="S410" s="20"/>
      <c r="T410" s="22"/>
      <c r="U410" s="23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</row>
    <row r="411" ht="22.5" customHeight="1">
      <c r="A411" s="9">
        <f>VLOOKUP(B411,FVM_update!A:B,2,0)</f>
        <v>256</v>
      </c>
      <c r="B411" s="10" t="s">
        <v>441</v>
      </c>
      <c r="C411" s="11" t="s">
        <v>127</v>
      </c>
      <c r="D411" s="12" t="str">
        <f>VLOOKUP(B411,FVM_update!A:F,6,0)</f>
        <v>Napoli</v>
      </c>
      <c r="E411" s="13" t="str">
        <f>VLOOKUP(B411,FVM_update!A:E,4,0)</f>
        <v>Ds;Dc</v>
      </c>
      <c r="F411" s="11" t="s">
        <v>45</v>
      </c>
      <c r="G411" s="14">
        <v>45839.0</v>
      </c>
      <c r="H411" s="15">
        <f t="shared" si="1"/>
        <v>46204</v>
      </c>
      <c r="I411" s="11" t="s">
        <v>48</v>
      </c>
      <c r="J411" s="16" t="str">
        <f>VLOOKUP(A411,Asteriscati25!B:N,13,0)</f>
        <v>#N/A</v>
      </c>
      <c r="K411" s="17"/>
      <c r="L411" s="18" t="str">
        <f t="shared" si="15"/>
        <v>#REF!</v>
      </c>
      <c r="M411" s="19">
        <f>VLOOKUP(B411,FVM_Asta2526!A:N,14,0)</f>
        <v>17</v>
      </c>
      <c r="N411" s="18">
        <f>VLOOKUP(A411,FVM_update!B:N,13,0)</f>
        <v>23</v>
      </c>
      <c r="O411" s="20">
        <f>VLOOKUP(B411,'FVM_1luglio-31luglio25'!D:Q,14,0)</f>
        <v>8</v>
      </c>
      <c r="P411" s="20">
        <f t="shared" si="17"/>
        <v>23</v>
      </c>
      <c r="Q411" s="21">
        <f t="shared" si="4"/>
        <v>2</v>
      </c>
      <c r="R411" s="21">
        <f t="shared" si="14"/>
        <v>2</v>
      </c>
      <c r="S411" s="20"/>
      <c r="T411" s="22"/>
      <c r="U411" s="23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</row>
    <row r="412" ht="22.5" customHeight="1">
      <c r="A412" s="9">
        <f>VLOOKUP(B412,FVM_update!A:B,2,0)</f>
        <v>5555</v>
      </c>
      <c r="B412" s="10" t="s">
        <v>442</v>
      </c>
      <c r="C412" s="11" t="s">
        <v>127</v>
      </c>
      <c r="D412" s="12" t="str">
        <f>VLOOKUP(B412,FVM_update!A:F,6,0)</f>
        <v>Udinese</v>
      </c>
      <c r="E412" s="13" t="str">
        <f>VLOOKUP(B412,FVM_update!A:E,4,0)</f>
        <v>Ds;E</v>
      </c>
      <c r="F412" s="11" t="s">
        <v>45</v>
      </c>
      <c r="G412" s="14">
        <v>45839.0</v>
      </c>
      <c r="H412" s="15">
        <f t="shared" si="1"/>
        <v>46204</v>
      </c>
      <c r="I412" s="11" t="s">
        <v>46</v>
      </c>
      <c r="J412" s="16" t="str">
        <f>VLOOKUP(A412,Asteriscati25!B:N,13,0)</f>
        <v>#N/A</v>
      </c>
      <c r="K412" s="17"/>
      <c r="L412" s="18" t="str">
        <f t="shared" si="15"/>
        <v>#REF!</v>
      </c>
      <c r="M412" s="19">
        <f>VLOOKUP(B412,FVM_Asta2526!A:N,14,0)</f>
        <v>19</v>
      </c>
      <c r="N412" s="18">
        <f>VLOOKUP(A412,FVM_update!B:N,13,0)</f>
        <v>15</v>
      </c>
      <c r="O412" s="20">
        <f>VLOOKUP(B412,'FVM_1luglio-31luglio25'!D:Q,14,0)</f>
        <v>13</v>
      </c>
      <c r="P412" s="20">
        <f t="shared" si="17"/>
        <v>15</v>
      </c>
      <c r="Q412" s="21">
        <f t="shared" si="4"/>
        <v>2</v>
      </c>
      <c r="R412" s="21">
        <f t="shared" si="14"/>
        <v>1</v>
      </c>
      <c r="S412" s="20"/>
      <c r="T412" s="22"/>
      <c r="U412" s="23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</row>
    <row r="413" ht="22.5" customHeight="1">
      <c r="A413" s="9">
        <f>VLOOKUP(B413,FVM_update!A:B,2,0)</f>
        <v>4711</v>
      </c>
      <c r="B413" s="10" t="s">
        <v>443</v>
      </c>
      <c r="C413" s="11" t="s">
        <v>127</v>
      </c>
      <c r="D413" s="12" t="str">
        <f>VLOOKUP(B413,FVM_update!A:F,6,0)</f>
        <v>Juventus</v>
      </c>
      <c r="E413" s="13" t="str">
        <f>VLOOKUP(B413,FVM_update!A:E,4,0)</f>
        <v>E;W</v>
      </c>
      <c r="F413" s="11" t="s">
        <v>45</v>
      </c>
      <c r="G413" s="14">
        <v>45839.0</v>
      </c>
      <c r="H413" s="15">
        <f t="shared" si="1"/>
        <v>46204</v>
      </c>
      <c r="I413" s="11" t="s">
        <v>48</v>
      </c>
      <c r="J413" s="16">
        <f>VLOOKUP(A413,Asteriscati25!B:N,13,0)</f>
        <v>5</v>
      </c>
      <c r="K413" s="17"/>
      <c r="L413" s="18" t="str">
        <f t="shared" si="15"/>
        <v>#REF!</v>
      </c>
      <c r="M413" s="19">
        <f>VLOOKUP(B413,FVM_Asta2526!A:N,14,0)</f>
        <v>8</v>
      </c>
      <c r="N413" s="18">
        <f>VLOOKUP(A413,FVM_update!B:N,13,0)</f>
        <v>17</v>
      </c>
      <c r="O413" s="20" t="str">
        <f>VLOOKUP(B413,'FVM_1luglio-31luglio25'!D:Q,14,0)</f>
        <v>#N/A</v>
      </c>
      <c r="P413" s="20">
        <f t="shared" si="17"/>
        <v>17</v>
      </c>
      <c r="Q413" s="21">
        <f t="shared" si="4"/>
        <v>1</v>
      </c>
      <c r="R413" s="21">
        <f t="shared" si="14"/>
        <v>1</v>
      </c>
      <c r="S413" s="20"/>
      <c r="T413" s="22"/>
      <c r="U413" s="23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</row>
    <row r="414" ht="22.5" customHeight="1">
      <c r="A414" s="9">
        <f>VLOOKUP(B414,FVM_update!A:B,2,0)</f>
        <v>4199</v>
      </c>
      <c r="B414" s="25" t="s">
        <v>444</v>
      </c>
      <c r="C414" s="11" t="s">
        <v>127</v>
      </c>
      <c r="D414" s="12" t="str">
        <f>VLOOKUP(B414,FVM_update!A:F,6,0)</f>
        <v>Milan</v>
      </c>
      <c r="E414" s="13" t="str">
        <f>VLOOKUP(B414,FVM_update!A:E,4,0)</f>
        <v>C;T</v>
      </c>
      <c r="F414" s="11" t="s">
        <v>97</v>
      </c>
      <c r="G414" s="14">
        <v>45689.0</v>
      </c>
      <c r="H414" s="15">
        <f t="shared" si="1"/>
        <v>46235</v>
      </c>
      <c r="I414" s="11" t="s">
        <v>48</v>
      </c>
      <c r="J414" s="16" t="str">
        <f>VLOOKUP(A414,Asteriscati25!B:N,13,0)</f>
        <v>#N/A</v>
      </c>
      <c r="K414" s="26">
        <v>0.0</v>
      </c>
      <c r="L414" s="18" t="str">
        <f t="shared" si="15"/>
        <v>#REF!</v>
      </c>
      <c r="M414" s="19">
        <f>VLOOKUP(B414,FVM_astainv!A:N,14,0)</f>
        <v>12</v>
      </c>
      <c r="N414" s="18">
        <f>VLOOKUP(A414,FVM_update!B:N,13,0)</f>
        <v>22</v>
      </c>
      <c r="O414" s="20">
        <f>VLOOKUP(B414,'FVM_1luglio-31luglio25'!D:Q,14,0)</f>
        <v>29</v>
      </c>
      <c r="P414" s="20">
        <f t="shared" si="17"/>
        <v>22</v>
      </c>
      <c r="Q414" s="21">
        <f t="shared" si="4"/>
        <v>1.5</v>
      </c>
      <c r="R414" s="21">
        <f t="shared" si="14"/>
        <v>1.5</v>
      </c>
      <c r="S414" s="20"/>
      <c r="T414" s="22"/>
      <c r="U414" s="23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</row>
    <row r="415" ht="22.5" customHeight="1">
      <c r="A415" s="9">
        <f>VLOOKUP(B415,FVM_update!A:B,2,0)</f>
        <v>4896</v>
      </c>
      <c r="B415" s="10" t="s">
        <v>445</v>
      </c>
      <c r="C415" s="11" t="s">
        <v>127</v>
      </c>
      <c r="D415" s="12" t="str">
        <f>VLOOKUP(B415,FVM_update!A:F,6,0)</f>
        <v>Lazio</v>
      </c>
      <c r="E415" s="13" t="str">
        <f>VLOOKUP(B415,FVM_update!A:E,4,0)</f>
        <v>T;A</v>
      </c>
      <c r="F415" s="11" t="s">
        <v>45</v>
      </c>
      <c r="G415" s="14">
        <v>45839.0</v>
      </c>
      <c r="H415" s="15">
        <f t="shared" si="1"/>
        <v>46204</v>
      </c>
      <c r="I415" s="11" t="s">
        <v>48</v>
      </c>
      <c r="J415" s="16" t="str">
        <f>VLOOKUP(A415,Asteriscati25!B:N,13,0)</f>
        <v>#N/A</v>
      </c>
      <c r="K415" s="17"/>
      <c r="L415" s="18" t="str">
        <f t="shared" si="15"/>
        <v>#REF!</v>
      </c>
      <c r="M415" s="19">
        <f>VLOOKUP(B415,FVM_Asta2526!A:N,14,0)</f>
        <v>24</v>
      </c>
      <c r="N415" s="18">
        <f>VLOOKUP(A415,FVM_update!B:N,13,0)</f>
        <v>18</v>
      </c>
      <c r="O415" s="20">
        <f>VLOOKUP(B415,'FVM_1luglio-31luglio25'!D:Q,14,0)</f>
        <v>26</v>
      </c>
      <c r="P415" s="20">
        <f t="shared" si="17"/>
        <v>18</v>
      </c>
      <c r="Q415" s="21">
        <f t="shared" si="4"/>
        <v>2.5</v>
      </c>
      <c r="R415" s="21">
        <f t="shared" si="14"/>
        <v>2.5</v>
      </c>
      <c r="S415" s="20"/>
      <c r="T415" s="22"/>
      <c r="U415" s="23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</row>
    <row r="416" ht="22.5" customHeight="1">
      <c r="A416" s="9">
        <f>VLOOKUP(B416,FVM_update!A:B,2,0)</f>
        <v>4973</v>
      </c>
      <c r="B416" s="10" t="s">
        <v>446</v>
      </c>
      <c r="C416" s="11" t="s">
        <v>127</v>
      </c>
      <c r="D416" s="12" t="str">
        <f>VLOOKUP(B416,FVM_update!A:F,6,0)</f>
        <v>Juventus</v>
      </c>
      <c r="E416" s="13" t="str">
        <f>VLOOKUP(B416,FVM_update!A:E,4,0)</f>
        <v>M;C</v>
      </c>
      <c r="F416" s="11" t="s">
        <v>45</v>
      </c>
      <c r="G416" s="14">
        <v>45839.0</v>
      </c>
      <c r="H416" s="15">
        <f t="shared" si="1"/>
        <v>46204</v>
      </c>
      <c r="I416" s="11" t="s">
        <v>48</v>
      </c>
      <c r="J416" s="16" t="str">
        <f>VLOOKUP(A416,Asteriscati25!B:N,13,0)</f>
        <v>#N/A</v>
      </c>
      <c r="K416" s="17"/>
      <c r="L416" s="18" t="str">
        <f t="shared" si="15"/>
        <v>#REF!</v>
      </c>
      <c r="M416" s="19">
        <f>VLOOKUP(B416,FVM_Asta2526!A:N,14,0)</f>
        <v>19</v>
      </c>
      <c r="N416" s="18">
        <f>VLOOKUP(A416,FVM_update!B:N,13,0)</f>
        <v>92</v>
      </c>
      <c r="O416" s="20">
        <f>VLOOKUP(B416,'FVM_1luglio-31luglio25'!D:Q,14,0)</f>
        <v>23</v>
      </c>
      <c r="P416" s="20">
        <f t="shared" si="17"/>
        <v>92</v>
      </c>
      <c r="Q416" s="21">
        <f t="shared" si="4"/>
        <v>2</v>
      </c>
      <c r="R416" s="21">
        <f t="shared" si="14"/>
        <v>2</v>
      </c>
      <c r="S416" s="20"/>
      <c r="T416" s="22"/>
      <c r="U416" s="23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</row>
    <row r="417" ht="22.5" customHeight="1">
      <c r="A417" s="9">
        <f>VLOOKUP(B417,FVM_update!A:B,2,0)</f>
        <v>572</v>
      </c>
      <c r="B417" s="10" t="s">
        <v>447</v>
      </c>
      <c r="C417" s="11" t="s">
        <v>127</v>
      </c>
      <c r="D417" s="12" t="str">
        <f>VLOOKUP(B417,FVM_update!A:F,6,0)</f>
        <v>Napoli</v>
      </c>
      <c r="E417" s="13" t="str">
        <f>VLOOKUP(B417,FVM_update!A:E,4,0)</f>
        <v>Por</v>
      </c>
      <c r="F417" s="11" t="s">
        <v>45</v>
      </c>
      <c r="G417" s="14">
        <v>45839.0</v>
      </c>
      <c r="H417" s="15">
        <f t="shared" si="1"/>
        <v>46204</v>
      </c>
      <c r="I417" s="11" t="s">
        <v>48</v>
      </c>
      <c r="J417" s="16" t="str">
        <f>VLOOKUP(A417,Asteriscati25!B:N,13,0)</f>
        <v>#N/A</v>
      </c>
      <c r="K417" s="17"/>
      <c r="L417" s="18" t="str">
        <f t="shared" si="15"/>
        <v>#REF!</v>
      </c>
      <c r="M417" s="19">
        <f>VLOOKUP(B417,FVM_Asta2526!A:N,14,0)</f>
        <v>95</v>
      </c>
      <c r="N417" s="18">
        <f>VLOOKUP(A417,FVM_update!B:N,13,0)</f>
        <v>27</v>
      </c>
      <c r="O417" s="20">
        <f>VLOOKUP(B417,'FVM_1luglio-31luglio25'!D:Q,14,0)</f>
        <v>88</v>
      </c>
      <c r="P417" s="20">
        <f t="shared" si="17"/>
        <v>27</v>
      </c>
      <c r="Q417" s="21">
        <f t="shared" si="4"/>
        <v>9.5</v>
      </c>
      <c r="R417" s="21">
        <f t="shared" si="14"/>
        <v>9.5</v>
      </c>
      <c r="S417" s="20"/>
      <c r="T417" s="22"/>
      <c r="U417" s="23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</row>
    <row r="418" ht="22.5" customHeight="1">
      <c r="A418" s="9">
        <f>VLOOKUP(B418,FVM_update!A:B,2,0)</f>
        <v>2170</v>
      </c>
      <c r="B418" s="10" t="s">
        <v>448</v>
      </c>
      <c r="C418" s="11" t="s">
        <v>127</v>
      </c>
      <c r="D418" s="12" t="str">
        <f>VLOOKUP(B418,FVM_update!A:F,6,0)</f>
        <v>Napoli</v>
      </c>
      <c r="E418" s="13" t="str">
        <f>VLOOKUP(B418,FVM_update!A:E,4,0)</f>
        <v>Por</v>
      </c>
      <c r="F418" s="11" t="s">
        <v>45</v>
      </c>
      <c r="G418" s="14">
        <v>45839.0</v>
      </c>
      <c r="H418" s="15">
        <f t="shared" si="1"/>
        <v>46204</v>
      </c>
      <c r="I418" s="11" t="s">
        <v>48</v>
      </c>
      <c r="J418" s="16" t="str">
        <f>VLOOKUP(A418,Asteriscati25!B:N,13,0)</f>
        <v>#N/A</v>
      </c>
      <c r="K418" s="17"/>
      <c r="L418" s="18" t="str">
        <f t="shared" si="15"/>
        <v>#REF!</v>
      </c>
      <c r="M418" s="19">
        <f>VLOOKUP(B418,FVM_Asta2526!A:N,14,0)</f>
        <v>9</v>
      </c>
      <c r="N418" s="18">
        <f>VLOOKUP(A418,FVM_update!B:N,13,0)</f>
        <v>36</v>
      </c>
      <c r="O418" s="20">
        <f>VLOOKUP(B418,'FVM_1luglio-31luglio25'!D:Q,14,0)</f>
        <v>52</v>
      </c>
      <c r="P418" s="20">
        <f t="shared" si="17"/>
        <v>36</v>
      </c>
      <c r="Q418" s="21">
        <f t="shared" si="4"/>
        <v>1</v>
      </c>
      <c r="R418" s="21">
        <f t="shared" si="14"/>
        <v>1</v>
      </c>
      <c r="S418" s="20"/>
      <c r="T418" s="22"/>
      <c r="U418" s="23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</row>
    <row r="419" ht="22.5" customHeight="1">
      <c r="A419" s="9">
        <f>VLOOKUP(B419,FVM_update!A:B,2,0)</f>
        <v>6831</v>
      </c>
      <c r="B419" s="25" t="s">
        <v>449</v>
      </c>
      <c r="C419" s="11" t="s">
        <v>127</v>
      </c>
      <c r="D419" s="12" t="str">
        <f>VLOOKUP(B419,FVM_update!A:F,6,0)</f>
        <v>Napoli</v>
      </c>
      <c r="E419" s="13" t="str">
        <f>VLOOKUP(B419,FVM_update!A:E,4,0)</f>
        <v>W;A</v>
      </c>
      <c r="F419" s="11" t="s">
        <v>55</v>
      </c>
      <c r="G419" s="14">
        <v>45474.0</v>
      </c>
      <c r="H419" s="15">
        <f t="shared" si="1"/>
        <v>46204</v>
      </c>
      <c r="I419" s="11" t="s">
        <v>46</v>
      </c>
      <c r="J419" s="16" t="str">
        <f>VLOOKUP(A419,Asteriscati25!B:N,13,0)</f>
        <v>#N/A</v>
      </c>
      <c r="K419" s="26">
        <v>0.0</v>
      </c>
      <c r="L419" s="18" t="str">
        <f t="shared" si="15"/>
        <v>#REF!</v>
      </c>
      <c r="M419" s="19">
        <f>VLOOKUP(B419,FVM_Asta2425!A:M,13,0)</f>
        <v>75</v>
      </c>
      <c r="N419" s="18">
        <f>VLOOKUP(A419,FVM_update!B:N,13,0)</f>
        <v>35</v>
      </c>
      <c r="O419" s="20">
        <f>VLOOKUP(B419,'FVM_1luglio-31luglio25'!D:Q,14,0)</f>
        <v>54</v>
      </c>
      <c r="P419" s="20">
        <f t="shared" si="17"/>
        <v>35</v>
      </c>
      <c r="Q419" s="21">
        <f t="shared" si="4"/>
        <v>10</v>
      </c>
      <c r="R419" s="21">
        <f t="shared" si="14"/>
        <v>5</v>
      </c>
      <c r="S419" s="20"/>
      <c r="T419" s="22"/>
      <c r="U419" s="23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</row>
    <row r="420" ht="22.5" customHeight="1">
      <c r="A420" s="9">
        <f>VLOOKUP(B420,FVM_update!A:B,2,0)</f>
        <v>4728</v>
      </c>
      <c r="B420" s="10" t="s">
        <v>450</v>
      </c>
      <c r="C420" s="11" t="s">
        <v>127</v>
      </c>
      <c r="D420" s="12" t="str">
        <f>VLOOKUP(B420,FVM_update!A:F,6,0)</f>
        <v>Milan</v>
      </c>
      <c r="E420" s="13" t="str">
        <f>VLOOKUP(B420,FVM_update!A:E,4,0)</f>
        <v>A</v>
      </c>
      <c r="F420" s="11" t="s">
        <v>45</v>
      </c>
      <c r="G420" s="14">
        <v>45839.0</v>
      </c>
      <c r="H420" s="15">
        <f t="shared" si="1"/>
        <v>46204</v>
      </c>
      <c r="I420" s="11" t="s">
        <v>48</v>
      </c>
      <c r="J420" s="16" t="str">
        <f>VLOOKUP(A420,Asteriscati25!B:N,13,0)</f>
        <v>#N/A</v>
      </c>
      <c r="K420" s="17"/>
      <c r="L420" s="18" t="str">
        <f t="shared" si="15"/>
        <v>#REF!</v>
      </c>
      <c r="M420" s="19">
        <f>VLOOKUP(B420,FVM_Asta2526!A:N,14,0)</f>
        <v>135</v>
      </c>
      <c r="N420" s="18">
        <f>VLOOKUP(A420,FVM_update!B:N,13,0)</f>
        <v>45</v>
      </c>
      <c r="O420" s="20" t="str">
        <f>VLOOKUP(B420,'FVM_1luglio-31luglio25'!D:Q,14,0)</f>
        <v>#N/A</v>
      </c>
      <c r="P420" s="20">
        <f t="shared" si="17"/>
        <v>45</v>
      </c>
      <c r="Q420" s="21">
        <f t="shared" si="4"/>
        <v>13.5</v>
      </c>
      <c r="R420" s="21">
        <f t="shared" si="14"/>
        <v>13.5</v>
      </c>
      <c r="S420" s="20"/>
      <c r="T420" s="22"/>
      <c r="U420" s="23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</row>
    <row r="421" ht="22.5" customHeight="1">
      <c r="A421" s="9">
        <f>VLOOKUP(B421,FVM_update!A:B,2,0)</f>
        <v>6984</v>
      </c>
      <c r="B421" s="10" t="s">
        <v>310</v>
      </c>
      <c r="C421" s="11" t="s">
        <v>127</v>
      </c>
      <c r="D421" s="12" t="str">
        <f>VLOOKUP(B421,FVM_update!A:F,6,0)</f>
        <v>Parma</v>
      </c>
      <c r="E421" s="13" t="str">
        <f>VLOOKUP(B421,FVM_update!A:E,4,0)</f>
        <v>W;A</v>
      </c>
      <c r="F421" s="11" t="s">
        <v>45</v>
      </c>
      <c r="G421" s="82">
        <v>45839.0</v>
      </c>
      <c r="H421" s="15">
        <f t="shared" si="1"/>
        <v>46204</v>
      </c>
      <c r="I421" s="11" t="s">
        <v>46</v>
      </c>
      <c r="J421" s="16" t="str">
        <f>VLOOKUP(A421,Asteriscati25!B:N,13,0)</f>
        <v>#N/A</v>
      </c>
      <c r="K421" s="29">
        <v>0.6</v>
      </c>
      <c r="L421" s="18" t="str">
        <f t="shared" si="15"/>
        <v>#REF!</v>
      </c>
      <c r="M421" s="19">
        <f>VLOOKUP(B421,FVM_Asta2526!A:N,14,0)</f>
        <v>15</v>
      </c>
      <c r="N421" s="18">
        <f>VLOOKUP(A421,FVM_update!B:N,13,0)</f>
        <v>17</v>
      </c>
      <c r="O421" s="20">
        <f>VLOOKUP(B421,'FVM_1luglio-31luglio25'!D:Q,14,0)</f>
        <v>23</v>
      </c>
      <c r="P421" s="20">
        <f t="shared" si="17"/>
        <v>17</v>
      </c>
      <c r="Q421" s="21">
        <f t="shared" si="4"/>
        <v>1.5</v>
      </c>
      <c r="R421" s="21">
        <f t="shared" si="14"/>
        <v>1</v>
      </c>
      <c r="S421" s="20"/>
      <c r="T421" s="22"/>
      <c r="U421" s="23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</row>
    <row r="422" ht="22.5" customHeight="1">
      <c r="A422" s="9">
        <f>VLOOKUP(B422,FVM_update!A:B,2,0)</f>
        <v>6925</v>
      </c>
      <c r="B422" s="138" t="s">
        <v>451</v>
      </c>
      <c r="C422" s="88" t="s">
        <v>127</v>
      </c>
      <c r="D422" s="12" t="str">
        <f>VLOOKUP(B422,FVM_update!A:F,6,0)</f>
        <v>Udinese</v>
      </c>
      <c r="E422" s="13" t="str">
        <f>VLOOKUP(B422,FVM_update!A:E,4,0)</f>
        <v>Dc</v>
      </c>
      <c r="F422" s="88" t="s">
        <v>43</v>
      </c>
      <c r="G422" s="14">
        <v>45839.0</v>
      </c>
      <c r="H422" s="15">
        <f t="shared" si="1"/>
        <v>401768</v>
      </c>
      <c r="I422" s="88" t="s">
        <v>43</v>
      </c>
      <c r="J422" s="92" t="str">
        <f>VLOOKUP(A422,Asteriscati25!B:N,13,0)</f>
        <v>#N/A</v>
      </c>
      <c r="K422" s="17"/>
      <c r="L422" s="58" t="str">
        <f t="shared" si="15"/>
        <v>#REF!</v>
      </c>
      <c r="M422" s="19">
        <f>VLOOKUP(B422,FVM_Asta2526!A:N,14,0)</f>
        <v>7</v>
      </c>
      <c r="N422" s="18">
        <f>VLOOKUP(A422,FVM_update!B:N,13,0)</f>
        <v>4</v>
      </c>
      <c r="O422" s="59" t="str">
        <f>VLOOKUP(B422,'FVM_1luglio-31luglio25'!D:Q,14,0)</f>
        <v>#N/A</v>
      </c>
      <c r="P422" s="59">
        <f t="shared" si="17"/>
        <v>4</v>
      </c>
      <c r="Q422" s="21">
        <f t="shared" si="4"/>
        <v>1</v>
      </c>
      <c r="R422" s="21">
        <f t="shared" si="14"/>
        <v>0.5</v>
      </c>
      <c r="S422" s="59"/>
      <c r="T422" s="96"/>
      <c r="U422" s="97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</row>
    <row r="423" ht="22.5" customHeight="1">
      <c r="A423" s="9">
        <f>VLOOKUP(B423,FVM_update!A:B,2,0)</f>
        <v>2137</v>
      </c>
      <c r="B423" s="25" t="s">
        <v>452</v>
      </c>
      <c r="C423" s="11" t="s">
        <v>127</v>
      </c>
      <c r="D423" s="12" t="str">
        <f>VLOOKUP(B423,FVM_update!A:F,6,0)</f>
        <v>Atalanta</v>
      </c>
      <c r="E423" s="13" t="str">
        <f>VLOOKUP(B423,FVM_update!A:E,4,0)</f>
        <v>Pc</v>
      </c>
      <c r="F423" s="11" t="s">
        <v>59</v>
      </c>
      <c r="G423" s="14">
        <v>45474.0</v>
      </c>
      <c r="H423" s="15">
        <f t="shared" si="1"/>
        <v>46569</v>
      </c>
      <c r="I423" s="11" t="s">
        <v>48</v>
      </c>
      <c r="J423" s="16" t="str">
        <f>VLOOKUP(A423,Asteriscati25!B:N,13,0)</f>
        <v>#N/A</v>
      </c>
      <c r="K423" s="26">
        <v>0.0</v>
      </c>
      <c r="L423" s="18" t="str">
        <f t="shared" si="15"/>
        <v>#REF!</v>
      </c>
      <c r="M423" s="19">
        <f>VLOOKUP(B423,FVM_Asta2425!A:M,13,0)</f>
        <v>140</v>
      </c>
      <c r="N423" s="18">
        <f>VLOOKUP(A423,FVM_update!B:N,13,0)</f>
        <v>102</v>
      </c>
      <c r="O423" s="20">
        <f>VLOOKUP(B423,'FVM_1luglio-31luglio25'!D:Q,14,0)</f>
        <v>100</v>
      </c>
      <c r="P423" s="20">
        <f t="shared" si="17"/>
        <v>102</v>
      </c>
      <c r="Q423" s="21">
        <f t="shared" si="4"/>
        <v>16.5</v>
      </c>
      <c r="R423" s="21">
        <f t="shared" si="14"/>
        <v>16.5</v>
      </c>
      <c r="S423" s="20"/>
      <c r="T423" s="22"/>
      <c r="U423" s="23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</row>
    <row r="424" ht="22.5" customHeight="1">
      <c r="A424" s="9">
        <f>VLOOKUP(B424,FVM_update!A:B,2,0)</f>
        <v>6434</v>
      </c>
      <c r="B424" s="25" t="s">
        <v>453</v>
      </c>
      <c r="C424" s="11" t="s">
        <v>127</v>
      </c>
      <c r="D424" s="12" t="str">
        <f>VLOOKUP(B424,FVM_update!A:F,6,0)</f>
        <v>Juventus</v>
      </c>
      <c r="E424" s="13" t="str">
        <f>VLOOKUP(B424,FVM_update!A:E,4,0)</f>
        <v>A</v>
      </c>
      <c r="F424" s="11" t="s">
        <v>59</v>
      </c>
      <c r="G424" s="14">
        <v>45474.0</v>
      </c>
      <c r="H424" s="15">
        <f t="shared" si="1"/>
        <v>46569</v>
      </c>
      <c r="I424" s="11" t="s">
        <v>126</v>
      </c>
      <c r="J424" s="16" t="str">
        <f>VLOOKUP(A424,Asteriscati25!B:N,13,0)</f>
        <v>#N/A</v>
      </c>
      <c r="K424" s="67">
        <v>1.0</v>
      </c>
      <c r="L424" s="18" t="str">
        <f t="shared" si="15"/>
        <v>#REF!</v>
      </c>
      <c r="M424" s="19">
        <f>VLOOKUP(B424,FVM_Asta2425!A:M,13,0)</f>
        <v>84</v>
      </c>
      <c r="N424" s="18">
        <f>VLOOKUP(A424,FVM_update!B:N,13,0)</f>
        <v>236</v>
      </c>
      <c r="O424" s="20">
        <f>VLOOKUP(B424,'FVM_1luglio-31luglio25'!D:Q,14,0)</f>
        <v>78</v>
      </c>
      <c r="P424" s="20">
        <f t="shared" si="17"/>
        <v>236</v>
      </c>
      <c r="Q424" s="21">
        <f t="shared" si="4"/>
        <v>10</v>
      </c>
      <c r="R424" s="21">
        <f t="shared" si="14"/>
        <v>10</v>
      </c>
      <c r="S424" s="19"/>
      <c r="T424" s="11" t="s">
        <v>99</v>
      </c>
      <c r="U424" s="10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</row>
    <row r="425" ht="22.5" customHeight="1">
      <c r="A425" s="9">
        <f>VLOOKUP(B425,FVM_update!A:B,2,0)</f>
        <v>6211</v>
      </c>
      <c r="B425" s="10" t="s">
        <v>454</v>
      </c>
      <c r="C425" s="11" t="s">
        <v>127</v>
      </c>
      <c r="D425" s="12" t="str">
        <f>VLOOKUP(B425,FVM_update!A:F,6,0)</f>
        <v>Udinese</v>
      </c>
      <c r="E425" s="13" t="str">
        <f>VLOOKUP(B425,FVM_update!A:E,4,0)</f>
        <v>Ds;E</v>
      </c>
      <c r="F425" s="11" t="s">
        <v>45</v>
      </c>
      <c r="G425" s="14">
        <v>45839.0</v>
      </c>
      <c r="H425" s="15">
        <f t="shared" si="1"/>
        <v>46204</v>
      </c>
      <c r="I425" s="11" t="s">
        <v>46</v>
      </c>
      <c r="J425" s="16" t="str">
        <f>VLOOKUP(A425,Asteriscati25!B:N,13,0)</f>
        <v>#N/A</v>
      </c>
      <c r="K425" s="17"/>
      <c r="L425" s="18" t="str">
        <f t="shared" si="15"/>
        <v>#REF!</v>
      </c>
      <c r="M425" s="19">
        <f>VLOOKUP(B425,FVM_Asta2526!A:N,14,0)</f>
        <v>8</v>
      </c>
      <c r="N425" s="18">
        <f>VLOOKUP(A425,FVM_update!B:N,13,0)</f>
        <v>8</v>
      </c>
      <c r="O425" s="20">
        <f>VLOOKUP(B425,'FVM_1luglio-31luglio25'!D:Q,14,0)</f>
        <v>7</v>
      </c>
      <c r="P425" s="20">
        <f t="shared" si="17"/>
        <v>8</v>
      </c>
      <c r="Q425" s="21">
        <f t="shared" si="4"/>
        <v>1</v>
      </c>
      <c r="R425" s="21">
        <f t="shared" si="14"/>
        <v>0.5</v>
      </c>
      <c r="S425" s="20"/>
      <c r="T425" s="22"/>
      <c r="U425" s="23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</row>
    <row r="426" ht="22.5" customHeight="1">
      <c r="A426" s="9">
        <f>VLOOKUP(B426,FVM_update!A:B,2,0)</f>
        <v>5761</v>
      </c>
      <c r="B426" s="10" t="s">
        <v>455</v>
      </c>
      <c r="C426" s="11" t="s">
        <v>127</v>
      </c>
      <c r="D426" s="12" t="str">
        <f>VLOOKUP(B426,FVM_update!A:F,6,0)</f>
        <v>Juventus</v>
      </c>
      <c r="E426" s="13" t="str">
        <f>VLOOKUP(B426,FVM_update!A:E,4,0)</f>
        <v>W</v>
      </c>
      <c r="F426" s="11" t="s">
        <v>59</v>
      </c>
      <c r="G426" s="14">
        <v>45839.0</v>
      </c>
      <c r="H426" s="15">
        <f t="shared" si="1"/>
        <v>46935</v>
      </c>
      <c r="I426" s="11" t="s">
        <v>48</v>
      </c>
      <c r="J426" s="16" t="str">
        <f>VLOOKUP(A426,Asteriscati25!B:N,13,0)</f>
        <v>#N/A</v>
      </c>
      <c r="K426" s="17"/>
      <c r="L426" s="18" t="str">
        <f t="shared" si="15"/>
        <v>#REF!</v>
      </c>
      <c r="M426" s="19">
        <f>VLOOKUP(B426,FVM_Asta2526!A:N,14,0)</f>
        <v>80</v>
      </c>
      <c r="N426" s="18">
        <f>VLOOKUP(A426,FVM_update!B:N,13,0)</f>
        <v>15</v>
      </c>
      <c r="O426" s="20" t="str">
        <f>VLOOKUP(B426,'FVM_1luglio-31luglio25'!D:Q,14,0)</f>
        <v>#N/A</v>
      </c>
      <c r="P426" s="20">
        <f t="shared" si="17"/>
        <v>15</v>
      </c>
      <c r="Q426" s="21">
        <f t="shared" si="4"/>
        <v>9.5</v>
      </c>
      <c r="R426" s="21">
        <f t="shared" si="14"/>
        <v>9.5</v>
      </c>
      <c r="S426" s="20"/>
      <c r="T426" s="22"/>
      <c r="U426" s="23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</row>
    <row r="427" ht="22.5" customHeight="1">
      <c r="A427" s="9">
        <f>VLOOKUP(B427,FVM_update!A:B,2,0)</f>
        <v>2845</v>
      </c>
      <c r="B427" s="25" t="s">
        <v>456</v>
      </c>
      <c r="C427" s="11" t="s">
        <v>127</v>
      </c>
      <c r="D427" s="12" t="str">
        <f>VLOOKUP(B427,FVM_update!A:F,6,0)</f>
        <v>Napoli</v>
      </c>
      <c r="E427" s="13" t="str">
        <f>VLOOKUP(B427,FVM_update!A:E,4,0)</f>
        <v>Por</v>
      </c>
      <c r="F427" s="11" t="s">
        <v>92</v>
      </c>
      <c r="G427" s="14">
        <v>46054.0</v>
      </c>
      <c r="H427" s="15">
        <f t="shared" si="1"/>
        <v>46204</v>
      </c>
      <c r="I427" s="11" t="s">
        <v>93</v>
      </c>
      <c r="J427" s="16" t="str">
        <f>VLOOKUP(A427,Asteriscati25!B:N,13,0)</f>
        <v>#N/A</v>
      </c>
      <c r="K427" s="17"/>
      <c r="L427" s="18" t="str">
        <f t="shared" si="15"/>
        <v>#REF!</v>
      </c>
      <c r="M427" s="19">
        <v>1.0</v>
      </c>
      <c r="N427" s="18">
        <f>VLOOKUP(A427,FVM_update!B:N,13,0)</f>
        <v>1</v>
      </c>
      <c r="O427" s="20">
        <f>VLOOKUP(B427,'FVM_1luglio-31luglio25'!D:Q,14,0)</f>
        <v>1</v>
      </c>
      <c r="P427" s="20">
        <f t="shared" si="17"/>
        <v>1</v>
      </c>
      <c r="Q427" s="21">
        <f t="shared" si="4"/>
        <v>0.5</v>
      </c>
      <c r="R427" s="21">
        <f t="shared" si="14"/>
        <v>0.5</v>
      </c>
      <c r="S427" s="20"/>
      <c r="T427" s="22"/>
      <c r="U427" s="23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</row>
    <row r="428" ht="22.5" customHeight="1">
      <c r="A428" s="9">
        <f>VLOOKUP(B428,FVM_update!A:B,2,0)</f>
        <v>5750</v>
      </c>
      <c r="B428" s="25" t="s">
        <v>457</v>
      </c>
      <c r="C428" s="11" t="s">
        <v>127</v>
      </c>
      <c r="D428" s="12" t="str">
        <f>VLOOKUP(B428,FVM_update!A:F,6,0)</f>
        <v>Genoa</v>
      </c>
      <c r="E428" s="13" t="str">
        <f>VLOOKUP(B428,FVM_update!A:E,4,0)</f>
        <v>Dc</v>
      </c>
      <c r="F428" s="11" t="s">
        <v>74</v>
      </c>
      <c r="G428" s="14">
        <v>46054.0</v>
      </c>
      <c r="H428" s="15">
        <f t="shared" si="1"/>
        <v>46966</v>
      </c>
      <c r="I428" s="11" t="s">
        <v>93</v>
      </c>
      <c r="J428" s="16" t="str">
        <f>VLOOKUP(A428,Asteriscati25!B:N,13,0)</f>
        <v>#N/A</v>
      </c>
      <c r="K428" s="17"/>
      <c r="L428" s="18" t="str">
        <f t="shared" si="15"/>
        <v>#REF!</v>
      </c>
      <c r="M428" s="19">
        <v>25.0</v>
      </c>
      <c r="N428" s="18">
        <f>VLOOKUP(A428,FVM_update!B:N,13,0)</f>
        <v>25</v>
      </c>
      <c r="O428" s="20" t="str">
        <f>VLOOKUP(B428,'FVM_1luglio-31luglio25'!D:Q,14,0)</f>
        <v>#N/A</v>
      </c>
      <c r="P428" s="20">
        <f t="shared" si="17"/>
        <v>25</v>
      </c>
      <c r="Q428" s="21">
        <f t="shared" si="4"/>
        <v>3</v>
      </c>
      <c r="R428" s="21">
        <f t="shared" si="14"/>
        <v>1.5</v>
      </c>
      <c r="S428" s="20"/>
      <c r="T428" s="22"/>
      <c r="U428" s="23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</row>
    <row r="429" ht="22.5" customHeight="1">
      <c r="A429" s="9">
        <f>VLOOKUP(B429,FVM_update!A:B,2,0)</f>
        <v>7012</v>
      </c>
      <c r="B429" s="25" t="s">
        <v>458</v>
      </c>
      <c r="C429" s="11" t="s">
        <v>127</v>
      </c>
      <c r="D429" s="12" t="str">
        <f>VLOOKUP(B429,FVM_update!A:F,6,0)</f>
        <v>Lazio</v>
      </c>
      <c r="E429" s="13" t="str">
        <f>VLOOKUP(B429,FVM_update!A:E,4,0)</f>
        <v>Dc</v>
      </c>
      <c r="F429" s="11" t="s">
        <v>74</v>
      </c>
      <c r="G429" s="14">
        <v>46054.0</v>
      </c>
      <c r="H429" s="15">
        <f t="shared" si="1"/>
        <v>46966</v>
      </c>
      <c r="I429" s="11" t="s">
        <v>93</v>
      </c>
      <c r="J429" s="16" t="str">
        <f>VLOOKUP(A429,Asteriscati25!B:N,13,0)</f>
        <v>#N/A</v>
      </c>
      <c r="K429" s="17"/>
      <c r="L429" s="18" t="str">
        <f t="shared" si="15"/>
        <v>#REF!</v>
      </c>
      <c r="M429" s="19">
        <v>7.0</v>
      </c>
      <c r="N429" s="18">
        <f>VLOOKUP(A429,FVM_update!B:N,13,0)</f>
        <v>7</v>
      </c>
      <c r="O429" s="20">
        <f>VLOOKUP(B429,'FVM_1luglio-31luglio25'!D:Q,14,0)</f>
        <v>5</v>
      </c>
      <c r="P429" s="20">
        <f t="shared" si="17"/>
        <v>7</v>
      </c>
      <c r="Q429" s="21">
        <f t="shared" si="4"/>
        <v>1</v>
      </c>
      <c r="R429" s="21">
        <f t="shared" si="14"/>
        <v>0.5</v>
      </c>
      <c r="S429" s="20"/>
      <c r="T429" s="22"/>
      <c r="U429" s="23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</row>
    <row r="430" ht="22.5" customHeight="1">
      <c r="A430" s="9">
        <f>VLOOKUP(B430,FVM_update!A:B,2,0)</f>
        <v>7335</v>
      </c>
      <c r="B430" s="25" t="s">
        <v>459</v>
      </c>
      <c r="C430" s="11" t="s">
        <v>127</v>
      </c>
      <c r="D430" s="12" t="str">
        <f>VLOOKUP(B430,FVM_update!A:F,6,0)</f>
        <v>Genoa</v>
      </c>
      <c r="E430" s="13" t="str">
        <f>VLOOKUP(B430,FVM_update!A:E,4,0)</f>
        <v>Dc</v>
      </c>
      <c r="F430" s="11" t="s">
        <v>92</v>
      </c>
      <c r="G430" s="14">
        <v>46054.0</v>
      </c>
      <c r="H430" s="15">
        <f t="shared" si="1"/>
        <v>46204</v>
      </c>
      <c r="I430" s="11" t="s">
        <v>93</v>
      </c>
      <c r="J430" s="16" t="str">
        <f>VLOOKUP(A430,Asteriscati25!B:N,13,0)</f>
        <v>#N/A</v>
      </c>
      <c r="K430" s="17"/>
      <c r="L430" s="18" t="str">
        <f t="shared" si="15"/>
        <v>#REF!</v>
      </c>
      <c r="M430" s="19">
        <v>10.0</v>
      </c>
      <c r="N430" s="18">
        <f>VLOOKUP(A430,FVM_update!B:N,13,0)</f>
        <v>10</v>
      </c>
      <c r="O430" s="20" t="str">
        <f>VLOOKUP(B430,'FVM_1luglio-31luglio25'!D:Q,14,0)</f>
        <v>#N/A</v>
      </c>
      <c r="P430" s="20">
        <f t="shared" si="17"/>
        <v>10</v>
      </c>
      <c r="Q430" s="21">
        <f t="shared" si="4"/>
        <v>1</v>
      </c>
      <c r="R430" s="21">
        <f t="shared" si="14"/>
        <v>0.5</v>
      </c>
      <c r="S430" s="20"/>
      <c r="T430" s="22"/>
      <c r="U430" s="23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</row>
    <row r="431" ht="22.5" customHeight="1">
      <c r="A431" s="9">
        <f>VLOOKUP(B431,FVM_update!A:B,2,0)</f>
        <v>5998</v>
      </c>
      <c r="B431" s="25" t="s">
        <v>460</v>
      </c>
      <c r="C431" s="11" t="s">
        <v>127</v>
      </c>
      <c r="D431" s="12" t="str">
        <f>VLOOKUP(B431,FVM_update!A:F,6,0)</f>
        <v>Cremonese</v>
      </c>
      <c r="E431" s="13" t="str">
        <f>VLOOKUP(B431,FVM_update!A:E,4,0)</f>
        <v>E;W</v>
      </c>
      <c r="F431" s="11" t="s">
        <v>92</v>
      </c>
      <c r="G431" s="14">
        <v>46054.0</v>
      </c>
      <c r="H431" s="15">
        <f t="shared" si="1"/>
        <v>46204</v>
      </c>
      <c r="I431" s="11" t="s">
        <v>93</v>
      </c>
      <c r="J431" s="16" t="str">
        <f>VLOOKUP(A431,Asteriscati25!B:N,13,0)</f>
        <v>#N/A</v>
      </c>
      <c r="K431" s="17"/>
      <c r="L431" s="18" t="str">
        <f t="shared" si="15"/>
        <v>#REF!</v>
      </c>
      <c r="M431" s="19">
        <v>13.0</v>
      </c>
      <c r="N431" s="18">
        <f>VLOOKUP(A431,FVM_update!B:N,13,0)</f>
        <v>13</v>
      </c>
      <c r="O431" s="20">
        <f>VLOOKUP(B431,'FVM_1luglio-31luglio25'!D:Q,14,0)</f>
        <v>12</v>
      </c>
      <c r="P431" s="20">
        <f t="shared" si="17"/>
        <v>13</v>
      </c>
      <c r="Q431" s="21">
        <f t="shared" si="4"/>
        <v>1.5</v>
      </c>
      <c r="R431" s="21">
        <f t="shared" si="14"/>
        <v>1</v>
      </c>
      <c r="S431" s="20"/>
      <c r="T431" s="22"/>
      <c r="U431" s="23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</row>
    <row r="432" ht="22.5" customHeight="1">
      <c r="A432" s="9">
        <f>VLOOKUP(B432,FVM_update!A:B,2,0)</f>
        <v>2528</v>
      </c>
      <c r="B432" s="25" t="s">
        <v>461</v>
      </c>
      <c r="C432" s="11" t="s">
        <v>127</v>
      </c>
      <c r="D432" s="12" t="str">
        <f>VLOOKUP(B432,FVM_update!A:F,6,0)</f>
        <v>Sassuolo</v>
      </c>
      <c r="E432" s="13" t="str">
        <f>VLOOKUP(B432,FVM_update!A:E,4,0)</f>
        <v>M;C</v>
      </c>
      <c r="F432" s="11" t="s">
        <v>92</v>
      </c>
      <c r="G432" s="14">
        <v>46054.0</v>
      </c>
      <c r="H432" s="15">
        <f t="shared" si="1"/>
        <v>46204</v>
      </c>
      <c r="I432" s="11" t="s">
        <v>93</v>
      </c>
      <c r="J432" s="16" t="str">
        <f>VLOOKUP(A432,Asteriscati25!B:N,13,0)</f>
        <v>#N/A</v>
      </c>
      <c r="K432" s="17"/>
      <c r="L432" s="18" t="str">
        <f t="shared" si="15"/>
        <v>#REF!</v>
      </c>
      <c r="M432" s="19">
        <v>22.0</v>
      </c>
      <c r="N432" s="18">
        <f>VLOOKUP(A432,FVM_update!B:N,13,0)</f>
        <v>22</v>
      </c>
      <c r="O432" s="20" t="str">
        <f>VLOOKUP(B432,'FVM_1luglio-31luglio25'!D:Q,14,0)</f>
        <v>#N/A</v>
      </c>
      <c r="P432" s="20">
        <f t="shared" si="17"/>
        <v>22</v>
      </c>
      <c r="Q432" s="21">
        <f t="shared" si="4"/>
        <v>2.5</v>
      </c>
      <c r="R432" s="21">
        <f t="shared" si="14"/>
        <v>1.5</v>
      </c>
      <c r="S432" s="20"/>
      <c r="T432" s="22"/>
      <c r="U432" s="23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</row>
    <row r="433" ht="22.5" customHeight="1">
      <c r="A433" s="9">
        <f>VLOOKUP(B433,FVM_update!A:B,2,0)</f>
        <v>4427</v>
      </c>
      <c r="B433" s="25" t="s">
        <v>462</v>
      </c>
      <c r="C433" s="11" t="s">
        <v>127</v>
      </c>
      <c r="D433" s="12" t="str">
        <f>VLOOKUP(B433,FVM_update!A:F,6,0)</f>
        <v>Genoa</v>
      </c>
      <c r="E433" s="13" t="str">
        <f>VLOOKUP(B433,FVM_update!A:E,4,0)</f>
        <v>C;T</v>
      </c>
      <c r="F433" s="11" t="s">
        <v>97</v>
      </c>
      <c r="G433" s="14">
        <v>46054.0</v>
      </c>
      <c r="H433" s="15">
        <f t="shared" si="1"/>
        <v>46600</v>
      </c>
      <c r="I433" s="11" t="s">
        <v>93</v>
      </c>
      <c r="J433" s="16" t="str">
        <f>VLOOKUP(A433,Asteriscati25!B:N,13,0)</f>
        <v>#N/A</v>
      </c>
      <c r="K433" s="17"/>
      <c r="L433" s="18" t="str">
        <f t="shared" si="15"/>
        <v>#REF!</v>
      </c>
      <c r="M433" s="19">
        <v>50.0</v>
      </c>
      <c r="N433" s="18">
        <f>VLOOKUP(A433,FVM_update!B:N,13,0)</f>
        <v>50</v>
      </c>
      <c r="O433" s="20">
        <f>VLOOKUP(B433,'FVM_1luglio-31luglio25'!D:Q,14,0)</f>
        <v>22</v>
      </c>
      <c r="P433" s="20">
        <f t="shared" si="17"/>
        <v>50</v>
      </c>
      <c r="Q433" s="21">
        <f t="shared" si="4"/>
        <v>6</v>
      </c>
      <c r="R433" s="21">
        <f t="shared" si="14"/>
        <v>3</v>
      </c>
      <c r="S433" s="20"/>
      <c r="T433" s="22"/>
      <c r="U433" s="23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</row>
    <row r="434" ht="22.5" customHeight="1">
      <c r="A434" s="9">
        <f>VLOOKUP(B434,FVM_update!A:B,2,0)</f>
        <v>7036</v>
      </c>
      <c r="B434" s="25" t="s">
        <v>463</v>
      </c>
      <c r="C434" s="11" t="s">
        <v>127</v>
      </c>
      <c r="D434" s="12" t="str">
        <f>VLOOKUP(B434,FVM_update!A:F,6,0)</f>
        <v>Sassuolo</v>
      </c>
      <c r="E434" s="13" t="str">
        <f>VLOOKUP(B434,FVM_update!A:E,4,0)</f>
        <v>C;T</v>
      </c>
      <c r="F434" s="11" t="s">
        <v>74</v>
      </c>
      <c r="G434" s="14">
        <v>46054.0</v>
      </c>
      <c r="H434" s="15">
        <f t="shared" si="1"/>
        <v>46966</v>
      </c>
      <c r="I434" s="11" t="s">
        <v>93</v>
      </c>
      <c r="J434" s="16" t="str">
        <f>VLOOKUP(A434,Asteriscati25!B:N,13,0)</f>
        <v>#N/A</v>
      </c>
      <c r="K434" s="17"/>
      <c r="L434" s="18" t="str">
        <f t="shared" si="15"/>
        <v>#REF!</v>
      </c>
      <c r="M434" s="19">
        <v>8.0</v>
      </c>
      <c r="N434" s="18">
        <f>VLOOKUP(A434,FVM_update!B:N,13,0)</f>
        <v>8</v>
      </c>
      <c r="O434" s="20" t="str">
        <f>VLOOKUP(B434,'FVM_1luglio-31luglio25'!D:Q,14,0)</f>
        <v>#N/A</v>
      </c>
      <c r="P434" s="20">
        <f t="shared" si="17"/>
        <v>8</v>
      </c>
      <c r="Q434" s="21">
        <f t="shared" si="4"/>
        <v>1</v>
      </c>
      <c r="R434" s="21">
        <f t="shared" si="14"/>
        <v>0.5</v>
      </c>
      <c r="S434" s="20"/>
      <c r="T434" s="22"/>
      <c r="U434" s="23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</row>
    <row r="435" ht="22.5" customHeight="1">
      <c r="A435" s="9">
        <f>VLOOKUP(B435,FVM_update!A:B,2,0)</f>
        <v>7313</v>
      </c>
      <c r="B435" s="25" t="s">
        <v>464</v>
      </c>
      <c r="C435" s="11" t="s">
        <v>127</v>
      </c>
      <c r="D435" s="12" t="str">
        <f>VLOOKUP(B435,FVM_update!A:F,6,0)</f>
        <v>Lazio</v>
      </c>
      <c r="E435" s="13" t="str">
        <f>VLOOKUP(B435,FVM_update!A:E,4,0)</f>
        <v>Pc</v>
      </c>
      <c r="F435" s="11" t="s">
        <v>92</v>
      </c>
      <c r="G435" s="14">
        <v>46054.0</v>
      </c>
      <c r="H435" s="15">
        <f t="shared" si="1"/>
        <v>46204</v>
      </c>
      <c r="I435" s="11" t="s">
        <v>93</v>
      </c>
      <c r="J435" s="16" t="str">
        <f>VLOOKUP(A435,Asteriscati25!B:N,13,0)</f>
        <v>#N/A</v>
      </c>
      <c r="K435" s="17"/>
      <c r="L435" s="18" t="str">
        <f t="shared" si="15"/>
        <v>#REF!</v>
      </c>
      <c r="M435" s="19">
        <v>22.0</v>
      </c>
      <c r="N435" s="18">
        <f>VLOOKUP(A435,FVM_update!B:N,13,0)</f>
        <v>22</v>
      </c>
      <c r="O435" s="20" t="str">
        <f>VLOOKUP(B435,'FVM_1luglio-31luglio25'!D:Q,14,0)</f>
        <v>#N/A</v>
      </c>
      <c r="P435" s="20">
        <f t="shared" si="17"/>
        <v>22</v>
      </c>
      <c r="Q435" s="21">
        <f t="shared" si="4"/>
        <v>2.5</v>
      </c>
      <c r="R435" s="21">
        <f t="shared" si="14"/>
        <v>1.5</v>
      </c>
      <c r="S435" s="20"/>
      <c r="T435" s="22"/>
      <c r="U435" s="23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</row>
  </sheetData>
  <conditionalFormatting sqref="H1:H436">
    <cfRule type="expression" dxfId="5" priority="1">
      <formula>H1&lt;45840.0</formula>
    </cfRule>
  </conditionalFormatting>
  <conditionalFormatting sqref="G1:G436">
    <cfRule type="expression" dxfId="6" priority="2">
      <formula>G1=45108.0</formula>
    </cfRule>
  </conditionalFormatting>
  <dataValidations>
    <dataValidation type="list" allowBlank="1" sqref="I2:I435">
      <formula1>#REF!</formula1>
    </dataValidation>
    <dataValidation type="list" allowBlank="1" sqref="K2:K435">
      <formula1>"0%,20%,40%,60%,80%,100%"</formula1>
    </dataValidation>
    <dataValidation type="list" allowBlank="1" sqref="C2:C435">
      <formula1>#REF!</formula1>
    </dataValidation>
    <dataValidation type="custom" allowBlank="1" showDropDown="1" sqref="M2:N435 Q2:Q435 S2:S435">
      <formula1>AND(ISNUMBER(M2),(NOT(OR(NOT(ISERROR(DATEVALUE(M2))), AND(ISNUMBER(M2), LEFT(CELL("format", M2))="D")))))</formula1>
    </dataValidation>
    <dataValidation type="custom" allowBlank="1" showDropDown="1" sqref="G2:H435">
      <formula1>OR(NOT(ISERROR(DATEVALUE(G2))), AND(ISNUMBER(G2), LEFT(CELL("format", G2))="D"))</formula1>
    </dataValidation>
    <dataValidation type="list" allowBlank="1" sqref="T2:T435">
      <formula1>#REF!</formula1>
    </dataValidation>
    <dataValidation allowBlank="1" showDropDown="1" sqref="B2:B435 E2:E435"/>
    <dataValidation type="list" allowBlank="1" sqref="F2:F435">
      <formula1>#REF!</formula1>
    </dataValidation>
    <dataValidation type="custom" allowBlank="1" showDropDown="1" sqref="A2:A435 O2:P435">
      <formula1>AND(ISNUMBER(A2),(NOT(OR(NOT(ISERROR(DATEVALUE(A2))), AND(ISNUMBER(A2), LEFT(CELL("format", A2))="D")))))</formula1>
    </dataValidation>
    <dataValidation allowBlank="1" showDropDown="1" sqref="D2:D435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9" t="s">
        <v>465</v>
      </c>
      <c r="B1" s="139" t="s">
        <v>466</v>
      </c>
      <c r="C1" s="139" t="s">
        <v>467</v>
      </c>
      <c r="D1" s="139" t="s">
        <v>468</v>
      </c>
      <c r="E1" s="139" t="s">
        <v>6</v>
      </c>
      <c r="F1" s="139" t="s">
        <v>469</v>
      </c>
      <c r="G1" s="139" t="s">
        <v>470</v>
      </c>
      <c r="H1" s="139" t="s">
        <v>471</v>
      </c>
      <c r="I1" s="139" t="s">
        <v>472</v>
      </c>
      <c r="J1" s="1" t="s">
        <v>473</v>
      </c>
    </row>
    <row r="2">
      <c r="A2" s="140">
        <v>4312.0</v>
      </c>
      <c r="B2" s="139" t="s">
        <v>474</v>
      </c>
      <c r="C2" s="139" t="s">
        <v>475</v>
      </c>
      <c r="D2" s="139" t="s">
        <v>476</v>
      </c>
      <c r="E2" s="139" t="s">
        <v>477</v>
      </c>
      <c r="F2" s="139" t="s">
        <v>478</v>
      </c>
      <c r="G2" s="140">
        <v>0.0</v>
      </c>
      <c r="H2" s="140">
        <v>20.0</v>
      </c>
      <c r="I2" s="140">
        <v>20.0</v>
      </c>
      <c r="J2" s="141">
        <f>VLOOKUP(A2,Gestionale_!A:A,1,0)</f>
        <v>4312</v>
      </c>
    </row>
    <row r="3" hidden="1">
      <c r="A3" s="140">
        <v>2815.0</v>
      </c>
      <c r="B3" s="139" t="s">
        <v>272</v>
      </c>
      <c r="C3" s="139" t="s">
        <v>475</v>
      </c>
      <c r="D3" s="139" t="s">
        <v>476</v>
      </c>
      <c r="E3" s="139" t="s">
        <v>477</v>
      </c>
      <c r="F3" s="139" t="s">
        <v>478</v>
      </c>
      <c r="G3" s="140">
        <v>1.0</v>
      </c>
      <c r="H3" s="140">
        <v>1.0</v>
      </c>
      <c r="I3" s="140">
        <v>1.0</v>
      </c>
      <c r="J3" s="141">
        <f>VLOOKUP(A3,Gestionale_!A:A,1,0)</f>
        <v>2815</v>
      </c>
    </row>
    <row r="4" hidden="1">
      <c r="A4" s="140">
        <v>513.0</v>
      </c>
      <c r="B4" s="139" t="s">
        <v>238</v>
      </c>
      <c r="C4" s="139" t="s">
        <v>475</v>
      </c>
      <c r="D4" s="139" t="s">
        <v>479</v>
      </c>
      <c r="E4" s="139" t="s">
        <v>480</v>
      </c>
      <c r="F4" s="139" t="s">
        <v>481</v>
      </c>
      <c r="G4" s="140">
        <v>23.0</v>
      </c>
      <c r="H4" s="140">
        <v>6.0</v>
      </c>
      <c r="I4" s="140">
        <v>6.0</v>
      </c>
      <c r="J4" s="141">
        <f>VLOOKUP(A4,Gestionale_!A:A,1,0)</f>
        <v>513</v>
      </c>
    </row>
    <row r="5">
      <c r="A5" s="140">
        <v>2788.0</v>
      </c>
      <c r="B5" s="139" t="s">
        <v>482</v>
      </c>
      <c r="C5" s="139" t="s">
        <v>475</v>
      </c>
      <c r="D5" s="139" t="s">
        <v>483</v>
      </c>
      <c r="E5" s="139" t="s">
        <v>480</v>
      </c>
      <c r="F5" s="139" t="s">
        <v>481</v>
      </c>
      <c r="G5" s="140">
        <v>0.0</v>
      </c>
      <c r="H5" s="140">
        <v>13.0</v>
      </c>
      <c r="I5" s="140">
        <v>13.0</v>
      </c>
      <c r="J5" s="141">
        <f>VLOOKUP(A5,Gestionale_!A:A,1,0)</f>
        <v>2788</v>
      </c>
    </row>
    <row r="6" hidden="1">
      <c r="A6" s="140">
        <v>4317.0</v>
      </c>
      <c r="B6" s="139" t="s">
        <v>264</v>
      </c>
      <c r="C6" s="139" t="s">
        <v>475</v>
      </c>
      <c r="D6" s="139" t="s">
        <v>484</v>
      </c>
      <c r="E6" s="139" t="s">
        <v>480</v>
      </c>
      <c r="F6" s="139" t="s">
        <v>481</v>
      </c>
      <c r="G6" s="140">
        <v>39.0</v>
      </c>
      <c r="H6" s="140">
        <v>7.0</v>
      </c>
      <c r="I6" s="140">
        <v>7.0</v>
      </c>
      <c r="J6" s="141">
        <f>VLOOKUP(A6,Gestionale_!A:A,1,0)</f>
        <v>4317</v>
      </c>
    </row>
    <row r="7" hidden="1">
      <c r="A7" s="140">
        <v>322.0</v>
      </c>
      <c r="B7" s="139" t="s">
        <v>248</v>
      </c>
      <c r="C7" s="139" t="s">
        <v>475</v>
      </c>
      <c r="D7" s="139" t="s">
        <v>479</v>
      </c>
      <c r="E7" s="139" t="s">
        <v>480</v>
      </c>
      <c r="F7" s="139" t="s">
        <v>481</v>
      </c>
      <c r="G7" s="140">
        <v>10.0</v>
      </c>
      <c r="H7" s="140">
        <v>3.0</v>
      </c>
      <c r="I7" s="140">
        <v>3.0</v>
      </c>
      <c r="J7" s="141">
        <f>VLOOKUP(A7,Gestionale_!A:A,1,0)</f>
        <v>322</v>
      </c>
    </row>
    <row r="8" hidden="1">
      <c r="A8" s="140">
        <v>5835.0</v>
      </c>
      <c r="B8" s="139" t="s">
        <v>242</v>
      </c>
      <c r="C8" s="139" t="s">
        <v>475</v>
      </c>
      <c r="D8" s="139" t="s">
        <v>485</v>
      </c>
      <c r="E8" s="139" t="s">
        <v>480</v>
      </c>
      <c r="F8" s="139" t="s">
        <v>481</v>
      </c>
      <c r="G8" s="140">
        <v>14.0</v>
      </c>
      <c r="H8" s="140">
        <v>13.0</v>
      </c>
      <c r="I8" s="140">
        <v>13.0</v>
      </c>
      <c r="J8" s="141">
        <f>VLOOKUP(A8,Gestionale_!A:A,1,0)</f>
        <v>5835</v>
      </c>
    </row>
    <row r="9" hidden="1">
      <c r="A9" s="140">
        <v>7196.0</v>
      </c>
      <c r="B9" s="139" t="s">
        <v>249</v>
      </c>
      <c r="C9" s="139" t="s">
        <v>475</v>
      </c>
      <c r="D9" s="139" t="s">
        <v>486</v>
      </c>
      <c r="E9" s="139" t="s">
        <v>480</v>
      </c>
      <c r="F9" s="139" t="s">
        <v>481</v>
      </c>
      <c r="G9" s="140">
        <v>1.0</v>
      </c>
      <c r="H9" s="140">
        <v>1.0</v>
      </c>
      <c r="I9" s="140">
        <v>1.0</v>
      </c>
      <c r="J9" s="141">
        <f>VLOOKUP(A9,Gestionale_!A:A,1,0)</f>
        <v>7196</v>
      </c>
    </row>
    <row r="10" hidden="1">
      <c r="A10" s="140">
        <v>6766.0</v>
      </c>
      <c r="B10" s="139" t="s">
        <v>258</v>
      </c>
      <c r="C10" s="139" t="s">
        <v>475</v>
      </c>
      <c r="D10" s="139" t="s">
        <v>483</v>
      </c>
      <c r="E10" s="139" t="s">
        <v>480</v>
      </c>
      <c r="F10" s="139" t="s">
        <v>487</v>
      </c>
      <c r="G10" s="140">
        <v>12.0</v>
      </c>
      <c r="H10" s="140">
        <v>10.0</v>
      </c>
      <c r="I10" s="140">
        <v>11.0</v>
      </c>
      <c r="J10" s="141">
        <f>VLOOKUP(A10,Gestionale_!A:A,1,0)</f>
        <v>6766</v>
      </c>
    </row>
    <row r="11" hidden="1">
      <c r="A11" s="140">
        <v>49.0</v>
      </c>
      <c r="B11" s="139" t="s">
        <v>263</v>
      </c>
      <c r="C11" s="139" t="s">
        <v>475</v>
      </c>
      <c r="D11" s="139" t="s">
        <v>488</v>
      </c>
      <c r="E11" s="139" t="s">
        <v>480</v>
      </c>
      <c r="F11" s="139" t="s">
        <v>489</v>
      </c>
      <c r="G11" s="140">
        <v>1.0</v>
      </c>
      <c r="H11" s="140">
        <v>2.0</v>
      </c>
      <c r="I11" s="140">
        <v>2.0</v>
      </c>
      <c r="J11" s="141">
        <f>VLOOKUP(A11,Gestionale_!A:A,1,0)</f>
        <v>49</v>
      </c>
    </row>
    <row r="12" hidden="1">
      <c r="A12" s="140">
        <v>5273.0</v>
      </c>
      <c r="B12" s="139" t="s">
        <v>254</v>
      </c>
      <c r="C12" s="139" t="s">
        <v>475</v>
      </c>
      <c r="D12" s="139" t="s">
        <v>476</v>
      </c>
      <c r="E12" s="139" t="s">
        <v>480</v>
      </c>
      <c r="F12" s="139" t="s">
        <v>490</v>
      </c>
      <c r="G12" s="140">
        <v>25.0</v>
      </c>
      <c r="H12" s="140">
        <v>3.0</v>
      </c>
      <c r="I12" s="140">
        <v>3.0</v>
      </c>
      <c r="J12" s="141">
        <f>VLOOKUP(A12,Gestionale_!A:A,1,0)</f>
        <v>5273</v>
      </c>
    </row>
    <row r="13" hidden="1">
      <c r="A13" s="140">
        <v>2593.0</v>
      </c>
      <c r="B13" s="139" t="s">
        <v>262</v>
      </c>
      <c r="C13" s="139" t="s">
        <v>475</v>
      </c>
      <c r="D13" s="139" t="s">
        <v>491</v>
      </c>
      <c r="E13" s="139" t="s">
        <v>480</v>
      </c>
      <c r="F13" s="139" t="s">
        <v>490</v>
      </c>
      <c r="G13" s="140">
        <v>23.0</v>
      </c>
      <c r="H13" s="140">
        <v>14.0</v>
      </c>
      <c r="I13" s="140">
        <v>14.0</v>
      </c>
      <c r="J13" s="141">
        <f>VLOOKUP(A13,Gestionale_!A:A,1,0)</f>
        <v>2593</v>
      </c>
    </row>
    <row r="14" hidden="1">
      <c r="A14" s="140">
        <v>4686.0</v>
      </c>
      <c r="B14" s="139" t="s">
        <v>255</v>
      </c>
      <c r="C14" s="139" t="s">
        <v>475</v>
      </c>
      <c r="D14" s="139" t="s">
        <v>476</v>
      </c>
      <c r="E14" s="139" t="s">
        <v>492</v>
      </c>
      <c r="F14" s="139" t="s">
        <v>493</v>
      </c>
      <c r="G14" s="140">
        <v>21.0</v>
      </c>
      <c r="H14" s="140">
        <v>10.0</v>
      </c>
      <c r="I14" s="140">
        <v>10.0</v>
      </c>
      <c r="J14" s="141">
        <f>VLOOKUP(A14,Gestionale_!A:A,1,0)</f>
        <v>4686</v>
      </c>
    </row>
    <row r="15" hidden="1">
      <c r="A15" s="140">
        <v>6271.0</v>
      </c>
      <c r="B15" s="139" t="s">
        <v>252</v>
      </c>
      <c r="C15" s="139" t="s">
        <v>475</v>
      </c>
      <c r="D15" s="139" t="s">
        <v>484</v>
      </c>
      <c r="E15" s="139" t="s">
        <v>492</v>
      </c>
      <c r="F15" s="139" t="s">
        <v>493</v>
      </c>
      <c r="G15" s="140">
        <v>21.0</v>
      </c>
      <c r="H15" s="140">
        <v>5.0</v>
      </c>
      <c r="I15" s="140">
        <v>5.0</v>
      </c>
      <c r="J15" s="141">
        <f>VLOOKUP(A15,Gestionale_!A:A,1,0)</f>
        <v>6271</v>
      </c>
    </row>
    <row r="16" hidden="1">
      <c r="A16" s="140">
        <v>6717.0</v>
      </c>
      <c r="B16" s="139" t="s">
        <v>494</v>
      </c>
      <c r="C16" s="139" t="s">
        <v>475</v>
      </c>
      <c r="D16" s="139" t="s">
        <v>495</v>
      </c>
      <c r="E16" s="139" t="s">
        <v>492</v>
      </c>
      <c r="F16" s="139" t="s">
        <v>493</v>
      </c>
      <c r="G16" s="140">
        <v>1.0</v>
      </c>
      <c r="H16" s="140">
        <v>16.0</v>
      </c>
      <c r="I16" s="140">
        <v>16.0</v>
      </c>
      <c r="J16" s="141">
        <f>VLOOKUP(A16,Gestionale_!A:A,1,0)</f>
        <v>6717</v>
      </c>
    </row>
    <row r="17" hidden="1">
      <c r="A17" s="140">
        <v>4870.0</v>
      </c>
      <c r="B17" s="139" t="s">
        <v>239</v>
      </c>
      <c r="C17" s="139" t="s">
        <v>475</v>
      </c>
      <c r="D17" s="139" t="s">
        <v>496</v>
      </c>
      <c r="E17" s="139" t="s">
        <v>492</v>
      </c>
      <c r="F17" s="139" t="s">
        <v>493</v>
      </c>
      <c r="G17" s="140">
        <v>3.0</v>
      </c>
      <c r="H17" s="140">
        <v>6.0</v>
      </c>
      <c r="I17" s="140">
        <v>6.0</v>
      </c>
      <c r="J17" s="141">
        <f>VLOOKUP(A17,Gestionale_!A:A,1,0)</f>
        <v>4870</v>
      </c>
    </row>
    <row r="18" hidden="1">
      <c r="A18" s="140">
        <v>1870.0</v>
      </c>
      <c r="B18" s="139" t="s">
        <v>240</v>
      </c>
      <c r="C18" s="139" t="s">
        <v>475</v>
      </c>
      <c r="D18" s="139" t="s">
        <v>479</v>
      </c>
      <c r="E18" s="139" t="s">
        <v>492</v>
      </c>
      <c r="F18" s="139" t="s">
        <v>492</v>
      </c>
      <c r="G18" s="140">
        <v>154.0</v>
      </c>
      <c r="H18" s="140">
        <v>17.0</v>
      </c>
      <c r="I18" s="140">
        <v>17.0</v>
      </c>
      <c r="J18" s="141">
        <f>VLOOKUP(A18,Gestionale_!A:A,1,0)</f>
        <v>1870</v>
      </c>
    </row>
    <row r="19">
      <c r="A19" s="140">
        <v>2848.0</v>
      </c>
      <c r="B19" s="139" t="s">
        <v>497</v>
      </c>
      <c r="C19" s="139" t="s">
        <v>475</v>
      </c>
      <c r="D19" s="139" t="s">
        <v>479</v>
      </c>
      <c r="E19" s="139" t="s">
        <v>492</v>
      </c>
      <c r="F19" s="139" t="s">
        <v>498</v>
      </c>
      <c r="G19" s="140">
        <v>0.0</v>
      </c>
      <c r="H19" s="140">
        <v>4.0</v>
      </c>
      <c r="I19" s="140">
        <v>4.0</v>
      </c>
      <c r="J19" s="141">
        <f>VLOOKUP(A19,Gestionale_!A:A,1,0)</f>
        <v>2848</v>
      </c>
    </row>
    <row r="20" hidden="1">
      <c r="A20" s="139" t="s">
        <v>499</v>
      </c>
      <c r="B20" s="139" t="s">
        <v>271</v>
      </c>
      <c r="C20" s="139" t="s">
        <v>475</v>
      </c>
      <c r="D20" s="142"/>
      <c r="E20" s="139" t="s">
        <v>492</v>
      </c>
      <c r="F20" s="139" t="s">
        <v>498</v>
      </c>
      <c r="G20" s="140">
        <v>45.0</v>
      </c>
      <c r="H20" s="140">
        <v>1.0</v>
      </c>
      <c r="I20" s="140">
        <v>1.0</v>
      </c>
      <c r="J20" s="141" t="str">
        <f>VLOOKUP(A20,Gestionale_!A:A,1,0)</f>
        <v>#N/A</v>
      </c>
    </row>
    <row r="21">
      <c r="A21" s="140">
        <v>4479.0</v>
      </c>
      <c r="B21" s="139" t="s">
        <v>500</v>
      </c>
      <c r="C21" s="139" t="s">
        <v>475</v>
      </c>
      <c r="D21" s="139" t="s">
        <v>501</v>
      </c>
      <c r="E21" s="139" t="s">
        <v>492</v>
      </c>
      <c r="F21" s="139" t="s">
        <v>502</v>
      </c>
      <c r="G21" s="140">
        <v>0.0</v>
      </c>
      <c r="H21" s="140">
        <v>6.0</v>
      </c>
      <c r="I21" s="140">
        <v>6.0</v>
      </c>
      <c r="J21" s="141">
        <f>VLOOKUP(A21,Gestionale_!A:A,1,0)</f>
        <v>4479</v>
      </c>
    </row>
    <row r="22">
      <c r="A22" s="140">
        <v>6884.0</v>
      </c>
      <c r="B22" s="139" t="s">
        <v>503</v>
      </c>
      <c r="C22" s="139" t="s">
        <v>475</v>
      </c>
      <c r="D22" s="139" t="s">
        <v>483</v>
      </c>
      <c r="E22" s="139" t="s">
        <v>492</v>
      </c>
      <c r="F22" s="139" t="s">
        <v>504</v>
      </c>
      <c r="G22" s="140">
        <v>0.0</v>
      </c>
      <c r="H22" s="140">
        <v>15.0</v>
      </c>
      <c r="I22" s="140">
        <v>14.0</v>
      </c>
      <c r="J22" s="141">
        <f>VLOOKUP(A22,Gestionale_!A:A,1,0)</f>
        <v>6884</v>
      </c>
    </row>
    <row r="23" hidden="1">
      <c r="A23" s="140">
        <v>632.0</v>
      </c>
      <c r="B23" s="139" t="s">
        <v>274</v>
      </c>
      <c r="C23" s="139" t="s">
        <v>475</v>
      </c>
      <c r="D23" s="139" t="s">
        <v>505</v>
      </c>
      <c r="E23" s="139" t="s">
        <v>492</v>
      </c>
      <c r="F23" s="139" t="s">
        <v>504</v>
      </c>
      <c r="G23" s="140">
        <v>260.0</v>
      </c>
      <c r="H23" s="140">
        <v>14.0</v>
      </c>
      <c r="I23" s="140">
        <v>14.0</v>
      </c>
      <c r="J23" s="141">
        <f>VLOOKUP(A23,Gestionale_!A:A,1,0)</f>
        <v>632</v>
      </c>
    </row>
    <row r="24" hidden="1">
      <c r="A24" s="140">
        <v>7001.0</v>
      </c>
      <c r="B24" s="139" t="s">
        <v>265</v>
      </c>
      <c r="C24" s="139" t="s">
        <v>475</v>
      </c>
      <c r="D24" s="139" t="s">
        <v>506</v>
      </c>
      <c r="E24" s="139" t="s">
        <v>507</v>
      </c>
      <c r="F24" s="139" t="s">
        <v>504</v>
      </c>
      <c r="G24" s="140">
        <v>1.0</v>
      </c>
      <c r="H24" s="140">
        <v>10.0</v>
      </c>
      <c r="I24" s="140">
        <v>10.0</v>
      </c>
      <c r="J24" s="141">
        <f>VLOOKUP(A24,Gestionale_!A:A,1,0)</f>
        <v>7001</v>
      </c>
    </row>
    <row r="25" hidden="1">
      <c r="A25" s="140">
        <v>6875.0</v>
      </c>
      <c r="B25" s="139" t="s">
        <v>267</v>
      </c>
      <c r="C25" s="139" t="s">
        <v>475</v>
      </c>
      <c r="D25" s="139" t="s">
        <v>508</v>
      </c>
      <c r="E25" s="139" t="s">
        <v>492</v>
      </c>
      <c r="F25" s="139" t="s">
        <v>509</v>
      </c>
      <c r="G25" s="140">
        <v>300.0</v>
      </c>
      <c r="H25" s="140">
        <v>30.0</v>
      </c>
      <c r="I25" s="140">
        <v>30.0</v>
      </c>
      <c r="J25" s="141">
        <f>VLOOKUP(A25,Gestionale_!A:A,1,0)</f>
        <v>6875</v>
      </c>
    </row>
    <row r="26" hidden="1">
      <c r="A26" s="140">
        <v>2766.0</v>
      </c>
      <c r="B26" s="139" t="s">
        <v>275</v>
      </c>
      <c r="C26" s="139" t="s">
        <v>475</v>
      </c>
      <c r="D26" s="139" t="s">
        <v>510</v>
      </c>
      <c r="E26" s="139" t="s">
        <v>492</v>
      </c>
      <c r="F26" s="139" t="s">
        <v>509</v>
      </c>
      <c r="G26" s="140">
        <v>11.0</v>
      </c>
      <c r="H26" s="140">
        <v>20.0</v>
      </c>
      <c r="I26" s="140">
        <v>21.0</v>
      </c>
      <c r="J26" s="141">
        <f>VLOOKUP(A26,Gestionale_!A:A,1,0)</f>
        <v>2766</v>
      </c>
    </row>
    <row r="27" hidden="1">
      <c r="A27" s="140">
        <v>785.0</v>
      </c>
      <c r="B27" s="139" t="s">
        <v>257</v>
      </c>
      <c r="C27" s="139" t="s">
        <v>475</v>
      </c>
      <c r="D27" s="139" t="s">
        <v>511</v>
      </c>
      <c r="E27" s="139" t="s">
        <v>507</v>
      </c>
      <c r="F27" s="139" t="s">
        <v>512</v>
      </c>
      <c r="G27" s="140">
        <v>20.0</v>
      </c>
      <c r="H27" s="140">
        <v>5.0</v>
      </c>
      <c r="I27" s="140">
        <v>5.0</v>
      </c>
      <c r="J27" s="141">
        <f>VLOOKUP(A27,Gestionale_!A:A,1,0)</f>
        <v>785</v>
      </c>
    </row>
    <row r="28" hidden="1">
      <c r="A28" s="140">
        <v>479.0</v>
      </c>
      <c r="B28" s="139" t="s">
        <v>268</v>
      </c>
      <c r="C28" s="139" t="s">
        <v>475</v>
      </c>
      <c r="D28" s="139" t="s">
        <v>485</v>
      </c>
      <c r="E28" s="139" t="s">
        <v>507</v>
      </c>
      <c r="F28" s="139" t="s">
        <v>512</v>
      </c>
      <c r="G28" s="140">
        <v>3.0</v>
      </c>
      <c r="H28" s="140">
        <v>6.0</v>
      </c>
      <c r="I28" s="140">
        <v>6.0</v>
      </c>
      <c r="J28" s="141">
        <f>VLOOKUP(A28,Gestionale_!A:A,1,0)</f>
        <v>479</v>
      </c>
    </row>
    <row r="29" hidden="1">
      <c r="A29" s="140">
        <v>441.0</v>
      </c>
      <c r="B29" s="139" t="s">
        <v>243</v>
      </c>
      <c r="C29" s="139" t="s">
        <v>475</v>
      </c>
      <c r="D29" s="139" t="s">
        <v>496</v>
      </c>
      <c r="E29" s="139" t="s">
        <v>507</v>
      </c>
      <c r="F29" s="139" t="s">
        <v>512</v>
      </c>
      <c r="G29" s="140">
        <v>13.0</v>
      </c>
      <c r="H29" s="140">
        <v>8.0</v>
      </c>
      <c r="I29" s="140">
        <v>8.0</v>
      </c>
      <c r="J29" s="141">
        <f>VLOOKUP(A29,Gestionale_!A:A,1,0)</f>
        <v>441</v>
      </c>
    </row>
    <row r="30">
      <c r="A30" s="140">
        <v>4871.0</v>
      </c>
      <c r="B30" s="139" t="s">
        <v>513</v>
      </c>
      <c r="C30" s="139" t="s">
        <v>475</v>
      </c>
      <c r="D30" s="139" t="s">
        <v>479</v>
      </c>
      <c r="E30" s="139" t="s">
        <v>507</v>
      </c>
      <c r="F30" s="139" t="s">
        <v>512</v>
      </c>
      <c r="G30" s="140">
        <v>0.0</v>
      </c>
      <c r="H30" s="140">
        <v>29.0</v>
      </c>
      <c r="I30" s="140">
        <v>29.0</v>
      </c>
      <c r="J30" s="141">
        <f>VLOOKUP(A30,Gestionale_!A:A,1,0)</f>
        <v>4871</v>
      </c>
    </row>
    <row r="31" hidden="1">
      <c r="A31" s="140">
        <v>531.0</v>
      </c>
      <c r="B31" s="139" t="s">
        <v>244</v>
      </c>
      <c r="C31" s="139" t="s">
        <v>475</v>
      </c>
      <c r="D31" s="139" t="s">
        <v>495</v>
      </c>
      <c r="E31" s="139" t="s">
        <v>507</v>
      </c>
      <c r="F31" s="139" t="s">
        <v>507</v>
      </c>
      <c r="G31" s="140">
        <v>160.0</v>
      </c>
      <c r="H31" s="140">
        <v>21.0</v>
      </c>
      <c r="I31" s="140">
        <v>21.0</v>
      </c>
      <c r="J31" s="141">
        <f>VLOOKUP(A31,Gestionale_!A:A,1,0)</f>
        <v>531</v>
      </c>
    </row>
    <row r="32" hidden="1">
      <c r="A32" s="140">
        <v>2861.0</v>
      </c>
      <c r="B32" s="139" t="s">
        <v>176</v>
      </c>
      <c r="C32" s="139" t="s">
        <v>514</v>
      </c>
      <c r="D32" s="139" t="s">
        <v>486</v>
      </c>
      <c r="E32" s="139" t="s">
        <v>477</v>
      </c>
      <c r="F32" s="139" t="s">
        <v>478</v>
      </c>
      <c r="G32" s="140">
        <v>1.0</v>
      </c>
      <c r="H32" s="140">
        <v>9.0</v>
      </c>
      <c r="I32" s="140">
        <v>9.0</v>
      </c>
      <c r="J32" s="141">
        <f>VLOOKUP(A32,Gestionale_!A:A,1,0)</f>
        <v>2861</v>
      </c>
    </row>
    <row r="33" hidden="1">
      <c r="A33" s="140">
        <v>7179.0</v>
      </c>
      <c r="B33" s="139" t="s">
        <v>161</v>
      </c>
      <c r="C33" s="139" t="s">
        <v>514</v>
      </c>
      <c r="D33" s="139" t="s">
        <v>488</v>
      </c>
      <c r="E33" s="139" t="s">
        <v>477</v>
      </c>
      <c r="F33" s="139" t="s">
        <v>478</v>
      </c>
      <c r="G33" s="140">
        <v>6.0</v>
      </c>
      <c r="H33" s="140">
        <v>2.0</v>
      </c>
      <c r="I33" s="140">
        <v>2.0</v>
      </c>
      <c r="J33" s="141">
        <f>VLOOKUP(A33,Gestionale_!A:A,1,0)</f>
        <v>7179</v>
      </c>
    </row>
    <row r="34" hidden="1">
      <c r="A34" s="140">
        <v>6842.0</v>
      </c>
      <c r="B34" s="139" t="s">
        <v>175</v>
      </c>
      <c r="C34" s="139" t="s">
        <v>514</v>
      </c>
      <c r="D34" s="139" t="s">
        <v>510</v>
      </c>
      <c r="E34" s="139" t="s">
        <v>477</v>
      </c>
      <c r="F34" s="139" t="s">
        <v>478</v>
      </c>
      <c r="G34" s="140">
        <v>1.0</v>
      </c>
      <c r="H34" s="140">
        <v>1.0</v>
      </c>
      <c r="I34" s="140">
        <v>1.0</v>
      </c>
      <c r="J34" s="141">
        <f>VLOOKUP(A34,Gestionale_!A:A,1,0)</f>
        <v>6842</v>
      </c>
    </row>
    <row r="35" hidden="1">
      <c r="A35" s="140">
        <v>388.0</v>
      </c>
      <c r="B35" s="139" t="s">
        <v>147</v>
      </c>
      <c r="C35" s="139" t="s">
        <v>514</v>
      </c>
      <c r="D35" s="139" t="s">
        <v>486</v>
      </c>
      <c r="E35" s="139" t="s">
        <v>480</v>
      </c>
      <c r="F35" s="139" t="s">
        <v>481</v>
      </c>
      <c r="G35" s="140">
        <v>3.0</v>
      </c>
      <c r="H35" s="140">
        <v>3.0</v>
      </c>
      <c r="I35" s="140">
        <v>3.0</v>
      </c>
      <c r="J35" s="141">
        <f>VLOOKUP(A35,Gestionale_!A:A,1,0)</f>
        <v>388</v>
      </c>
    </row>
    <row r="36" hidden="1">
      <c r="A36" s="140">
        <v>787.0</v>
      </c>
      <c r="B36" s="139" t="s">
        <v>157</v>
      </c>
      <c r="C36" s="139" t="s">
        <v>514</v>
      </c>
      <c r="D36" s="139" t="s">
        <v>515</v>
      </c>
      <c r="E36" s="139" t="s">
        <v>480</v>
      </c>
      <c r="F36" s="139" t="s">
        <v>481</v>
      </c>
      <c r="G36" s="140">
        <v>16.0</v>
      </c>
      <c r="H36" s="140">
        <v>5.0</v>
      </c>
      <c r="I36" s="140">
        <v>5.0</v>
      </c>
      <c r="J36" s="141">
        <f>VLOOKUP(A36,Gestionale_!A:A,1,0)</f>
        <v>787</v>
      </c>
    </row>
    <row r="37" hidden="1">
      <c r="A37" s="140">
        <v>5307.0</v>
      </c>
      <c r="B37" s="139" t="s">
        <v>178</v>
      </c>
      <c r="C37" s="139" t="s">
        <v>514</v>
      </c>
      <c r="D37" s="139" t="s">
        <v>516</v>
      </c>
      <c r="E37" s="139" t="s">
        <v>480</v>
      </c>
      <c r="F37" s="139" t="s">
        <v>481</v>
      </c>
      <c r="G37" s="140">
        <v>4.0</v>
      </c>
      <c r="H37" s="140">
        <v>7.0</v>
      </c>
      <c r="I37" s="140">
        <v>7.0</v>
      </c>
      <c r="J37" s="141">
        <f>VLOOKUP(A37,Gestionale_!A:A,1,0)</f>
        <v>5307</v>
      </c>
    </row>
    <row r="38">
      <c r="A38" s="140">
        <v>6642.0</v>
      </c>
      <c r="B38" s="139" t="s">
        <v>517</v>
      </c>
      <c r="C38" s="139" t="s">
        <v>514</v>
      </c>
      <c r="D38" s="139" t="s">
        <v>488</v>
      </c>
      <c r="E38" s="139" t="s">
        <v>480</v>
      </c>
      <c r="F38" s="139" t="s">
        <v>481</v>
      </c>
      <c r="G38" s="140">
        <v>0.0</v>
      </c>
      <c r="H38" s="140">
        <v>12.0</v>
      </c>
      <c r="I38" s="140">
        <v>12.0</v>
      </c>
      <c r="J38" s="141">
        <f>VLOOKUP(A38,Gestionale_!A:A,1,0)</f>
        <v>6642</v>
      </c>
    </row>
    <row r="39" hidden="1">
      <c r="A39" s="140">
        <v>7155.0</v>
      </c>
      <c r="B39" s="139" t="s">
        <v>167</v>
      </c>
      <c r="C39" s="139" t="s">
        <v>514</v>
      </c>
      <c r="D39" s="139" t="s">
        <v>495</v>
      </c>
      <c r="E39" s="139" t="s">
        <v>480</v>
      </c>
      <c r="F39" s="139" t="s">
        <v>481</v>
      </c>
      <c r="G39" s="140">
        <v>6.0</v>
      </c>
      <c r="H39" s="140">
        <v>7.0</v>
      </c>
      <c r="I39" s="140">
        <v>7.0</v>
      </c>
      <c r="J39" s="141">
        <f>VLOOKUP(A39,Gestionale_!A:A,1,0)</f>
        <v>7155</v>
      </c>
    </row>
    <row r="40" hidden="1">
      <c r="A40" s="140">
        <v>6665.0</v>
      </c>
      <c r="B40" s="139" t="s">
        <v>153</v>
      </c>
      <c r="C40" s="139" t="s">
        <v>514</v>
      </c>
      <c r="D40" s="139" t="s">
        <v>495</v>
      </c>
      <c r="E40" s="139" t="s">
        <v>480</v>
      </c>
      <c r="F40" s="139" t="s">
        <v>518</v>
      </c>
      <c r="G40" s="140">
        <v>16.0</v>
      </c>
      <c r="H40" s="140">
        <v>1.0</v>
      </c>
      <c r="I40" s="140">
        <v>1.0</v>
      </c>
      <c r="J40" s="141">
        <f>VLOOKUP(A40,Gestionale_!A:A,1,0)</f>
        <v>6665</v>
      </c>
    </row>
    <row r="41">
      <c r="A41" s="140">
        <v>5620.0</v>
      </c>
      <c r="B41" s="139" t="s">
        <v>519</v>
      </c>
      <c r="C41" s="139" t="s">
        <v>514</v>
      </c>
      <c r="D41" s="139" t="s">
        <v>505</v>
      </c>
      <c r="E41" s="139" t="s">
        <v>480</v>
      </c>
      <c r="F41" s="139" t="s">
        <v>490</v>
      </c>
      <c r="G41" s="140">
        <v>0.0</v>
      </c>
      <c r="H41" s="140">
        <v>6.0</v>
      </c>
      <c r="I41" s="140">
        <v>6.0</v>
      </c>
      <c r="J41" s="141">
        <f>VLOOKUP(A41,Gestionale_!A:A,1,0)</f>
        <v>5620</v>
      </c>
    </row>
    <row r="42" hidden="1">
      <c r="A42" s="140">
        <v>4502.0</v>
      </c>
      <c r="B42" s="139" t="s">
        <v>159</v>
      </c>
      <c r="C42" s="139" t="s">
        <v>514</v>
      </c>
      <c r="D42" s="139" t="s">
        <v>506</v>
      </c>
      <c r="E42" s="139" t="s">
        <v>480</v>
      </c>
      <c r="F42" s="139" t="s">
        <v>490</v>
      </c>
      <c r="G42" s="140">
        <v>14.0</v>
      </c>
      <c r="H42" s="140">
        <v>8.0</v>
      </c>
      <c r="I42" s="140">
        <v>8.0</v>
      </c>
      <c r="J42" s="141">
        <f>VLOOKUP(A42,Gestionale_!A:A,1,0)</f>
        <v>4502</v>
      </c>
    </row>
    <row r="43" hidden="1">
      <c r="A43" s="140">
        <v>4994.0</v>
      </c>
      <c r="B43" s="139" t="s">
        <v>181</v>
      </c>
      <c r="C43" s="139" t="s">
        <v>514</v>
      </c>
      <c r="D43" s="139" t="s">
        <v>508</v>
      </c>
      <c r="E43" s="139" t="s">
        <v>480</v>
      </c>
      <c r="F43" s="139" t="s">
        <v>520</v>
      </c>
      <c r="G43" s="140">
        <v>51.0</v>
      </c>
      <c r="H43" s="140">
        <v>12.0</v>
      </c>
      <c r="I43" s="140">
        <v>12.0</v>
      </c>
      <c r="J43" s="141">
        <f>VLOOKUP(A43,Gestionale_!A:A,1,0)</f>
        <v>4994</v>
      </c>
    </row>
    <row r="44" hidden="1">
      <c r="A44" s="140">
        <v>6814.0</v>
      </c>
      <c r="B44" s="139" t="s">
        <v>168</v>
      </c>
      <c r="C44" s="139" t="s">
        <v>514</v>
      </c>
      <c r="D44" s="139" t="s">
        <v>491</v>
      </c>
      <c r="E44" s="139" t="s">
        <v>480</v>
      </c>
      <c r="F44" s="139" t="s">
        <v>520</v>
      </c>
      <c r="G44" s="140">
        <v>15.0</v>
      </c>
      <c r="H44" s="140">
        <v>7.0</v>
      </c>
      <c r="I44" s="140">
        <v>7.0</v>
      </c>
      <c r="J44" s="141">
        <f>VLOOKUP(A44,Gestionale_!A:A,1,0)</f>
        <v>6814</v>
      </c>
    </row>
    <row r="45" hidden="1">
      <c r="A45" s="140">
        <v>4433.0</v>
      </c>
      <c r="B45" s="139" t="s">
        <v>354</v>
      </c>
      <c r="C45" s="139" t="s">
        <v>514</v>
      </c>
      <c r="D45" s="139" t="s">
        <v>511</v>
      </c>
      <c r="E45" s="139" t="s">
        <v>480</v>
      </c>
      <c r="F45" s="139" t="s">
        <v>521</v>
      </c>
      <c r="G45" s="140">
        <v>50.0</v>
      </c>
      <c r="H45" s="140">
        <v>8.0</v>
      </c>
      <c r="I45" s="140">
        <v>7.0</v>
      </c>
      <c r="J45" s="141">
        <f>VLOOKUP(A45,Gestionale_!A:A,1,0)</f>
        <v>4433</v>
      </c>
    </row>
    <row r="46" hidden="1">
      <c r="A46" s="140">
        <v>6424.0</v>
      </c>
      <c r="B46" s="139" t="s">
        <v>170</v>
      </c>
      <c r="C46" s="139" t="s">
        <v>514</v>
      </c>
      <c r="D46" s="139" t="s">
        <v>496</v>
      </c>
      <c r="E46" s="139" t="s">
        <v>492</v>
      </c>
      <c r="F46" s="139" t="s">
        <v>493</v>
      </c>
      <c r="G46" s="140">
        <v>17.0</v>
      </c>
      <c r="H46" s="140">
        <v>6.0</v>
      </c>
      <c r="I46" s="140">
        <v>6.0</v>
      </c>
      <c r="J46" s="141">
        <f>VLOOKUP(A46,Gestionale_!A:A,1,0)</f>
        <v>6424</v>
      </c>
    </row>
    <row r="47" hidden="1">
      <c r="A47" s="140">
        <v>4220.0</v>
      </c>
      <c r="B47" s="139" t="s">
        <v>182</v>
      </c>
      <c r="C47" s="139" t="s">
        <v>514</v>
      </c>
      <c r="D47" s="139" t="s">
        <v>501</v>
      </c>
      <c r="E47" s="139" t="s">
        <v>492</v>
      </c>
      <c r="F47" s="139" t="s">
        <v>493</v>
      </c>
      <c r="G47" s="140">
        <v>56.0</v>
      </c>
      <c r="H47" s="140">
        <v>19.0</v>
      </c>
      <c r="I47" s="140">
        <v>19.0</v>
      </c>
      <c r="J47" s="141">
        <f>VLOOKUP(A47,Gestionale_!A:A,1,0)</f>
        <v>4220</v>
      </c>
    </row>
    <row r="48">
      <c r="A48" s="140">
        <v>6170.0</v>
      </c>
      <c r="B48" s="139" t="s">
        <v>522</v>
      </c>
      <c r="C48" s="139" t="s">
        <v>514</v>
      </c>
      <c r="D48" s="139" t="s">
        <v>488</v>
      </c>
      <c r="E48" s="139" t="s">
        <v>492</v>
      </c>
      <c r="F48" s="139" t="s">
        <v>492</v>
      </c>
      <c r="G48" s="140">
        <v>0.0</v>
      </c>
      <c r="H48" s="140">
        <v>4.0</v>
      </c>
      <c r="I48" s="140">
        <v>4.0</v>
      </c>
      <c r="J48" s="141">
        <f>VLOOKUP(A48,Gestionale_!A:A,1,0)</f>
        <v>6170</v>
      </c>
    </row>
    <row r="49" hidden="1">
      <c r="A49" s="140">
        <v>2606.0</v>
      </c>
      <c r="B49" s="139" t="s">
        <v>166</v>
      </c>
      <c r="C49" s="139" t="s">
        <v>514</v>
      </c>
      <c r="D49" s="139" t="s">
        <v>476</v>
      </c>
      <c r="E49" s="139" t="s">
        <v>492</v>
      </c>
      <c r="F49" s="139" t="s">
        <v>492</v>
      </c>
      <c r="G49" s="140">
        <v>74.0</v>
      </c>
      <c r="H49" s="140">
        <v>19.0</v>
      </c>
      <c r="I49" s="140">
        <v>19.0</v>
      </c>
      <c r="J49" s="141">
        <f>VLOOKUP(A49,Gestionale_!A:A,1,0)</f>
        <v>2606</v>
      </c>
    </row>
    <row r="50" hidden="1">
      <c r="A50" s="140">
        <v>5559.0</v>
      </c>
      <c r="B50" s="139" t="s">
        <v>155</v>
      </c>
      <c r="C50" s="139" t="s">
        <v>514</v>
      </c>
      <c r="D50" s="139" t="s">
        <v>508</v>
      </c>
      <c r="E50" s="139" t="s">
        <v>492</v>
      </c>
      <c r="F50" s="139" t="s">
        <v>523</v>
      </c>
      <c r="G50" s="140">
        <v>70.0</v>
      </c>
      <c r="H50" s="140">
        <v>11.0</v>
      </c>
      <c r="I50" s="140">
        <v>11.0</v>
      </c>
      <c r="J50" s="141">
        <f>VLOOKUP(A50,Gestionale_!A:A,1,0)</f>
        <v>5559</v>
      </c>
    </row>
    <row r="51">
      <c r="A51" s="140">
        <v>5888.0</v>
      </c>
      <c r="B51" s="139" t="s">
        <v>524</v>
      </c>
      <c r="C51" s="139" t="s">
        <v>514</v>
      </c>
      <c r="D51" s="139" t="s">
        <v>488</v>
      </c>
      <c r="E51" s="139" t="s">
        <v>492</v>
      </c>
      <c r="F51" s="139" t="s">
        <v>498</v>
      </c>
      <c r="G51" s="140">
        <v>0.0</v>
      </c>
      <c r="H51" s="140">
        <v>7.0</v>
      </c>
      <c r="I51" s="140">
        <v>7.0</v>
      </c>
      <c r="J51" s="141">
        <f>VLOOKUP(A51,Gestionale_!A:A,1,0)</f>
        <v>5888</v>
      </c>
    </row>
    <row r="52" hidden="1">
      <c r="A52" s="140">
        <v>7133.0</v>
      </c>
      <c r="B52" s="139" t="s">
        <v>179</v>
      </c>
      <c r="C52" s="139" t="s">
        <v>514</v>
      </c>
      <c r="D52" s="139" t="s">
        <v>485</v>
      </c>
      <c r="E52" s="139" t="s">
        <v>492</v>
      </c>
      <c r="F52" s="139" t="s">
        <v>502</v>
      </c>
      <c r="G52" s="140">
        <v>22.0</v>
      </c>
      <c r="H52" s="140">
        <v>13.0</v>
      </c>
      <c r="I52" s="140">
        <v>13.0</v>
      </c>
      <c r="J52" s="141">
        <f>VLOOKUP(A52,Gestionale_!A:A,1,0)</f>
        <v>7133</v>
      </c>
    </row>
    <row r="53" hidden="1">
      <c r="A53" s="140">
        <v>7128.0</v>
      </c>
      <c r="B53" s="139" t="s">
        <v>163</v>
      </c>
      <c r="C53" s="139" t="s">
        <v>514</v>
      </c>
      <c r="D53" s="139" t="s">
        <v>508</v>
      </c>
      <c r="E53" s="139" t="s">
        <v>507</v>
      </c>
      <c r="F53" s="139" t="s">
        <v>504</v>
      </c>
      <c r="G53" s="140">
        <v>37.0</v>
      </c>
      <c r="H53" s="140">
        <v>4.0</v>
      </c>
      <c r="I53" s="140">
        <v>5.0</v>
      </c>
      <c r="J53" s="141">
        <f>VLOOKUP(A53,Gestionale_!A:A,1,0)</f>
        <v>7128</v>
      </c>
    </row>
    <row r="54">
      <c r="A54" s="140">
        <v>6967.0</v>
      </c>
      <c r="B54" s="139" t="s">
        <v>525</v>
      </c>
      <c r="C54" s="139" t="s">
        <v>514</v>
      </c>
      <c r="D54" s="139" t="s">
        <v>508</v>
      </c>
      <c r="E54" s="139" t="s">
        <v>507</v>
      </c>
      <c r="F54" s="139" t="s">
        <v>504</v>
      </c>
      <c r="G54" s="140">
        <v>0.0</v>
      </c>
      <c r="H54" s="140">
        <v>4.0</v>
      </c>
      <c r="I54" s="140">
        <v>4.0</v>
      </c>
      <c r="J54" s="141">
        <f>VLOOKUP(A54,Gestionale_!A:A,1,0)</f>
        <v>6967</v>
      </c>
    </row>
    <row r="55" hidden="1">
      <c r="A55" s="140">
        <v>7129.0</v>
      </c>
      <c r="B55" s="139" t="s">
        <v>173</v>
      </c>
      <c r="C55" s="139" t="s">
        <v>514</v>
      </c>
      <c r="D55" s="139" t="s">
        <v>508</v>
      </c>
      <c r="E55" s="139" t="s">
        <v>507</v>
      </c>
      <c r="F55" s="139" t="s">
        <v>504</v>
      </c>
      <c r="G55" s="140">
        <v>52.0</v>
      </c>
      <c r="H55" s="140">
        <v>12.0</v>
      </c>
      <c r="I55" s="140">
        <v>12.0</v>
      </c>
      <c r="J55" s="141">
        <f>VLOOKUP(A55,Gestionale_!A:A,1,0)</f>
        <v>7129</v>
      </c>
    </row>
    <row r="56" hidden="1">
      <c r="A56" s="140">
        <v>6215.0</v>
      </c>
      <c r="B56" s="139" t="s">
        <v>164</v>
      </c>
      <c r="C56" s="139" t="s">
        <v>514</v>
      </c>
      <c r="D56" s="139" t="s">
        <v>501</v>
      </c>
      <c r="E56" s="139" t="s">
        <v>507</v>
      </c>
      <c r="F56" s="139" t="s">
        <v>512</v>
      </c>
      <c r="G56" s="140">
        <v>43.0</v>
      </c>
      <c r="H56" s="140">
        <v>5.0</v>
      </c>
      <c r="I56" s="140">
        <v>5.0</v>
      </c>
      <c r="J56" s="141">
        <f>VLOOKUP(A56,Gestionale_!A:A,1,0)</f>
        <v>6215</v>
      </c>
    </row>
    <row r="57" hidden="1">
      <c r="A57" s="140">
        <v>2531.0</v>
      </c>
      <c r="B57" s="139" t="s">
        <v>165</v>
      </c>
      <c r="C57" s="139" t="s">
        <v>514</v>
      </c>
      <c r="D57" s="139" t="s">
        <v>501</v>
      </c>
      <c r="E57" s="139" t="s">
        <v>507</v>
      </c>
      <c r="F57" s="139" t="s">
        <v>512</v>
      </c>
      <c r="G57" s="140">
        <v>53.0</v>
      </c>
      <c r="H57" s="140">
        <v>15.0</v>
      </c>
      <c r="I57" s="140">
        <v>15.0</v>
      </c>
      <c r="J57" s="141">
        <f>VLOOKUP(A57,Gestionale_!A:A,1,0)</f>
        <v>2531</v>
      </c>
    </row>
    <row r="58" hidden="1">
      <c r="A58" s="140">
        <v>5471.0</v>
      </c>
      <c r="B58" s="139" t="s">
        <v>158</v>
      </c>
      <c r="C58" s="139" t="s">
        <v>514</v>
      </c>
      <c r="D58" s="139" t="s">
        <v>516</v>
      </c>
      <c r="E58" s="139" t="s">
        <v>507</v>
      </c>
      <c r="F58" s="139" t="s">
        <v>512</v>
      </c>
      <c r="G58" s="140">
        <v>1.0</v>
      </c>
      <c r="H58" s="140">
        <v>2.0</v>
      </c>
      <c r="I58" s="140">
        <v>1.0</v>
      </c>
      <c r="J58" s="141">
        <f>VLOOKUP(A58,Gestionale_!A:A,1,0)</f>
        <v>5471</v>
      </c>
    </row>
    <row r="59" hidden="1">
      <c r="A59" s="140">
        <v>7023.0</v>
      </c>
      <c r="B59" s="139" t="s">
        <v>169</v>
      </c>
      <c r="C59" s="139" t="s">
        <v>514</v>
      </c>
      <c r="D59" s="139" t="s">
        <v>516</v>
      </c>
      <c r="E59" s="139" t="s">
        <v>507</v>
      </c>
      <c r="F59" s="139" t="s">
        <v>512</v>
      </c>
      <c r="G59" s="140">
        <v>122.0</v>
      </c>
      <c r="H59" s="140">
        <v>21.0</v>
      </c>
      <c r="I59" s="140">
        <v>21.0</v>
      </c>
      <c r="J59" s="141">
        <f>VLOOKUP(A59,Gestionale_!A:A,1,0)</f>
        <v>7023</v>
      </c>
    </row>
    <row r="60" hidden="1">
      <c r="A60" s="140">
        <v>2499.0</v>
      </c>
      <c r="B60" s="139" t="s">
        <v>180</v>
      </c>
      <c r="C60" s="139" t="s">
        <v>514</v>
      </c>
      <c r="D60" s="139" t="s">
        <v>485</v>
      </c>
      <c r="E60" s="139" t="s">
        <v>507</v>
      </c>
      <c r="F60" s="139" t="s">
        <v>512</v>
      </c>
      <c r="G60" s="140">
        <v>32.0</v>
      </c>
      <c r="H60" s="140">
        <v>20.0</v>
      </c>
      <c r="I60" s="140">
        <v>20.0</v>
      </c>
      <c r="J60" s="141">
        <f>VLOOKUP(A60,Gestionale_!A:A,1,0)</f>
        <v>2499</v>
      </c>
    </row>
    <row r="61" hidden="1">
      <c r="A61" s="140">
        <v>4436.0</v>
      </c>
      <c r="B61" s="139" t="s">
        <v>149</v>
      </c>
      <c r="C61" s="139" t="s">
        <v>514</v>
      </c>
      <c r="D61" s="139" t="s">
        <v>511</v>
      </c>
      <c r="E61" s="139" t="s">
        <v>507</v>
      </c>
      <c r="F61" s="139" t="s">
        <v>507</v>
      </c>
      <c r="G61" s="140">
        <v>23.0</v>
      </c>
      <c r="H61" s="140">
        <v>17.0</v>
      </c>
      <c r="I61" s="140">
        <v>17.0</v>
      </c>
      <c r="J61" s="141">
        <f>VLOOKUP(A61,Gestionale_!A:A,1,0)</f>
        <v>4436</v>
      </c>
    </row>
    <row r="62">
      <c r="A62" s="140">
        <v>2814.0</v>
      </c>
      <c r="B62" s="139" t="s">
        <v>526</v>
      </c>
      <c r="C62" s="139" t="s">
        <v>527</v>
      </c>
      <c r="D62" s="139" t="s">
        <v>505</v>
      </c>
      <c r="E62" s="139" t="s">
        <v>477</v>
      </c>
      <c r="F62" s="139" t="s">
        <v>478</v>
      </c>
      <c r="G62" s="140">
        <v>0.0</v>
      </c>
      <c r="H62" s="140">
        <v>17.0</v>
      </c>
      <c r="I62" s="140">
        <v>17.0</v>
      </c>
      <c r="J62" s="141">
        <f>VLOOKUP(A62,Gestionale_!A:A,1,0)</f>
        <v>2814</v>
      </c>
    </row>
    <row r="63" hidden="1">
      <c r="A63" s="140">
        <v>6482.0</v>
      </c>
      <c r="B63" s="139" t="s">
        <v>343</v>
      </c>
      <c r="C63" s="139" t="s">
        <v>527</v>
      </c>
      <c r="D63" s="139" t="s">
        <v>505</v>
      </c>
      <c r="E63" s="139" t="s">
        <v>477</v>
      </c>
      <c r="F63" s="139" t="s">
        <v>478</v>
      </c>
      <c r="G63" s="140">
        <v>10.0</v>
      </c>
      <c r="H63" s="140">
        <v>1.0</v>
      </c>
      <c r="I63" s="140">
        <v>1.0</v>
      </c>
      <c r="J63" s="141">
        <f>VLOOKUP(A63,Gestionale_!A:A,1,0)</f>
        <v>6482</v>
      </c>
    </row>
    <row r="64" hidden="1">
      <c r="A64" s="140">
        <v>6966.0</v>
      </c>
      <c r="B64" s="139" t="s">
        <v>329</v>
      </c>
      <c r="C64" s="139" t="s">
        <v>527</v>
      </c>
      <c r="D64" s="139" t="s">
        <v>508</v>
      </c>
      <c r="E64" s="139" t="s">
        <v>477</v>
      </c>
      <c r="F64" s="139" t="s">
        <v>478</v>
      </c>
      <c r="G64" s="140">
        <v>1.0</v>
      </c>
      <c r="H64" s="140">
        <v>17.0</v>
      </c>
      <c r="I64" s="140">
        <v>17.0</v>
      </c>
      <c r="J64" s="141">
        <f>VLOOKUP(A64,Gestionale_!A:A,1,0)</f>
        <v>6966</v>
      </c>
    </row>
    <row r="65" hidden="1">
      <c r="A65" s="140">
        <v>6202.0</v>
      </c>
      <c r="B65" s="139" t="s">
        <v>328</v>
      </c>
      <c r="C65" s="139" t="s">
        <v>527</v>
      </c>
      <c r="D65" s="139" t="s">
        <v>501</v>
      </c>
      <c r="E65" s="139" t="s">
        <v>480</v>
      </c>
      <c r="F65" s="139" t="s">
        <v>481</v>
      </c>
      <c r="G65" s="140">
        <v>20.0</v>
      </c>
      <c r="H65" s="140">
        <v>7.0</v>
      </c>
      <c r="I65" s="140">
        <v>7.0</v>
      </c>
      <c r="J65" s="141">
        <f>VLOOKUP(A65,Gestionale_!A:A,1,0)</f>
        <v>6202</v>
      </c>
    </row>
    <row r="66" hidden="1">
      <c r="A66" s="140">
        <v>4409.0</v>
      </c>
      <c r="B66" s="139" t="s">
        <v>349</v>
      </c>
      <c r="C66" s="139" t="s">
        <v>527</v>
      </c>
      <c r="D66" s="139" t="s">
        <v>501</v>
      </c>
      <c r="E66" s="139" t="s">
        <v>480</v>
      </c>
      <c r="F66" s="139" t="s">
        <v>481</v>
      </c>
      <c r="G66" s="140">
        <v>13.0</v>
      </c>
      <c r="H66" s="140">
        <v>13.0</v>
      </c>
      <c r="I66" s="140">
        <v>13.0</v>
      </c>
      <c r="J66" s="141">
        <f>VLOOKUP(A66,Gestionale_!A:A,1,0)</f>
        <v>4409</v>
      </c>
    </row>
    <row r="67" hidden="1">
      <c r="A67" s="140">
        <v>7068.0</v>
      </c>
      <c r="B67" s="139" t="s">
        <v>353</v>
      </c>
      <c r="C67" s="139" t="s">
        <v>527</v>
      </c>
      <c r="D67" s="139" t="s">
        <v>511</v>
      </c>
      <c r="E67" s="139" t="s">
        <v>480</v>
      </c>
      <c r="F67" s="139" t="s">
        <v>481</v>
      </c>
      <c r="G67" s="140">
        <v>39.0</v>
      </c>
      <c r="H67" s="140">
        <v>4.0</v>
      </c>
      <c r="I67" s="140">
        <v>4.0</v>
      </c>
      <c r="J67" s="141">
        <f>VLOOKUP(A67,Gestionale_!A:A,1,0)</f>
        <v>7068</v>
      </c>
    </row>
    <row r="68" hidden="1">
      <c r="A68" s="140">
        <v>6869.0</v>
      </c>
      <c r="B68" s="139" t="s">
        <v>171</v>
      </c>
      <c r="C68" s="139" t="s">
        <v>527</v>
      </c>
      <c r="D68" s="139" t="s">
        <v>508</v>
      </c>
      <c r="E68" s="139" t="s">
        <v>480</v>
      </c>
      <c r="F68" s="139" t="s">
        <v>481</v>
      </c>
      <c r="G68" s="140">
        <v>8.0</v>
      </c>
      <c r="H68" s="140">
        <v>12.0</v>
      </c>
      <c r="I68" s="140">
        <v>12.0</v>
      </c>
      <c r="J68" s="141">
        <f>VLOOKUP(A68,Gestionale_!A:A,1,0)</f>
        <v>6869</v>
      </c>
    </row>
    <row r="69" hidden="1">
      <c r="A69" s="140">
        <v>6663.0</v>
      </c>
      <c r="B69" s="139" t="s">
        <v>331</v>
      </c>
      <c r="C69" s="139" t="s">
        <v>527</v>
      </c>
      <c r="D69" s="139" t="s">
        <v>516</v>
      </c>
      <c r="E69" s="139" t="s">
        <v>480</v>
      </c>
      <c r="F69" s="139" t="s">
        <v>481</v>
      </c>
      <c r="G69" s="140">
        <v>4.0</v>
      </c>
      <c r="H69" s="140">
        <v>10.0</v>
      </c>
      <c r="I69" s="140">
        <v>10.0</v>
      </c>
      <c r="J69" s="141">
        <f>VLOOKUP(A69,Gestionale_!A:A,1,0)</f>
        <v>6663</v>
      </c>
    </row>
    <row r="70" hidden="1">
      <c r="A70" s="140">
        <v>7212.0</v>
      </c>
      <c r="B70" s="139" t="s">
        <v>338</v>
      </c>
      <c r="C70" s="139" t="s">
        <v>527</v>
      </c>
      <c r="D70" s="139" t="s">
        <v>511</v>
      </c>
      <c r="E70" s="139" t="s">
        <v>480</v>
      </c>
      <c r="F70" s="139" t="s">
        <v>487</v>
      </c>
      <c r="G70" s="140">
        <v>16.0</v>
      </c>
      <c r="H70" s="140">
        <v>9.0</v>
      </c>
      <c r="I70" s="140">
        <v>9.0</v>
      </c>
      <c r="J70" s="141">
        <f>VLOOKUP(A70,Gestionale_!A:A,1,0)</f>
        <v>7212</v>
      </c>
    </row>
    <row r="71">
      <c r="A71" s="140">
        <v>5877.0</v>
      </c>
      <c r="B71" s="139" t="s">
        <v>528</v>
      </c>
      <c r="C71" s="139" t="s">
        <v>527</v>
      </c>
      <c r="D71" s="139" t="s">
        <v>479</v>
      </c>
      <c r="E71" s="139" t="s">
        <v>480</v>
      </c>
      <c r="F71" s="139" t="s">
        <v>489</v>
      </c>
      <c r="G71" s="140">
        <v>0.0</v>
      </c>
      <c r="H71" s="140">
        <v>13.0</v>
      </c>
      <c r="I71" s="140">
        <v>13.0</v>
      </c>
      <c r="J71" s="141">
        <f>VLOOKUP(A71,Gestionale_!A:A,1,0)</f>
        <v>5877</v>
      </c>
    </row>
    <row r="72" hidden="1">
      <c r="A72" s="140">
        <v>6916.0</v>
      </c>
      <c r="B72" s="139" t="s">
        <v>326</v>
      </c>
      <c r="C72" s="139" t="s">
        <v>527</v>
      </c>
      <c r="D72" s="139" t="s">
        <v>515</v>
      </c>
      <c r="E72" s="139" t="s">
        <v>480</v>
      </c>
      <c r="F72" s="139" t="s">
        <v>489</v>
      </c>
      <c r="G72" s="140">
        <v>1.0</v>
      </c>
      <c r="H72" s="140">
        <v>5.0</v>
      </c>
      <c r="I72" s="140">
        <v>5.0</v>
      </c>
      <c r="J72" s="141">
        <f>VLOOKUP(A72,Gestionale_!A:A,1,0)</f>
        <v>6916</v>
      </c>
    </row>
    <row r="73">
      <c r="A73" s="139" t="s">
        <v>499</v>
      </c>
      <c r="B73" s="139" t="s">
        <v>529</v>
      </c>
      <c r="C73" s="139" t="s">
        <v>527</v>
      </c>
      <c r="D73" s="142"/>
      <c r="E73" s="139" t="s">
        <v>480</v>
      </c>
      <c r="F73" s="139" t="s">
        <v>530</v>
      </c>
      <c r="G73" s="140">
        <v>0.0</v>
      </c>
      <c r="H73" s="140">
        <v>9.0</v>
      </c>
      <c r="I73" s="140">
        <v>9.0</v>
      </c>
      <c r="J73" s="141" t="str">
        <f>VLOOKUP(A73,Gestionale_!A:A,1,0)</f>
        <v>#N/A</v>
      </c>
    </row>
    <row r="74" hidden="1">
      <c r="A74" s="140">
        <v>7131.0</v>
      </c>
      <c r="B74" s="139" t="s">
        <v>337</v>
      </c>
      <c r="C74" s="139" t="s">
        <v>527</v>
      </c>
      <c r="D74" s="139" t="s">
        <v>485</v>
      </c>
      <c r="E74" s="139" t="s">
        <v>480</v>
      </c>
      <c r="F74" s="139" t="s">
        <v>520</v>
      </c>
      <c r="G74" s="140">
        <v>3.0</v>
      </c>
      <c r="H74" s="140">
        <v>4.0</v>
      </c>
      <c r="I74" s="140">
        <v>4.0</v>
      </c>
      <c r="J74" s="141">
        <f>VLOOKUP(A74,Gestionale_!A:A,1,0)</f>
        <v>7131</v>
      </c>
    </row>
    <row r="75" hidden="1">
      <c r="A75" s="140">
        <v>7146.0</v>
      </c>
      <c r="B75" s="139" t="s">
        <v>531</v>
      </c>
      <c r="C75" s="139" t="s">
        <v>527</v>
      </c>
      <c r="D75" s="139" t="s">
        <v>486</v>
      </c>
      <c r="E75" s="139" t="s">
        <v>492</v>
      </c>
      <c r="F75" s="139" t="s">
        <v>532</v>
      </c>
      <c r="G75" s="140">
        <v>28.0</v>
      </c>
      <c r="H75" s="140">
        <v>10.0</v>
      </c>
      <c r="I75" s="140">
        <v>11.0</v>
      </c>
      <c r="J75" s="141">
        <f>VLOOKUP(A75,Gestionale_!A:A,1,0)</f>
        <v>7146</v>
      </c>
    </row>
    <row r="76" hidden="1">
      <c r="A76" s="140">
        <v>5719.0</v>
      </c>
      <c r="B76" s="139" t="s">
        <v>327</v>
      </c>
      <c r="C76" s="139" t="s">
        <v>527</v>
      </c>
      <c r="D76" s="139" t="s">
        <v>488</v>
      </c>
      <c r="E76" s="139" t="s">
        <v>492</v>
      </c>
      <c r="F76" s="139" t="s">
        <v>493</v>
      </c>
      <c r="G76" s="140">
        <v>1.0</v>
      </c>
      <c r="H76" s="140">
        <v>3.0</v>
      </c>
      <c r="I76" s="140">
        <v>3.0</v>
      </c>
      <c r="J76" s="141">
        <f>VLOOKUP(A76,Gestionale_!A:A,1,0)</f>
        <v>5719</v>
      </c>
    </row>
    <row r="77" hidden="1">
      <c r="A77" s="140">
        <v>6054.0</v>
      </c>
      <c r="B77" s="139" t="s">
        <v>344</v>
      </c>
      <c r="C77" s="139" t="s">
        <v>527</v>
      </c>
      <c r="D77" s="139" t="s">
        <v>511</v>
      </c>
      <c r="E77" s="139" t="s">
        <v>492</v>
      </c>
      <c r="F77" s="139" t="s">
        <v>493</v>
      </c>
      <c r="G77" s="140">
        <v>1.0</v>
      </c>
      <c r="H77" s="140">
        <v>8.0</v>
      </c>
      <c r="I77" s="140">
        <v>8.0</v>
      </c>
      <c r="J77" s="141">
        <f>VLOOKUP(A77,Gestionale_!A:A,1,0)</f>
        <v>6054</v>
      </c>
    </row>
    <row r="78" hidden="1">
      <c r="A78" s="140">
        <v>6024.0</v>
      </c>
      <c r="B78" s="139" t="s">
        <v>351</v>
      </c>
      <c r="C78" s="139" t="s">
        <v>527</v>
      </c>
      <c r="D78" s="139" t="s">
        <v>496</v>
      </c>
      <c r="E78" s="139" t="s">
        <v>492</v>
      </c>
      <c r="F78" s="139" t="s">
        <v>493</v>
      </c>
      <c r="G78" s="140">
        <v>1.0</v>
      </c>
      <c r="H78" s="140">
        <v>1.0</v>
      </c>
      <c r="I78" s="140">
        <v>1.0</v>
      </c>
      <c r="J78" s="141">
        <f>VLOOKUP(A78,Gestionale_!A:A,1,0)</f>
        <v>6024</v>
      </c>
    </row>
    <row r="79" hidden="1">
      <c r="A79" s="140">
        <v>7138.0</v>
      </c>
      <c r="B79" s="139" t="s">
        <v>345</v>
      </c>
      <c r="C79" s="139" t="s">
        <v>527</v>
      </c>
      <c r="D79" s="139" t="s">
        <v>516</v>
      </c>
      <c r="E79" s="139" t="s">
        <v>492</v>
      </c>
      <c r="F79" s="139" t="s">
        <v>493</v>
      </c>
      <c r="G79" s="140">
        <v>2.0</v>
      </c>
      <c r="H79" s="140">
        <v>2.0</v>
      </c>
      <c r="I79" s="140">
        <v>2.0</v>
      </c>
      <c r="J79" s="141">
        <f>VLOOKUP(A79,Gestionale_!A:A,1,0)</f>
        <v>7138</v>
      </c>
    </row>
    <row r="80" hidden="1">
      <c r="A80" s="140">
        <v>6190.0</v>
      </c>
      <c r="B80" s="139" t="s">
        <v>533</v>
      </c>
      <c r="C80" s="139" t="s">
        <v>527</v>
      </c>
      <c r="D80" s="139" t="s">
        <v>484</v>
      </c>
      <c r="E80" s="139" t="s">
        <v>492</v>
      </c>
      <c r="F80" s="139" t="s">
        <v>492</v>
      </c>
      <c r="G80" s="140">
        <v>1.0</v>
      </c>
      <c r="H80" s="140">
        <v>6.0</v>
      </c>
      <c r="I80" s="140">
        <v>6.0</v>
      </c>
      <c r="J80" s="141">
        <f>VLOOKUP(A80,Gestionale_!A:A,1,0)</f>
        <v>6190</v>
      </c>
    </row>
    <row r="81" hidden="1">
      <c r="A81" s="140">
        <v>6684.0</v>
      </c>
      <c r="B81" s="139" t="s">
        <v>334</v>
      </c>
      <c r="C81" s="139" t="s">
        <v>527</v>
      </c>
      <c r="D81" s="139" t="s">
        <v>510</v>
      </c>
      <c r="E81" s="139" t="s">
        <v>492</v>
      </c>
      <c r="F81" s="139" t="s">
        <v>498</v>
      </c>
      <c r="G81" s="140">
        <v>4.0</v>
      </c>
      <c r="H81" s="140">
        <v>12.0</v>
      </c>
      <c r="I81" s="140">
        <v>12.0</v>
      </c>
      <c r="J81" s="141">
        <f>VLOOKUP(A81,Gestionale_!A:A,1,0)</f>
        <v>6684</v>
      </c>
    </row>
    <row r="82" hidden="1">
      <c r="A82" s="140">
        <v>6206.0</v>
      </c>
      <c r="B82" s="139" t="s">
        <v>335</v>
      </c>
      <c r="C82" s="139" t="s">
        <v>527</v>
      </c>
      <c r="D82" s="139" t="s">
        <v>534</v>
      </c>
      <c r="E82" s="139" t="s">
        <v>492</v>
      </c>
      <c r="F82" s="139" t="s">
        <v>498</v>
      </c>
      <c r="G82" s="140">
        <v>1.0</v>
      </c>
      <c r="H82" s="140">
        <v>8.0</v>
      </c>
      <c r="I82" s="140">
        <v>8.0</v>
      </c>
      <c r="J82" s="141">
        <f>VLOOKUP(A82,Gestionale_!A:A,1,0)</f>
        <v>6206</v>
      </c>
    </row>
    <row r="83" hidden="1">
      <c r="A83" s="140">
        <v>5858.0</v>
      </c>
      <c r="B83" s="139" t="s">
        <v>336</v>
      </c>
      <c r="C83" s="139" t="s">
        <v>527</v>
      </c>
      <c r="D83" s="139" t="s">
        <v>511</v>
      </c>
      <c r="E83" s="139" t="s">
        <v>492</v>
      </c>
      <c r="F83" s="139" t="s">
        <v>498</v>
      </c>
      <c r="G83" s="140">
        <v>16.0</v>
      </c>
      <c r="H83" s="140">
        <v>5.0</v>
      </c>
      <c r="I83" s="140">
        <v>5.0</v>
      </c>
      <c r="J83" s="141">
        <f>VLOOKUP(A83,Gestionale_!A:A,1,0)</f>
        <v>5858</v>
      </c>
    </row>
    <row r="84" hidden="1">
      <c r="A84" s="140">
        <v>5318.0</v>
      </c>
      <c r="B84" s="139" t="s">
        <v>352</v>
      </c>
      <c r="C84" s="139" t="s">
        <v>527</v>
      </c>
      <c r="D84" s="139" t="s">
        <v>486</v>
      </c>
      <c r="E84" s="139" t="s">
        <v>492</v>
      </c>
      <c r="F84" s="139" t="s">
        <v>502</v>
      </c>
      <c r="G84" s="140">
        <v>1.0</v>
      </c>
      <c r="H84" s="140">
        <v>9.0</v>
      </c>
      <c r="I84" s="140">
        <v>9.0</v>
      </c>
      <c r="J84" s="141">
        <f>VLOOKUP(A84,Gestionale_!A:A,1,0)</f>
        <v>5318</v>
      </c>
    </row>
    <row r="85" hidden="1">
      <c r="A85" s="140">
        <v>6844.0</v>
      </c>
      <c r="B85" s="139" t="s">
        <v>348</v>
      </c>
      <c r="C85" s="139" t="s">
        <v>527</v>
      </c>
      <c r="D85" s="139" t="s">
        <v>511</v>
      </c>
      <c r="E85" s="139" t="s">
        <v>492</v>
      </c>
      <c r="F85" s="139" t="s">
        <v>502</v>
      </c>
      <c r="G85" s="140">
        <v>49.0</v>
      </c>
      <c r="H85" s="140">
        <v>7.0</v>
      </c>
      <c r="I85" s="140">
        <v>7.0</v>
      </c>
      <c r="J85" s="141">
        <f>VLOOKUP(A85,Gestionale_!A:A,1,0)</f>
        <v>6844</v>
      </c>
    </row>
    <row r="86" hidden="1">
      <c r="A86" s="140">
        <v>6895.0</v>
      </c>
      <c r="B86" s="139" t="s">
        <v>332</v>
      </c>
      <c r="C86" s="139" t="s">
        <v>527</v>
      </c>
      <c r="D86" s="139" t="s">
        <v>511</v>
      </c>
      <c r="E86" s="139" t="s">
        <v>507</v>
      </c>
      <c r="F86" s="139" t="s">
        <v>504</v>
      </c>
      <c r="G86" s="140">
        <v>1.0</v>
      </c>
      <c r="H86" s="140">
        <v>4.0</v>
      </c>
      <c r="I86" s="140">
        <v>4.0</v>
      </c>
      <c r="J86" s="141">
        <f>VLOOKUP(A86,Gestionale_!A:A,1,0)</f>
        <v>6895</v>
      </c>
    </row>
    <row r="87" hidden="1">
      <c r="A87" s="140">
        <v>6052.0</v>
      </c>
      <c r="B87" s="139" t="s">
        <v>339</v>
      </c>
      <c r="C87" s="139" t="s">
        <v>527</v>
      </c>
      <c r="D87" s="139" t="s">
        <v>501</v>
      </c>
      <c r="E87" s="139" t="s">
        <v>507</v>
      </c>
      <c r="F87" s="139" t="s">
        <v>512</v>
      </c>
      <c r="G87" s="140">
        <v>211.0</v>
      </c>
      <c r="H87" s="140">
        <v>25.0</v>
      </c>
      <c r="I87" s="140">
        <v>25.0</v>
      </c>
      <c r="J87" s="141">
        <f>VLOOKUP(A87,Gestionale_!A:A,1,0)</f>
        <v>6052</v>
      </c>
    </row>
    <row r="88">
      <c r="A88" s="140">
        <v>6675.0</v>
      </c>
      <c r="B88" s="139" t="s">
        <v>535</v>
      </c>
      <c r="C88" s="139" t="s">
        <v>527</v>
      </c>
      <c r="D88" s="139" t="s">
        <v>484</v>
      </c>
      <c r="E88" s="139" t="s">
        <v>507</v>
      </c>
      <c r="F88" s="139" t="s">
        <v>512</v>
      </c>
      <c r="G88" s="140">
        <v>0.0</v>
      </c>
      <c r="H88" s="140">
        <v>15.0</v>
      </c>
      <c r="I88" s="140">
        <v>15.0</v>
      </c>
      <c r="J88" s="141">
        <f>VLOOKUP(A88,Gestionale_!A:A,1,0)</f>
        <v>6675</v>
      </c>
    </row>
    <row r="89" hidden="1">
      <c r="A89" s="140">
        <v>7252.0</v>
      </c>
      <c r="B89" s="139" t="s">
        <v>350</v>
      </c>
      <c r="C89" s="139" t="s">
        <v>527</v>
      </c>
      <c r="D89" s="139" t="s">
        <v>506</v>
      </c>
      <c r="E89" s="139" t="s">
        <v>507</v>
      </c>
      <c r="F89" s="139" t="s">
        <v>512</v>
      </c>
      <c r="G89" s="140">
        <v>6.0</v>
      </c>
      <c r="H89" s="140">
        <v>8.0</v>
      </c>
      <c r="I89" s="140">
        <v>8.0</v>
      </c>
      <c r="J89" s="141">
        <f>VLOOKUP(A89,Gestionale_!A:A,1,0)</f>
        <v>7252</v>
      </c>
    </row>
    <row r="90">
      <c r="A90" s="140">
        <v>6435.0</v>
      </c>
      <c r="B90" s="139" t="s">
        <v>536</v>
      </c>
      <c r="C90" s="139" t="s">
        <v>527</v>
      </c>
      <c r="D90" s="139" t="s">
        <v>515</v>
      </c>
      <c r="E90" s="139" t="s">
        <v>507</v>
      </c>
      <c r="F90" s="139" t="s">
        <v>512</v>
      </c>
      <c r="G90" s="140">
        <v>0.0</v>
      </c>
      <c r="H90" s="140">
        <v>20.0</v>
      </c>
      <c r="I90" s="140">
        <v>20.0</v>
      </c>
      <c r="J90" s="141">
        <f>VLOOKUP(A90,Gestionale_!A:A,1,0)</f>
        <v>6435</v>
      </c>
    </row>
    <row r="91">
      <c r="A91" s="140">
        <v>2764.0</v>
      </c>
      <c r="B91" s="139" t="s">
        <v>537</v>
      </c>
      <c r="C91" s="139" t="s">
        <v>527</v>
      </c>
      <c r="D91" s="139" t="s">
        <v>479</v>
      </c>
      <c r="E91" s="139" t="s">
        <v>507</v>
      </c>
      <c r="F91" s="139" t="s">
        <v>512</v>
      </c>
      <c r="G91" s="140">
        <v>0.0</v>
      </c>
      <c r="H91" s="140">
        <v>34.0</v>
      </c>
      <c r="I91" s="140">
        <v>34.0</v>
      </c>
      <c r="J91" s="141">
        <f>VLOOKUP(A91,Gestionale_!A:A,1,0)</f>
        <v>2764</v>
      </c>
    </row>
    <row r="92" hidden="1">
      <c r="A92" s="140">
        <v>188.0</v>
      </c>
      <c r="B92" s="139" t="s">
        <v>210</v>
      </c>
      <c r="C92" s="139" t="s">
        <v>538</v>
      </c>
      <c r="D92" s="139" t="s">
        <v>491</v>
      </c>
      <c r="E92" s="139" t="s">
        <v>477</v>
      </c>
      <c r="F92" s="139" t="s">
        <v>478</v>
      </c>
      <c r="G92" s="140">
        <v>1.0</v>
      </c>
      <c r="H92" s="140">
        <v>11.0</v>
      </c>
      <c r="I92" s="140">
        <v>11.0</v>
      </c>
      <c r="J92" s="141">
        <f>VLOOKUP(A92,Gestionale_!A:A,1,0)</f>
        <v>188</v>
      </c>
    </row>
    <row r="93">
      <c r="A93" s="140">
        <v>2134.0</v>
      </c>
      <c r="B93" s="139" t="s">
        <v>539</v>
      </c>
      <c r="C93" s="139" t="s">
        <v>538</v>
      </c>
      <c r="D93" s="139" t="s">
        <v>506</v>
      </c>
      <c r="E93" s="139" t="s">
        <v>477</v>
      </c>
      <c r="F93" s="139" t="s">
        <v>478</v>
      </c>
      <c r="G93" s="140">
        <v>0.0</v>
      </c>
      <c r="H93" s="140">
        <v>15.0</v>
      </c>
      <c r="I93" s="140">
        <v>15.0</v>
      </c>
      <c r="J93" s="141">
        <f>VLOOKUP(A93,Gestionale_!A:A,1,0)</f>
        <v>2134</v>
      </c>
    </row>
    <row r="94" hidden="1">
      <c r="A94" s="140">
        <v>2521.0</v>
      </c>
      <c r="B94" s="139" t="s">
        <v>201</v>
      </c>
      <c r="C94" s="139" t="s">
        <v>538</v>
      </c>
      <c r="D94" s="139" t="s">
        <v>534</v>
      </c>
      <c r="E94" s="139" t="s">
        <v>477</v>
      </c>
      <c r="F94" s="139" t="s">
        <v>478</v>
      </c>
      <c r="G94" s="140">
        <v>40.0</v>
      </c>
      <c r="H94" s="140">
        <v>11.0</v>
      </c>
      <c r="I94" s="140">
        <v>11.0</v>
      </c>
      <c r="J94" s="141">
        <f>VLOOKUP(A94,Gestionale_!A:A,1,0)</f>
        <v>2521</v>
      </c>
    </row>
    <row r="95" hidden="1">
      <c r="A95" s="140">
        <v>7240.0</v>
      </c>
      <c r="B95" s="139" t="s">
        <v>218</v>
      </c>
      <c r="C95" s="139" t="s">
        <v>538</v>
      </c>
      <c r="D95" s="139" t="s">
        <v>506</v>
      </c>
      <c r="E95" s="139" t="s">
        <v>480</v>
      </c>
      <c r="F95" s="139" t="s">
        <v>481</v>
      </c>
      <c r="G95" s="140">
        <v>3.0</v>
      </c>
      <c r="H95" s="140">
        <v>2.0</v>
      </c>
      <c r="I95" s="140">
        <v>2.0</v>
      </c>
      <c r="J95" s="141">
        <f>VLOOKUP(A95,Gestionale_!A:A,1,0)</f>
        <v>7240</v>
      </c>
    </row>
    <row r="96" hidden="1">
      <c r="A96" s="140">
        <v>5010.0</v>
      </c>
      <c r="B96" s="139" t="s">
        <v>206</v>
      </c>
      <c r="C96" s="139" t="s">
        <v>538</v>
      </c>
      <c r="D96" s="139" t="s">
        <v>488</v>
      </c>
      <c r="E96" s="139" t="s">
        <v>480</v>
      </c>
      <c r="F96" s="139" t="s">
        <v>481</v>
      </c>
      <c r="G96" s="140">
        <v>17.0</v>
      </c>
      <c r="H96" s="140">
        <v>6.0</v>
      </c>
      <c r="I96" s="140">
        <v>6.0</v>
      </c>
      <c r="J96" s="141">
        <f>VLOOKUP(A96,Gestionale_!A:A,1,0)</f>
        <v>5010</v>
      </c>
    </row>
    <row r="97">
      <c r="A97" s="140">
        <v>6217.0</v>
      </c>
      <c r="B97" s="139" t="s">
        <v>540</v>
      </c>
      <c r="C97" s="139" t="s">
        <v>538</v>
      </c>
      <c r="D97" s="139" t="s">
        <v>479</v>
      </c>
      <c r="E97" s="139" t="s">
        <v>480</v>
      </c>
      <c r="F97" s="139" t="s">
        <v>481</v>
      </c>
      <c r="G97" s="140">
        <v>0.0</v>
      </c>
      <c r="H97" s="140">
        <v>10.0</v>
      </c>
      <c r="I97" s="140">
        <v>10.0</v>
      </c>
      <c r="J97" s="141">
        <f>VLOOKUP(A97,Gestionale_!A:A,1,0)</f>
        <v>6217</v>
      </c>
    </row>
    <row r="98">
      <c r="A98" s="140">
        <v>2120.0</v>
      </c>
      <c r="B98" s="139" t="s">
        <v>541</v>
      </c>
      <c r="C98" s="139" t="s">
        <v>538</v>
      </c>
      <c r="D98" s="139" t="s">
        <v>479</v>
      </c>
      <c r="E98" s="139" t="s">
        <v>480</v>
      </c>
      <c r="F98" s="139" t="s">
        <v>481</v>
      </c>
      <c r="G98" s="140">
        <v>0.0</v>
      </c>
      <c r="H98" s="140">
        <v>17.0</v>
      </c>
      <c r="I98" s="140">
        <v>17.0</v>
      </c>
      <c r="J98" s="141">
        <f>VLOOKUP(A98,Gestionale_!A:A,1,0)</f>
        <v>2120</v>
      </c>
    </row>
    <row r="99" hidden="1">
      <c r="A99" s="140">
        <v>6989.0</v>
      </c>
      <c r="B99" s="139" t="s">
        <v>220</v>
      </c>
      <c r="C99" s="139" t="s">
        <v>538</v>
      </c>
      <c r="D99" s="139" t="s">
        <v>506</v>
      </c>
      <c r="E99" s="139" t="s">
        <v>480</v>
      </c>
      <c r="F99" s="139" t="s">
        <v>481</v>
      </c>
      <c r="G99" s="140">
        <v>12.0</v>
      </c>
      <c r="H99" s="140">
        <v>9.0</v>
      </c>
      <c r="I99" s="140">
        <v>9.0</v>
      </c>
      <c r="J99" s="141">
        <f>VLOOKUP(A99,Gestionale_!A:A,1,0)</f>
        <v>6989</v>
      </c>
    </row>
    <row r="100" hidden="1">
      <c r="A100" s="140">
        <v>6956.0</v>
      </c>
      <c r="B100" s="139" t="s">
        <v>219</v>
      </c>
      <c r="C100" s="139" t="s">
        <v>538</v>
      </c>
      <c r="D100" s="139" t="s">
        <v>510</v>
      </c>
      <c r="E100" s="139" t="s">
        <v>480</v>
      </c>
      <c r="F100" s="139" t="s">
        <v>481</v>
      </c>
      <c r="G100" s="140">
        <v>29.0</v>
      </c>
      <c r="H100" s="140">
        <v>11.0</v>
      </c>
      <c r="I100" s="140">
        <v>11.0</v>
      </c>
      <c r="J100" s="141">
        <f>VLOOKUP(A100,Gestionale_!A:A,1,0)</f>
        <v>6956</v>
      </c>
    </row>
    <row r="101" hidden="1">
      <c r="A101" s="140">
        <v>2525.0</v>
      </c>
      <c r="B101" s="139" t="s">
        <v>200</v>
      </c>
      <c r="C101" s="139" t="s">
        <v>538</v>
      </c>
      <c r="D101" s="139" t="s">
        <v>479</v>
      </c>
      <c r="E101" s="139" t="s">
        <v>480</v>
      </c>
      <c r="F101" s="139" t="s">
        <v>542</v>
      </c>
      <c r="G101" s="140">
        <v>3.0</v>
      </c>
      <c r="H101" s="140">
        <v>1.0</v>
      </c>
      <c r="I101" s="140">
        <v>1.0</v>
      </c>
      <c r="J101" s="141">
        <f>VLOOKUP(A101,Gestionale_!A:A,1,0)</f>
        <v>2525</v>
      </c>
    </row>
    <row r="102" hidden="1">
      <c r="A102" s="140">
        <v>5168.0</v>
      </c>
      <c r="B102" s="139" t="s">
        <v>221</v>
      </c>
      <c r="C102" s="139" t="s">
        <v>538</v>
      </c>
      <c r="D102" s="139" t="s">
        <v>484</v>
      </c>
      <c r="E102" s="139" t="s">
        <v>480</v>
      </c>
      <c r="F102" s="139" t="s">
        <v>490</v>
      </c>
      <c r="G102" s="140">
        <v>1.0</v>
      </c>
      <c r="H102" s="140">
        <v>4.0</v>
      </c>
      <c r="I102" s="140">
        <v>4.0</v>
      </c>
      <c r="J102" s="141">
        <f>VLOOKUP(A102,Gestionale_!A:A,1,0)</f>
        <v>5168</v>
      </c>
    </row>
    <row r="103" hidden="1">
      <c r="A103" s="140">
        <v>5862.0</v>
      </c>
      <c r="B103" s="139" t="s">
        <v>222</v>
      </c>
      <c r="C103" s="139" t="s">
        <v>538</v>
      </c>
      <c r="D103" s="139" t="s">
        <v>516</v>
      </c>
      <c r="E103" s="139" t="s">
        <v>480</v>
      </c>
      <c r="F103" s="139" t="s">
        <v>490</v>
      </c>
      <c r="G103" s="140">
        <v>6.0</v>
      </c>
      <c r="H103" s="140">
        <v>10.0</v>
      </c>
      <c r="I103" s="140">
        <v>10.0</v>
      </c>
      <c r="J103" s="141">
        <f>VLOOKUP(A103,Gestionale_!A:A,1,0)</f>
        <v>5862</v>
      </c>
    </row>
    <row r="104" hidden="1">
      <c r="A104" s="140">
        <v>5840.0</v>
      </c>
      <c r="B104" s="139" t="s">
        <v>212</v>
      </c>
      <c r="C104" s="139" t="s">
        <v>538</v>
      </c>
      <c r="D104" s="139" t="s">
        <v>501</v>
      </c>
      <c r="E104" s="139" t="s">
        <v>480</v>
      </c>
      <c r="F104" s="139" t="s">
        <v>490</v>
      </c>
      <c r="G104" s="140">
        <v>1.0</v>
      </c>
      <c r="H104" s="140">
        <v>3.0</v>
      </c>
      <c r="I104" s="140">
        <v>3.0</v>
      </c>
      <c r="J104" s="141">
        <f>VLOOKUP(A104,Gestionale_!A:A,1,0)</f>
        <v>5840</v>
      </c>
    </row>
    <row r="105" hidden="1">
      <c r="A105" s="140">
        <v>5527.0</v>
      </c>
      <c r="B105" s="139" t="s">
        <v>224</v>
      </c>
      <c r="C105" s="139" t="s">
        <v>538</v>
      </c>
      <c r="D105" s="139" t="s">
        <v>510</v>
      </c>
      <c r="E105" s="139" t="s">
        <v>480</v>
      </c>
      <c r="F105" s="139" t="s">
        <v>520</v>
      </c>
      <c r="G105" s="140">
        <v>1.0</v>
      </c>
      <c r="H105" s="140">
        <v>9.0</v>
      </c>
      <c r="I105" s="140">
        <v>9.0</v>
      </c>
      <c r="J105" s="141">
        <f>VLOOKUP(A105,Gestionale_!A:A,1,0)</f>
        <v>5527</v>
      </c>
    </row>
    <row r="106" hidden="1">
      <c r="A106" s="140">
        <v>6832.0</v>
      </c>
      <c r="B106" s="139" t="s">
        <v>215</v>
      </c>
      <c r="C106" s="139" t="s">
        <v>538</v>
      </c>
      <c r="D106" s="139" t="s">
        <v>496</v>
      </c>
      <c r="E106" s="139" t="s">
        <v>480</v>
      </c>
      <c r="F106" s="139" t="s">
        <v>521</v>
      </c>
      <c r="G106" s="140">
        <v>10.0</v>
      </c>
      <c r="H106" s="140">
        <v>15.0</v>
      </c>
      <c r="I106" s="140">
        <v>16.0</v>
      </c>
      <c r="J106" s="141">
        <f>VLOOKUP(A106,Gestionale_!A:A,1,0)</f>
        <v>6832</v>
      </c>
    </row>
    <row r="107" hidden="1">
      <c r="A107" s="140">
        <v>2194.0</v>
      </c>
      <c r="B107" s="139" t="s">
        <v>198</v>
      </c>
      <c r="C107" s="139" t="s">
        <v>538</v>
      </c>
      <c r="D107" s="139" t="s">
        <v>479</v>
      </c>
      <c r="E107" s="139" t="s">
        <v>492</v>
      </c>
      <c r="F107" s="139" t="s">
        <v>493</v>
      </c>
      <c r="G107" s="140">
        <v>132.0</v>
      </c>
      <c r="H107" s="140">
        <v>28.0</v>
      </c>
      <c r="I107" s="140">
        <v>28.0</v>
      </c>
      <c r="J107" s="141">
        <f>VLOOKUP(A107,Gestionale_!A:A,1,0)</f>
        <v>2194</v>
      </c>
    </row>
    <row r="108" hidden="1">
      <c r="A108" s="140">
        <v>5992.0</v>
      </c>
      <c r="B108" s="139" t="s">
        <v>197</v>
      </c>
      <c r="C108" s="139" t="s">
        <v>538</v>
      </c>
      <c r="D108" s="139" t="s">
        <v>485</v>
      </c>
      <c r="E108" s="139" t="s">
        <v>492</v>
      </c>
      <c r="F108" s="139" t="s">
        <v>493</v>
      </c>
      <c r="G108" s="140">
        <v>1.0</v>
      </c>
      <c r="H108" s="140">
        <v>7.0</v>
      </c>
      <c r="I108" s="140">
        <v>7.0</v>
      </c>
      <c r="J108" s="141">
        <f>VLOOKUP(A108,Gestionale_!A:A,1,0)</f>
        <v>5992</v>
      </c>
    </row>
    <row r="109" hidden="1">
      <c r="A109" s="140">
        <v>6219.0</v>
      </c>
      <c r="B109" s="139" t="s">
        <v>195</v>
      </c>
      <c r="C109" s="139" t="s">
        <v>538</v>
      </c>
      <c r="D109" s="139" t="s">
        <v>495</v>
      </c>
      <c r="E109" s="139" t="s">
        <v>492</v>
      </c>
      <c r="F109" s="139" t="s">
        <v>493</v>
      </c>
      <c r="G109" s="140">
        <v>1.0</v>
      </c>
      <c r="H109" s="140">
        <v>2.0</v>
      </c>
      <c r="I109" s="140">
        <v>2.0</v>
      </c>
      <c r="J109" s="141">
        <f>VLOOKUP(A109,Gestionale_!A:A,1,0)</f>
        <v>6219</v>
      </c>
    </row>
    <row r="110" hidden="1">
      <c r="A110" s="140">
        <v>5791.0</v>
      </c>
      <c r="B110" s="139" t="s">
        <v>205</v>
      </c>
      <c r="C110" s="139" t="s">
        <v>538</v>
      </c>
      <c r="D110" s="139" t="s">
        <v>491</v>
      </c>
      <c r="E110" s="139" t="s">
        <v>492</v>
      </c>
      <c r="F110" s="139" t="s">
        <v>493</v>
      </c>
      <c r="G110" s="140">
        <v>2.0</v>
      </c>
      <c r="H110" s="140">
        <v>9.0</v>
      </c>
      <c r="I110" s="140">
        <v>9.0</v>
      </c>
      <c r="J110" s="141">
        <f>VLOOKUP(A110,Gestionale_!A:A,1,0)</f>
        <v>5791</v>
      </c>
    </row>
    <row r="111" hidden="1">
      <c r="A111" s="140">
        <v>7203.0</v>
      </c>
      <c r="B111" s="139" t="s">
        <v>207</v>
      </c>
      <c r="C111" s="139" t="s">
        <v>538</v>
      </c>
      <c r="D111" s="139" t="s">
        <v>476</v>
      </c>
      <c r="E111" s="139" t="s">
        <v>492</v>
      </c>
      <c r="F111" s="139" t="s">
        <v>492</v>
      </c>
      <c r="G111" s="140">
        <v>8.0</v>
      </c>
      <c r="H111" s="140">
        <v>4.0</v>
      </c>
      <c r="I111" s="140">
        <v>4.0</v>
      </c>
      <c r="J111" s="141">
        <f>VLOOKUP(A111,Gestionale_!A:A,1,0)</f>
        <v>7203</v>
      </c>
    </row>
    <row r="112" hidden="1">
      <c r="A112" s="140">
        <v>6549.0</v>
      </c>
      <c r="B112" s="139" t="s">
        <v>217</v>
      </c>
      <c r="C112" s="139" t="s">
        <v>538</v>
      </c>
      <c r="D112" s="139" t="s">
        <v>506</v>
      </c>
      <c r="E112" s="139" t="s">
        <v>492</v>
      </c>
      <c r="F112" s="139" t="s">
        <v>504</v>
      </c>
      <c r="G112" s="140">
        <v>18.0</v>
      </c>
      <c r="H112" s="140">
        <v>6.0</v>
      </c>
      <c r="I112" s="140">
        <v>6.0</v>
      </c>
      <c r="J112" s="141">
        <f>VLOOKUP(A112,Gestionale_!A:A,1,0)</f>
        <v>6549</v>
      </c>
    </row>
    <row r="113" hidden="1">
      <c r="A113" s="140">
        <v>5687.0</v>
      </c>
      <c r="B113" s="139" t="s">
        <v>223</v>
      </c>
      <c r="C113" s="139" t="s">
        <v>538</v>
      </c>
      <c r="D113" s="139" t="s">
        <v>488</v>
      </c>
      <c r="E113" s="139" t="s">
        <v>492</v>
      </c>
      <c r="F113" s="139" t="s">
        <v>543</v>
      </c>
      <c r="G113" s="140">
        <v>39.0</v>
      </c>
      <c r="H113" s="140">
        <v>18.0</v>
      </c>
      <c r="I113" s="140">
        <v>18.0</v>
      </c>
      <c r="J113" s="141">
        <f>VLOOKUP(A113,Gestionale_!A:A,1,0)</f>
        <v>5687</v>
      </c>
    </row>
    <row r="114" hidden="1">
      <c r="A114" s="139" t="s">
        <v>499</v>
      </c>
      <c r="B114" s="139" t="s">
        <v>199</v>
      </c>
      <c r="C114" s="139" t="s">
        <v>538</v>
      </c>
      <c r="D114" s="142"/>
      <c r="E114" s="139" t="s">
        <v>492</v>
      </c>
      <c r="F114" s="139" t="s">
        <v>509</v>
      </c>
      <c r="G114" s="140">
        <v>41.0</v>
      </c>
      <c r="H114" s="140">
        <v>4.0</v>
      </c>
      <c r="I114" s="140">
        <v>4.0</v>
      </c>
      <c r="J114" s="141" t="str">
        <f>VLOOKUP(A114,Gestionale_!A:A,1,0)</f>
        <v>#N/A</v>
      </c>
    </row>
    <row r="115" hidden="1">
      <c r="A115" s="140">
        <v>4359.0</v>
      </c>
      <c r="B115" s="139" t="s">
        <v>216</v>
      </c>
      <c r="C115" s="139" t="s">
        <v>538</v>
      </c>
      <c r="D115" s="139" t="s">
        <v>534</v>
      </c>
      <c r="E115" s="139" t="s">
        <v>507</v>
      </c>
      <c r="F115" s="139" t="s">
        <v>512</v>
      </c>
      <c r="G115" s="140">
        <v>20.0</v>
      </c>
      <c r="H115" s="140">
        <v>9.0</v>
      </c>
      <c r="I115" s="140">
        <v>9.0</v>
      </c>
      <c r="J115" s="141">
        <f>VLOOKUP(A115,Gestionale_!A:A,1,0)</f>
        <v>4359</v>
      </c>
    </row>
    <row r="116" hidden="1">
      <c r="A116" s="140">
        <v>6552.0</v>
      </c>
      <c r="B116" s="139" t="s">
        <v>214</v>
      </c>
      <c r="C116" s="139" t="s">
        <v>538</v>
      </c>
      <c r="D116" s="139" t="s">
        <v>544</v>
      </c>
      <c r="E116" s="139" t="s">
        <v>507</v>
      </c>
      <c r="F116" s="139" t="s">
        <v>512</v>
      </c>
      <c r="G116" s="140">
        <v>5.0</v>
      </c>
      <c r="H116" s="140">
        <v>20.0</v>
      </c>
      <c r="I116" s="140">
        <v>20.0</v>
      </c>
      <c r="J116" s="141">
        <f>VLOOKUP(A116,Gestionale_!A:A,1,0)</f>
        <v>6552</v>
      </c>
    </row>
    <row r="117" hidden="1">
      <c r="A117" s="140">
        <v>7071.0</v>
      </c>
      <c r="B117" s="139" t="s">
        <v>203</v>
      </c>
      <c r="C117" s="139" t="s">
        <v>538</v>
      </c>
      <c r="D117" s="139" t="s">
        <v>479</v>
      </c>
      <c r="E117" s="139" t="s">
        <v>507</v>
      </c>
      <c r="F117" s="139" t="s">
        <v>512</v>
      </c>
      <c r="G117" s="140">
        <v>58.0</v>
      </c>
      <c r="H117" s="140">
        <v>18.0</v>
      </c>
      <c r="I117" s="140">
        <v>18.0</v>
      </c>
      <c r="J117" s="141">
        <f>VLOOKUP(A117,Gestionale_!A:A,1,0)</f>
        <v>7071</v>
      </c>
    </row>
    <row r="118" hidden="1">
      <c r="A118" s="140">
        <v>6314.0</v>
      </c>
      <c r="B118" s="139" t="s">
        <v>213</v>
      </c>
      <c r="C118" s="139" t="s">
        <v>538</v>
      </c>
      <c r="D118" s="139" t="s">
        <v>483</v>
      </c>
      <c r="E118" s="139" t="s">
        <v>507</v>
      </c>
      <c r="F118" s="139" t="s">
        <v>512</v>
      </c>
      <c r="G118" s="140">
        <v>118.0</v>
      </c>
      <c r="H118" s="140">
        <v>10.0</v>
      </c>
      <c r="I118" s="140">
        <v>10.0</v>
      </c>
      <c r="J118" s="141">
        <f>VLOOKUP(A118,Gestionale_!A:A,1,0)</f>
        <v>6314</v>
      </c>
    </row>
    <row r="119" hidden="1">
      <c r="A119" s="140">
        <v>313.0</v>
      </c>
      <c r="B119" s="139" t="s">
        <v>211</v>
      </c>
      <c r="C119" s="139" t="s">
        <v>538</v>
      </c>
      <c r="D119" s="139" t="s">
        <v>508</v>
      </c>
      <c r="E119" s="139" t="s">
        <v>507</v>
      </c>
      <c r="F119" s="139" t="s">
        <v>512</v>
      </c>
      <c r="G119" s="140">
        <v>21.0</v>
      </c>
      <c r="H119" s="140">
        <v>4.0</v>
      </c>
      <c r="I119" s="140">
        <v>4.0</v>
      </c>
      <c r="J119" s="141">
        <f>VLOOKUP(A119,Gestionale_!A:A,1,0)</f>
        <v>313</v>
      </c>
    </row>
    <row r="120" hidden="1">
      <c r="A120" s="140">
        <v>505.0</v>
      </c>
      <c r="B120" s="139" t="s">
        <v>196</v>
      </c>
      <c r="C120" s="139" t="s">
        <v>538</v>
      </c>
      <c r="D120" s="139" t="s">
        <v>485</v>
      </c>
      <c r="E120" s="139" t="s">
        <v>507</v>
      </c>
      <c r="F120" s="139" t="s">
        <v>507</v>
      </c>
      <c r="G120" s="140">
        <v>1.0</v>
      </c>
      <c r="H120" s="140">
        <v>20.0</v>
      </c>
      <c r="I120" s="140">
        <v>20.0</v>
      </c>
      <c r="J120" s="141">
        <f>VLOOKUP(A120,Gestionale_!A:A,1,0)</f>
        <v>505</v>
      </c>
    </row>
    <row r="121" hidden="1">
      <c r="A121" s="140">
        <v>7120.0</v>
      </c>
      <c r="B121" s="139" t="s">
        <v>209</v>
      </c>
      <c r="C121" s="139" t="s">
        <v>538</v>
      </c>
      <c r="D121" s="139" t="s">
        <v>501</v>
      </c>
      <c r="E121" s="139" t="s">
        <v>507</v>
      </c>
      <c r="F121" s="139" t="s">
        <v>507</v>
      </c>
      <c r="G121" s="140">
        <v>10.0</v>
      </c>
      <c r="H121" s="140">
        <v>13.0</v>
      </c>
      <c r="I121" s="140">
        <v>13.0</v>
      </c>
      <c r="J121" s="141">
        <f>VLOOKUP(A121,Gestionale_!A:A,1,0)</f>
        <v>7120</v>
      </c>
    </row>
    <row r="122" hidden="1">
      <c r="A122" s="140">
        <v>6641.0</v>
      </c>
      <c r="B122" s="139" t="s">
        <v>130</v>
      </c>
      <c r="C122" s="139" t="s">
        <v>545</v>
      </c>
      <c r="D122" s="139" t="s">
        <v>516</v>
      </c>
      <c r="E122" s="139" t="s">
        <v>477</v>
      </c>
      <c r="F122" s="139" t="s">
        <v>478</v>
      </c>
      <c r="G122" s="140">
        <v>11.0</v>
      </c>
      <c r="H122" s="140">
        <v>9.0</v>
      </c>
      <c r="I122" s="140">
        <v>9.0</v>
      </c>
      <c r="J122" s="141">
        <f>VLOOKUP(A122,Gestionale_!A:A,1,0)</f>
        <v>6641</v>
      </c>
    </row>
    <row r="123" hidden="1">
      <c r="A123" s="140">
        <v>6125.0</v>
      </c>
      <c r="B123" s="139" t="s">
        <v>132</v>
      </c>
      <c r="C123" s="139" t="s">
        <v>545</v>
      </c>
      <c r="D123" s="139" t="s">
        <v>484</v>
      </c>
      <c r="E123" s="139" t="s">
        <v>477</v>
      </c>
      <c r="F123" s="139" t="s">
        <v>478</v>
      </c>
      <c r="G123" s="140">
        <v>1.0</v>
      </c>
      <c r="H123" s="140">
        <v>1.0</v>
      </c>
      <c r="I123" s="140">
        <v>1.0</v>
      </c>
      <c r="J123" s="141">
        <f>VLOOKUP(A123,Gestionale_!A:A,1,0)</f>
        <v>6125</v>
      </c>
    </row>
    <row r="124" hidden="1">
      <c r="A124" s="140">
        <v>5841.0</v>
      </c>
      <c r="B124" s="139" t="s">
        <v>131</v>
      </c>
      <c r="C124" s="139" t="s">
        <v>545</v>
      </c>
      <c r="D124" s="139" t="s">
        <v>484</v>
      </c>
      <c r="E124" s="139" t="s">
        <v>477</v>
      </c>
      <c r="F124" s="139" t="s">
        <v>478</v>
      </c>
      <c r="G124" s="140">
        <v>73.0</v>
      </c>
      <c r="H124" s="140">
        <v>19.0</v>
      </c>
      <c r="I124" s="140">
        <v>19.0</v>
      </c>
      <c r="J124" s="141">
        <f>VLOOKUP(A124,Gestionale_!A:A,1,0)</f>
        <v>5841</v>
      </c>
    </row>
    <row r="125" hidden="1">
      <c r="A125" s="140">
        <v>7202.0</v>
      </c>
      <c r="B125" s="139" t="s">
        <v>117</v>
      </c>
      <c r="C125" s="139" t="s">
        <v>545</v>
      </c>
      <c r="D125" s="139" t="s">
        <v>516</v>
      </c>
      <c r="E125" s="139" t="s">
        <v>480</v>
      </c>
      <c r="F125" s="139" t="s">
        <v>481</v>
      </c>
      <c r="G125" s="140">
        <v>1.0</v>
      </c>
      <c r="H125" s="140">
        <v>1.0</v>
      </c>
      <c r="I125" s="140">
        <v>1.0</v>
      </c>
      <c r="J125" s="141">
        <f>VLOOKUP(A125,Gestionale_!A:A,1,0)</f>
        <v>7202</v>
      </c>
    </row>
    <row r="126" hidden="1">
      <c r="A126" s="140">
        <v>7139.0</v>
      </c>
      <c r="B126" s="139" t="s">
        <v>103</v>
      </c>
      <c r="C126" s="139" t="s">
        <v>545</v>
      </c>
      <c r="D126" s="139" t="s">
        <v>486</v>
      </c>
      <c r="E126" s="139" t="s">
        <v>480</v>
      </c>
      <c r="F126" s="139" t="s">
        <v>481</v>
      </c>
      <c r="G126" s="140">
        <v>1.0</v>
      </c>
      <c r="H126" s="140">
        <v>5.0</v>
      </c>
      <c r="I126" s="140">
        <v>5.0</v>
      </c>
      <c r="J126" s="141">
        <f>VLOOKUP(A126,Gestionale_!A:A,1,0)</f>
        <v>7139</v>
      </c>
    </row>
    <row r="127" hidden="1">
      <c r="A127" s="140">
        <v>6893.0</v>
      </c>
      <c r="B127" s="139" t="s">
        <v>109</v>
      </c>
      <c r="C127" s="139" t="s">
        <v>545</v>
      </c>
      <c r="D127" s="139" t="s">
        <v>508</v>
      </c>
      <c r="E127" s="139" t="s">
        <v>480</v>
      </c>
      <c r="F127" s="139" t="s">
        <v>481</v>
      </c>
      <c r="G127" s="140">
        <v>3.0</v>
      </c>
      <c r="H127" s="140">
        <v>14.0</v>
      </c>
      <c r="I127" s="140">
        <v>14.0</v>
      </c>
      <c r="J127" s="141">
        <f>VLOOKUP(A127,Gestionale_!A:A,1,0)</f>
        <v>6893</v>
      </c>
    </row>
    <row r="128" hidden="1">
      <c r="A128" s="139" t="s">
        <v>499</v>
      </c>
      <c r="B128" s="143" t="s">
        <v>115</v>
      </c>
      <c r="C128" s="139" t="s">
        <v>545</v>
      </c>
      <c r="D128" s="142"/>
      <c r="E128" s="139" t="s">
        <v>480</v>
      </c>
      <c r="F128" s="139" t="s">
        <v>481</v>
      </c>
      <c r="G128" s="140">
        <v>1.0</v>
      </c>
      <c r="H128" s="140">
        <v>2.0</v>
      </c>
      <c r="I128" s="140">
        <v>2.0</v>
      </c>
      <c r="J128" s="141" t="str">
        <f>VLOOKUP(A128,Gestionale_!A:A,1,0)</f>
        <v>#N/A</v>
      </c>
    </row>
    <row r="129" hidden="1">
      <c r="A129" s="140">
        <v>4401.0</v>
      </c>
      <c r="B129" s="139" t="s">
        <v>106</v>
      </c>
      <c r="C129" s="139" t="s">
        <v>545</v>
      </c>
      <c r="D129" s="139" t="s">
        <v>476</v>
      </c>
      <c r="E129" s="139" t="s">
        <v>480</v>
      </c>
      <c r="F129" s="139" t="s">
        <v>481</v>
      </c>
      <c r="G129" s="140">
        <v>1.0</v>
      </c>
      <c r="H129" s="140">
        <v>8.0</v>
      </c>
      <c r="I129" s="140">
        <v>8.0</v>
      </c>
      <c r="J129" s="141">
        <f>VLOOKUP(A129,Gestionale_!A:A,1,0)</f>
        <v>4401</v>
      </c>
    </row>
    <row r="130" hidden="1">
      <c r="A130" s="140">
        <v>7271.0</v>
      </c>
      <c r="B130" s="139" t="s">
        <v>119</v>
      </c>
      <c r="C130" s="139" t="s">
        <v>545</v>
      </c>
      <c r="D130" s="139" t="s">
        <v>476</v>
      </c>
      <c r="E130" s="139" t="s">
        <v>480</v>
      </c>
      <c r="F130" s="139" t="s">
        <v>481</v>
      </c>
      <c r="G130" s="140">
        <v>1.0</v>
      </c>
      <c r="H130" s="140">
        <v>1.0</v>
      </c>
      <c r="I130" s="140">
        <v>1.0</v>
      </c>
      <c r="J130" s="141">
        <f>VLOOKUP(A130,Gestionale_!A:A,1,0)</f>
        <v>7271</v>
      </c>
    </row>
    <row r="131" hidden="1">
      <c r="A131" s="140">
        <v>4159.0</v>
      </c>
      <c r="B131" s="139" t="s">
        <v>98</v>
      </c>
      <c r="C131" s="139" t="s">
        <v>545</v>
      </c>
      <c r="D131" s="139" t="s">
        <v>479</v>
      </c>
      <c r="E131" s="139" t="s">
        <v>480</v>
      </c>
      <c r="F131" s="139" t="s">
        <v>481</v>
      </c>
      <c r="G131" s="140">
        <v>36.0</v>
      </c>
      <c r="H131" s="140">
        <v>11.0</v>
      </c>
      <c r="I131" s="140">
        <v>11.0</v>
      </c>
      <c r="J131" s="141">
        <f>VLOOKUP(A131,Gestionale_!A:A,1,0)</f>
        <v>4159</v>
      </c>
    </row>
    <row r="132" hidden="1">
      <c r="A132" s="140">
        <v>4210.0</v>
      </c>
      <c r="B132" s="139" t="s">
        <v>116</v>
      </c>
      <c r="C132" s="139" t="s">
        <v>545</v>
      </c>
      <c r="D132" s="139" t="s">
        <v>496</v>
      </c>
      <c r="E132" s="139" t="s">
        <v>480</v>
      </c>
      <c r="F132" s="139" t="s">
        <v>481</v>
      </c>
      <c r="G132" s="140">
        <v>4.0</v>
      </c>
      <c r="H132" s="140">
        <v>8.0</v>
      </c>
      <c r="I132" s="140">
        <v>8.0</v>
      </c>
      <c r="J132" s="141">
        <f>VLOOKUP(A132,Gestionale_!A:A,1,0)</f>
        <v>4210</v>
      </c>
    </row>
    <row r="133" hidden="1">
      <c r="A133" s="140">
        <v>6013.0</v>
      </c>
      <c r="B133" s="139" t="s">
        <v>101</v>
      </c>
      <c r="C133" s="139" t="s">
        <v>545</v>
      </c>
      <c r="D133" s="139" t="s">
        <v>485</v>
      </c>
      <c r="E133" s="139" t="s">
        <v>480</v>
      </c>
      <c r="F133" s="139" t="s">
        <v>518</v>
      </c>
      <c r="G133" s="140">
        <v>3.0</v>
      </c>
      <c r="H133" s="140">
        <v>9.0</v>
      </c>
      <c r="I133" s="140">
        <v>9.0</v>
      </c>
      <c r="J133" s="141">
        <f>VLOOKUP(A133,Gestionale_!A:A,1,0)</f>
        <v>6013</v>
      </c>
    </row>
    <row r="134" hidden="1">
      <c r="A134" s="140">
        <v>770.0</v>
      </c>
      <c r="B134" s="139" t="s">
        <v>123</v>
      </c>
      <c r="C134" s="139" t="s">
        <v>545</v>
      </c>
      <c r="D134" s="139" t="s">
        <v>485</v>
      </c>
      <c r="E134" s="139" t="s">
        <v>480</v>
      </c>
      <c r="F134" s="139" t="s">
        <v>490</v>
      </c>
      <c r="G134" s="140">
        <v>9.0</v>
      </c>
      <c r="H134" s="140">
        <v>4.0</v>
      </c>
      <c r="I134" s="140">
        <v>4.0</v>
      </c>
      <c r="J134" s="141">
        <f>VLOOKUP(A134,Gestionale_!A:A,1,0)</f>
        <v>770</v>
      </c>
    </row>
    <row r="135" hidden="1">
      <c r="A135" s="140">
        <v>7143.0</v>
      </c>
      <c r="B135" s="139" t="s">
        <v>100</v>
      </c>
      <c r="C135" s="139" t="s">
        <v>545</v>
      </c>
      <c r="D135" s="139" t="s">
        <v>486</v>
      </c>
      <c r="E135" s="139" t="s">
        <v>480</v>
      </c>
      <c r="F135" s="139" t="s">
        <v>490</v>
      </c>
      <c r="G135" s="140">
        <v>14.0</v>
      </c>
      <c r="H135" s="140">
        <v>9.0</v>
      </c>
      <c r="I135" s="140">
        <v>9.0</v>
      </c>
      <c r="J135" s="141">
        <f>VLOOKUP(A135,Gestionale_!A:A,1,0)</f>
        <v>7143</v>
      </c>
    </row>
    <row r="136" hidden="1">
      <c r="A136" s="140">
        <v>7181.0</v>
      </c>
      <c r="B136" s="139" t="s">
        <v>133</v>
      </c>
      <c r="C136" s="139" t="s">
        <v>545</v>
      </c>
      <c r="D136" s="139" t="s">
        <v>484</v>
      </c>
      <c r="E136" s="139" t="s">
        <v>480</v>
      </c>
      <c r="F136" s="139" t="s">
        <v>521</v>
      </c>
      <c r="G136" s="140">
        <v>115.0</v>
      </c>
      <c r="H136" s="140">
        <v>16.0</v>
      </c>
      <c r="I136" s="140">
        <v>16.0</v>
      </c>
      <c r="J136" s="141">
        <f>VLOOKUP(A136,Gestionale_!A:A,1,0)</f>
        <v>7181</v>
      </c>
    </row>
    <row r="137" hidden="1">
      <c r="A137" s="140">
        <v>5885.0</v>
      </c>
      <c r="B137" s="139" t="s">
        <v>546</v>
      </c>
      <c r="C137" s="139" t="s">
        <v>545</v>
      </c>
      <c r="D137" s="139" t="s">
        <v>534</v>
      </c>
      <c r="E137" s="139" t="s">
        <v>480</v>
      </c>
      <c r="F137" s="139" t="s">
        <v>521</v>
      </c>
      <c r="G137" s="140">
        <v>87.0</v>
      </c>
      <c r="H137" s="140">
        <v>6.0</v>
      </c>
      <c r="I137" s="140">
        <v>7.0</v>
      </c>
      <c r="J137" s="141">
        <f>VLOOKUP(A137,Gestionale_!A:A,1,0)</f>
        <v>5885</v>
      </c>
    </row>
    <row r="138" hidden="1">
      <c r="A138" s="140">
        <v>1933.0</v>
      </c>
      <c r="B138" s="139" t="s">
        <v>114</v>
      </c>
      <c r="C138" s="139" t="s">
        <v>545</v>
      </c>
      <c r="D138" s="139" t="s">
        <v>534</v>
      </c>
      <c r="E138" s="139" t="s">
        <v>492</v>
      </c>
      <c r="F138" s="139" t="s">
        <v>493</v>
      </c>
      <c r="G138" s="140">
        <v>16.0</v>
      </c>
      <c r="H138" s="140">
        <v>19.0</v>
      </c>
      <c r="I138" s="140">
        <v>19.0</v>
      </c>
      <c r="J138" s="141">
        <f>VLOOKUP(A138,Gestionale_!A:A,1,0)</f>
        <v>1933</v>
      </c>
    </row>
    <row r="139" hidden="1">
      <c r="A139" s="140">
        <v>4349.0</v>
      </c>
      <c r="B139" s="139" t="s">
        <v>118</v>
      </c>
      <c r="C139" s="139" t="s">
        <v>545</v>
      </c>
      <c r="D139" s="139" t="s">
        <v>534</v>
      </c>
      <c r="E139" s="139" t="s">
        <v>492</v>
      </c>
      <c r="F139" s="139" t="s">
        <v>493</v>
      </c>
      <c r="G139" s="140">
        <v>30.0</v>
      </c>
      <c r="H139" s="140">
        <v>3.0</v>
      </c>
      <c r="I139" s="140">
        <v>3.0</v>
      </c>
      <c r="J139" s="141">
        <f>VLOOKUP(A139,Gestionale_!A:A,1,0)</f>
        <v>4349</v>
      </c>
    </row>
    <row r="140" hidden="1">
      <c r="A140" s="140">
        <v>5589.0</v>
      </c>
      <c r="B140" s="139" t="s">
        <v>547</v>
      </c>
      <c r="C140" s="139" t="s">
        <v>545</v>
      </c>
      <c r="D140" s="139" t="s">
        <v>484</v>
      </c>
      <c r="E140" s="139" t="s">
        <v>492</v>
      </c>
      <c r="F140" s="139" t="s">
        <v>493</v>
      </c>
      <c r="G140" s="140">
        <v>177.0</v>
      </c>
      <c r="H140" s="140">
        <v>17.0</v>
      </c>
      <c r="I140" s="140">
        <v>17.0</v>
      </c>
      <c r="J140" s="141">
        <f>VLOOKUP(A140,Gestionale_!A:A,1,0)</f>
        <v>5589</v>
      </c>
    </row>
    <row r="141" hidden="1">
      <c r="A141" s="140">
        <v>4287.0</v>
      </c>
      <c r="B141" s="139" t="s">
        <v>113</v>
      </c>
      <c r="C141" s="139" t="s">
        <v>545</v>
      </c>
      <c r="D141" s="139" t="s">
        <v>501</v>
      </c>
      <c r="E141" s="139" t="s">
        <v>492</v>
      </c>
      <c r="F141" s="139" t="s">
        <v>493</v>
      </c>
      <c r="G141" s="140">
        <v>3.0</v>
      </c>
      <c r="H141" s="140">
        <v>10.0</v>
      </c>
      <c r="I141" s="140">
        <v>10.0</v>
      </c>
      <c r="J141" s="141">
        <f>VLOOKUP(A141,Gestionale_!A:A,1,0)</f>
        <v>4287</v>
      </c>
    </row>
    <row r="142" hidden="1">
      <c r="A142" s="140">
        <v>2379.0</v>
      </c>
      <c r="B142" s="139" t="s">
        <v>128</v>
      </c>
      <c r="C142" s="139" t="s">
        <v>545</v>
      </c>
      <c r="D142" s="139" t="s">
        <v>476</v>
      </c>
      <c r="E142" s="139" t="s">
        <v>492</v>
      </c>
      <c r="F142" s="139" t="s">
        <v>498</v>
      </c>
      <c r="G142" s="140">
        <v>130.0</v>
      </c>
      <c r="H142" s="140">
        <v>23.0</v>
      </c>
      <c r="I142" s="140">
        <v>23.0</v>
      </c>
      <c r="J142" s="141">
        <f>VLOOKUP(A142,Gestionale_!A:A,1,0)</f>
        <v>2379</v>
      </c>
    </row>
    <row r="143" hidden="1">
      <c r="A143" s="140">
        <v>6218.0</v>
      </c>
      <c r="B143" s="139" t="s">
        <v>120</v>
      </c>
      <c r="C143" s="139" t="s">
        <v>545</v>
      </c>
      <c r="D143" s="139" t="s">
        <v>516</v>
      </c>
      <c r="E143" s="139" t="s">
        <v>492</v>
      </c>
      <c r="F143" s="139" t="s">
        <v>548</v>
      </c>
      <c r="G143" s="140">
        <v>31.0</v>
      </c>
      <c r="H143" s="140">
        <v>4.0</v>
      </c>
      <c r="I143" s="140">
        <v>4.0</v>
      </c>
      <c r="J143" s="141">
        <f>VLOOKUP(A143,Gestionale_!A:A,1,0)</f>
        <v>6218</v>
      </c>
    </row>
    <row r="144" hidden="1">
      <c r="A144" s="140">
        <v>2167.0</v>
      </c>
      <c r="B144" s="139" t="s">
        <v>121</v>
      </c>
      <c r="C144" s="139" t="s">
        <v>545</v>
      </c>
      <c r="D144" s="139" t="s">
        <v>511</v>
      </c>
      <c r="E144" s="139" t="s">
        <v>492</v>
      </c>
      <c r="F144" s="139" t="s">
        <v>504</v>
      </c>
      <c r="G144" s="140">
        <v>160.0</v>
      </c>
      <c r="H144" s="140">
        <v>24.0</v>
      </c>
      <c r="I144" s="140">
        <v>24.0</v>
      </c>
      <c r="J144" s="141">
        <f>VLOOKUP(A144,Gestionale_!A:A,1,0)</f>
        <v>2167</v>
      </c>
    </row>
    <row r="145" hidden="1">
      <c r="A145" s="140">
        <v>5119.0</v>
      </c>
      <c r="B145" s="139" t="s">
        <v>129</v>
      </c>
      <c r="C145" s="139" t="s">
        <v>545</v>
      </c>
      <c r="D145" s="139" t="s">
        <v>515</v>
      </c>
      <c r="E145" s="139" t="s">
        <v>492</v>
      </c>
      <c r="F145" s="139" t="s">
        <v>543</v>
      </c>
      <c r="G145" s="140">
        <v>5.0</v>
      </c>
      <c r="H145" s="140">
        <v>11.0</v>
      </c>
      <c r="I145" s="140">
        <v>11.0</v>
      </c>
      <c r="J145" s="141">
        <f>VLOOKUP(A145,Gestionale_!A:A,1,0)</f>
        <v>5119</v>
      </c>
    </row>
    <row r="146">
      <c r="A146" s="140">
        <v>2423.0</v>
      </c>
      <c r="B146" s="139" t="s">
        <v>549</v>
      </c>
      <c r="C146" s="139" t="s">
        <v>545</v>
      </c>
      <c r="D146" s="139" t="s">
        <v>476</v>
      </c>
      <c r="E146" s="139" t="s">
        <v>492</v>
      </c>
      <c r="F146" s="139" t="s">
        <v>509</v>
      </c>
      <c r="G146" s="140">
        <v>0.0</v>
      </c>
      <c r="H146" s="140">
        <v>31.0</v>
      </c>
      <c r="I146" s="140">
        <v>31.0</v>
      </c>
      <c r="J146" s="141">
        <f>VLOOKUP(A146,Gestionale_!A:A,1,0)</f>
        <v>2423</v>
      </c>
    </row>
    <row r="147" hidden="1">
      <c r="A147" s="140">
        <v>2038.0</v>
      </c>
      <c r="B147" s="139" t="s">
        <v>124</v>
      </c>
      <c r="C147" s="139" t="s">
        <v>545</v>
      </c>
      <c r="D147" s="139" t="s">
        <v>495</v>
      </c>
      <c r="E147" s="139" t="s">
        <v>507</v>
      </c>
      <c r="F147" s="139" t="s">
        <v>512</v>
      </c>
      <c r="G147" s="140">
        <v>3.0</v>
      </c>
      <c r="H147" s="140">
        <v>14.0</v>
      </c>
      <c r="I147" s="140">
        <v>14.0</v>
      </c>
      <c r="J147" s="141">
        <f>VLOOKUP(A147,Gestionale_!A:A,1,0)</f>
        <v>2038</v>
      </c>
    </row>
    <row r="148">
      <c r="A148" s="140">
        <v>7017.0</v>
      </c>
      <c r="B148" s="139" t="s">
        <v>550</v>
      </c>
      <c r="C148" s="139" t="s">
        <v>545</v>
      </c>
      <c r="D148" s="139" t="s">
        <v>508</v>
      </c>
      <c r="E148" s="139" t="s">
        <v>507</v>
      </c>
      <c r="F148" s="139" t="s">
        <v>512</v>
      </c>
      <c r="G148" s="140">
        <v>0.0</v>
      </c>
      <c r="H148" s="140">
        <v>21.0</v>
      </c>
      <c r="I148" s="140">
        <v>21.0</v>
      </c>
      <c r="J148" s="141">
        <f>VLOOKUP(A148,Gestionale_!A:A,1,0)</f>
        <v>7017</v>
      </c>
    </row>
    <row r="149">
      <c r="A149" s="140">
        <v>2097.0</v>
      </c>
      <c r="B149" s="139" t="s">
        <v>551</v>
      </c>
      <c r="C149" s="139" t="s">
        <v>545</v>
      </c>
      <c r="D149" s="139" t="s">
        <v>534</v>
      </c>
      <c r="E149" s="139" t="s">
        <v>507</v>
      </c>
      <c r="F149" s="139" t="s">
        <v>512</v>
      </c>
      <c r="G149" s="140">
        <v>0.0</v>
      </c>
      <c r="H149" s="140">
        <v>18.0</v>
      </c>
      <c r="I149" s="140">
        <v>18.0</v>
      </c>
      <c r="J149" s="141">
        <f>VLOOKUP(A149,Gestionale_!A:A,1,0)</f>
        <v>2097</v>
      </c>
    </row>
    <row r="150" hidden="1">
      <c r="A150" s="140">
        <v>6060.0</v>
      </c>
      <c r="B150" s="139" t="s">
        <v>552</v>
      </c>
      <c r="C150" s="139" t="s">
        <v>545</v>
      </c>
      <c r="D150" s="139" t="s">
        <v>495</v>
      </c>
      <c r="E150" s="139" t="s">
        <v>507</v>
      </c>
      <c r="F150" s="139" t="s">
        <v>507</v>
      </c>
      <c r="G150" s="140">
        <v>25.0</v>
      </c>
      <c r="H150" s="140">
        <v>19.0</v>
      </c>
      <c r="I150" s="140">
        <v>19.0</v>
      </c>
      <c r="J150" s="141">
        <f>VLOOKUP(A150,Gestionale_!A:A,1,0)</f>
        <v>6060</v>
      </c>
    </row>
    <row r="151" hidden="1">
      <c r="A151" s="140">
        <v>7162.0</v>
      </c>
      <c r="B151" s="139" t="s">
        <v>107</v>
      </c>
      <c r="C151" s="139" t="s">
        <v>545</v>
      </c>
      <c r="D151" s="139" t="s">
        <v>544</v>
      </c>
      <c r="E151" s="139" t="s">
        <v>507</v>
      </c>
      <c r="F151" s="139" t="s">
        <v>507</v>
      </c>
      <c r="G151" s="140">
        <v>30.0</v>
      </c>
      <c r="H151" s="140">
        <v>17.0</v>
      </c>
      <c r="I151" s="140">
        <v>17.0</v>
      </c>
      <c r="J151" s="141">
        <f>VLOOKUP(A151,Gestionale_!A:A,1,0)</f>
        <v>7162</v>
      </c>
    </row>
    <row r="152" hidden="1">
      <c r="A152" s="140">
        <v>2170.0</v>
      </c>
      <c r="B152" s="139" t="s">
        <v>448</v>
      </c>
      <c r="C152" s="139" t="s">
        <v>553</v>
      </c>
      <c r="D152" s="139" t="s">
        <v>501</v>
      </c>
      <c r="E152" s="139" t="s">
        <v>477</v>
      </c>
      <c r="F152" s="139" t="s">
        <v>478</v>
      </c>
      <c r="G152" s="140">
        <v>17.0</v>
      </c>
      <c r="H152" s="140">
        <v>19.0</v>
      </c>
      <c r="I152" s="140">
        <v>19.0</v>
      </c>
      <c r="J152" s="141">
        <f>VLOOKUP(A152,Gestionale_!A:A,1,0)</f>
        <v>2170</v>
      </c>
    </row>
    <row r="153" hidden="1">
      <c r="A153" s="140">
        <v>572.0</v>
      </c>
      <c r="B153" s="139" t="s">
        <v>447</v>
      </c>
      <c r="C153" s="139" t="s">
        <v>553</v>
      </c>
      <c r="D153" s="139" t="s">
        <v>501</v>
      </c>
      <c r="E153" s="139" t="s">
        <v>477</v>
      </c>
      <c r="F153" s="139" t="s">
        <v>478</v>
      </c>
      <c r="G153" s="140">
        <v>105.0</v>
      </c>
      <c r="H153" s="140">
        <v>8.0</v>
      </c>
      <c r="I153" s="140">
        <v>8.0</v>
      </c>
      <c r="J153" s="141">
        <f>VLOOKUP(A153,Gestionale_!A:A,1,0)</f>
        <v>572</v>
      </c>
    </row>
    <row r="154" hidden="1">
      <c r="A154" s="140">
        <v>4807.0</v>
      </c>
      <c r="B154" s="139" t="s">
        <v>439</v>
      </c>
      <c r="C154" s="139" t="s">
        <v>553</v>
      </c>
      <c r="D154" s="139" t="s">
        <v>484</v>
      </c>
      <c r="E154" s="139" t="s">
        <v>480</v>
      </c>
      <c r="F154" s="139" t="s">
        <v>481</v>
      </c>
      <c r="G154" s="140">
        <v>1.0</v>
      </c>
      <c r="H154" s="140">
        <v>10.0</v>
      </c>
      <c r="I154" s="140">
        <v>10.0</v>
      </c>
      <c r="J154" s="141">
        <f>VLOOKUP(A154,Gestionale_!A:A,1,0)</f>
        <v>4807</v>
      </c>
    </row>
    <row r="155">
      <c r="A155" s="140">
        <v>2724.0</v>
      </c>
      <c r="B155" s="139" t="s">
        <v>554</v>
      </c>
      <c r="C155" s="139" t="s">
        <v>553</v>
      </c>
      <c r="D155" s="139" t="s">
        <v>501</v>
      </c>
      <c r="E155" s="139" t="s">
        <v>480</v>
      </c>
      <c r="F155" s="139" t="s">
        <v>481</v>
      </c>
      <c r="G155" s="140">
        <v>0.0</v>
      </c>
      <c r="H155" s="140">
        <v>10.0</v>
      </c>
      <c r="I155" s="140">
        <v>10.0</v>
      </c>
      <c r="J155" s="141">
        <f>VLOOKUP(A155,Gestionale_!A:A,1,0)</f>
        <v>2724</v>
      </c>
    </row>
    <row r="156" hidden="1">
      <c r="A156" s="140">
        <v>6672.0</v>
      </c>
      <c r="B156" s="139" t="s">
        <v>440</v>
      </c>
      <c r="C156" s="139" t="s">
        <v>553</v>
      </c>
      <c r="D156" s="139" t="s">
        <v>495</v>
      </c>
      <c r="E156" s="139" t="s">
        <v>480</v>
      </c>
      <c r="F156" s="139" t="s">
        <v>481</v>
      </c>
      <c r="G156" s="140">
        <v>4.0</v>
      </c>
      <c r="H156" s="140">
        <v>8.0</v>
      </c>
      <c r="I156" s="140">
        <v>8.0</v>
      </c>
      <c r="J156" s="141">
        <f>VLOOKUP(A156,Gestionale_!A:A,1,0)</f>
        <v>6672</v>
      </c>
    </row>
    <row r="157" hidden="1">
      <c r="A157" s="140">
        <v>256.0</v>
      </c>
      <c r="B157" s="139" t="s">
        <v>441</v>
      </c>
      <c r="C157" s="139" t="s">
        <v>553</v>
      </c>
      <c r="D157" s="139" t="s">
        <v>501</v>
      </c>
      <c r="E157" s="139" t="s">
        <v>480</v>
      </c>
      <c r="F157" s="139" t="s">
        <v>487</v>
      </c>
      <c r="G157" s="140">
        <v>3.0</v>
      </c>
      <c r="H157" s="140">
        <v>4.0</v>
      </c>
      <c r="I157" s="140">
        <v>4.0</v>
      </c>
      <c r="J157" s="141">
        <f>VLOOKUP(A157,Gestionale_!A:A,1,0)</f>
        <v>256</v>
      </c>
    </row>
    <row r="158" hidden="1">
      <c r="A158" s="140">
        <v>6537.0</v>
      </c>
      <c r="B158" s="139" t="s">
        <v>555</v>
      </c>
      <c r="C158" s="139" t="s">
        <v>553</v>
      </c>
      <c r="D158" s="139" t="s">
        <v>510</v>
      </c>
      <c r="E158" s="139" t="s">
        <v>480</v>
      </c>
      <c r="F158" s="139" t="s">
        <v>556</v>
      </c>
      <c r="G158" s="140">
        <v>1.0</v>
      </c>
      <c r="H158" s="140">
        <v>2.0</v>
      </c>
      <c r="I158" s="140">
        <v>2.0</v>
      </c>
      <c r="J158" s="141">
        <f>VLOOKUP(A158,Gestionale_!A:A,1,0)</f>
        <v>6537</v>
      </c>
    </row>
    <row r="159" hidden="1">
      <c r="A159" s="140">
        <v>6664.0</v>
      </c>
      <c r="B159" s="139" t="s">
        <v>433</v>
      </c>
      <c r="C159" s="139" t="s">
        <v>553</v>
      </c>
      <c r="D159" s="139" t="s">
        <v>516</v>
      </c>
      <c r="E159" s="139" t="s">
        <v>480</v>
      </c>
      <c r="F159" s="139" t="s">
        <v>542</v>
      </c>
      <c r="G159" s="140">
        <v>15.0</v>
      </c>
      <c r="H159" s="140">
        <v>9.0</v>
      </c>
      <c r="I159" s="140">
        <v>9.0</v>
      </c>
      <c r="J159" s="141">
        <f>VLOOKUP(A159,Gestionale_!A:A,1,0)</f>
        <v>6664</v>
      </c>
    </row>
    <row r="160" hidden="1">
      <c r="A160" s="140">
        <v>5555.0</v>
      </c>
      <c r="B160" s="139" t="s">
        <v>442</v>
      </c>
      <c r="C160" s="139" t="s">
        <v>553</v>
      </c>
      <c r="D160" s="139" t="s">
        <v>510</v>
      </c>
      <c r="E160" s="139" t="s">
        <v>480</v>
      </c>
      <c r="F160" s="139" t="s">
        <v>490</v>
      </c>
      <c r="G160" s="140">
        <v>3.0</v>
      </c>
      <c r="H160" s="140">
        <v>6.0</v>
      </c>
      <c r="I160" s="140">
        <v>6.0</v>
      </c>
      <c r="J160" s="141">
        <f>VLOOKUP(A160,Gestionale_!A:A,1,0)</f>
        <v>5555</v>
      </c>
    </row>
    <row r="161" hidden="1">
      <c r="A161" s="140">
        <v>6211.0</v>
      </c>
      <c r="B161" s="139" t="s">
        <v>454</v>
      </c>
      <c r="C161" s="139" t="s">
        <v>553</v>
      </c>
      <c r="D161" s="139" t="s">
        <v>510</v>
      </c>
      <c r="E161" s="139" t="s">
        <v>480</v>
      </c>
      <c r="F161" s="139" t="s">
        <v>490</v>
      </c>
      <c r="G161" s="140">
        <v>2.0</v>
      </c>
      <c r="H161" s="140">
        <v>2.0</v>
      </c>
      <c r="I161" s="140">
        <v>2.0</v>
      </c>
      <c r="J161" s="141">
        <f>VLOOKUP(A161,Gestionale_!A:A,1,0)</f>
        <v>6211</v>
      </c>
    </row>
    <row r="162" hidden="1">
      <c r="A162" s="140">
        <v>2160.0</v>
      </c>
      <c r="B162" s="139" t="s">
        <v>436</v>
      </c>
      <c r="C162" s="139" t="s">
        <v>553</v>
      </c>
      <c r="D162" s="139" t="s">
        <v>534</v>
      </c>
      <c r="E162" s="139" t="s">
        <v>480</v>
      </c>
      <c r="F162" s="139" t="s">
        <v>521</v>
      </c>
      <c r="G162" s="140">
        <v>80.0</v>
      </c>
      <c r="H162" s="140">
        <v>10.0</v>
      </c>
      <c r="I162" s="140">
        <v>10.0</v>
      </c>
      <c r="J162" s="141">
        <f>VLOOKUP(A162,Gestionale_!A:A,1,0)</f>
        <v>2160</v>
      </c>
    </row>
    <row r="163">
      <c r="A163" s="140">
        <v>5520.0</v>
      </c>
      <c r="B163" s="139" t="s">
        <v>557</v>
      </c>
      <c r="C163" s="139" t="s">
        <v>553</v>
      </c>
      <c r="D163" s="139" t="s">
        <v>483</v>
      </c>
      <c r="E163" s="139" t="s">
        <v>480</v>
      </c>
      <c r="F163" s="139" t="s">
        <v>521</v>
      </c>
      <c r="G163" s="140">
        <v>0.0</v>
      </c>
      <c r="H163" s="140">
        <v>10.0</v>
      </c>
      <c r="I163" s="140">
        <v>10.0</v>
      </c>
      <c r="J163" s="141">
        <f>VLOOKUP(A163,Gestionale_!A:A,1,0)</f>
        <v>5520</v>
      </c>
    </row>
    <row r="164" hidden="1">
      <c r="A164" s="140">
        <v>4711.0</v>
      </c>
      <c r="B164" s="139" t="s">
        <v>443</v>
      </c>
      <c r="C164" s="139" t="s">
        <v>553</v>
      </c>
      <c r="D164" s="139" t="s">
        <v>483</v>
      </c>
      <c r="E164" s="139" t="s">
        <v>492</v>
      </c>
      <c r="F164" s="139" t="s">
        <v>558</v>
      </c>
      <c r="G164" s="140">
        <v>1.0</v>
      </c>
      <c r="H164" s="140">
        <v>11.0</v>
      </c>
      <c r="I164" s="140">
        <v>11.0</v>
      </c>
      <c r="J164" s="141">
        <f>VLOOKUP(A164,Gestionale_!A:A,1,0)</f>
        <v>4711</v>
      </c>
    </row>
    <row r="165" hidden="1">
      <c r="A165" s="140">
        <v>4973.0</v>
      </c>
      <c r="B165" s="139" t="s">
        <v>446</v>
      </c>
      <c r="C165" s="139" t="s">
        <v>553</v>
      </c>
      <c r="D165" s="139" t="s">
        <v>483</v>
      </c>
      <c r="E165" s="139" t="s">
        <v>492</v>
      </c>
      <c r="F165" s="139" t="s">
        <v>493</v>
      </c>
      <c r="G165" s="140">
        <v>1.0</v>
      </c>
      <c r="H165" s="140">
        <v>14.0</v>
      </c>
      <c r="I165" s="140">
        <v>13.0</v>
      </c>
      <c r="J165" s="141">
        <f>VLOOKUP(A165,Gestionale_!A:A,1,0)</f>
        <v>4973</v>
      </c>
    </row>
    <row r="166">
      <c r="A166" s="140">
        <v>5792.0</v>
      </c>
      <c r="B166" s="139" t="s">
        <v>559</v>
      </c>
      <c r="C166" s="139" t="s">
        <v>553</v>
      </c>
      <c r="D166" s="139" t="s">
        <v>515</v>
      </c>
      <c r="E166" s="139" t="s">
        <v>492</v>
      </c>
      <c r="F166" s="139" t="s">
        <v>493</v>
      </c>
      <c r="G166" s="140">
        <v>0.0</v>
      </c>
      <c r="H166" s="140">
        <v>10.0</v>
      </c>
      <c r="I166" s="140">
        <v>10.0</v>
      </c>
      <c r="J166" s="141">
        <f>VLOOKUP(A166,Gestionale_!A:A,1,0)</f>
        <v>5792</v>
      </c>
    </row>
    <row r="167" hidden="1">
      <c r="A167" s="140">
        <v>788.0</v>
      </c>
      <c r="B167" s="139" t="s">
        <v>356</v>
      </c>
      <c r="C167" s="139" t="s">
        <v>553</v>
      </c>
      <c r="D167" s="139" t="s">
        <v>511</v>
      </c>
      <c r="E167" s="139" t="s">
        <v>492</v>
      </c>
      <c r="F167" s="139" t="s">
        <v>493</v>
      </c>
      <c r="G167" s="140">
        <v>1.0</v>
      </c>
      <c r="H167" s="140">
        <v>5.0</v>
      </c>
      <c r="I167" s="140">
        <v>5.0</v>
      </c>
      <c r="J167" s="141">
        <f>VLOOKUP(A167,Gestionale_!A:A,1,0)</f>
        <v>788</v>
      </c>
    </row>
    <row r="168" hidden="1">
      <c r="A168" s="140">
        <v>4465.0</v>
      </c>
      <c r="B168" s="139" t="s">
        <v>298</v>
      </c>
      <c r="C168" s="139" t="s">
        <v>553</v>
      </c>
      <c r="D168" s="139" t="s">
        <v>534</v>
      </c>
      <c r="E168" s="139" t="s">
        <v>492</v>
      </c>
      <c r="F168" s="139" t="s">
        <v>492</v>
      </c>
      <c r="G168" s="140">
        <v>1.0</v>
      </c>
      <c r="H168" s="140">
        <v>8.0</v>
      </c>
      <c r="I168" s="140">
        <v>8.0</v>
      </c>
      <c r="J168" s="141">
        <f>VLOOKUP(A168,Gestionale_!A:A,1,0)</f>
        <v>4465</v>
      </c>
    </row>
    <row r="169">
      <c r="A169" s="139" t="s">
        <v>499</v>
      </c>
      <c r="B169" s="139" t="s">
        <v>560</v>
      </c>
      <c r="C169" s="139" t="s">
        <v>553</v>
      </c>
      <c r="D169" s="142"/>
      <c r="E169" s="139" t="s">
        <v>492</v>
      </c>
      <c r="F169" s="139" t="s">
        <v>492</v>
      </c>
      <c r="G169" s="140">
        <v>0.0</v>
      </c>
      <c r="H169" s="140">
        <v>13.0</v>
      </c>
      <c r="I169" s="140">
        <v>13.0</v>
      </c>
      <c r="J169" s="141" t="str">
        <f>VLOOKUP(A169,Gestionale_!A:A,1,0)</f>
        <v>#N/A</v>
      </c>
    </row>
    <row r="170">
      <c r="A170" s="140">
        <v>4199.0</v>
      </c>
      <c r="B170" s="139" t="s">
        <v>561</v>
      </c>
      <c r="C170" s="139" t="s">
        <v>553</v>
      </c>
      <c r="D170" s="139" t="s">
        <v>476</v>
      </c>
      <c r="E170" s="139" t="s">
        <v>492</v>
      </c>
      <c r="F170" s="139" t="s">
        <v>498</v>
      </c>
      <c r="G170" s="140">
        <v>0.0</v>
      </c>
      <c r="H170" s="140">
        <v>13.0</v>
      </c>
      <c r="I170" s="140">
        <v>13.0</v>
      </c>
      <c r="J170" s="141">
        <f>VLOOKUP(A170,Gestionale_!A:A,1,0)</f>
        <v>4199</v>
      </c>
    </row>
    <row r="171" hidden="1">
      <c r="A171" s="140">
        <v>6677.0</v>
      </c>
      <c r="B171" s="139" t="s">
        <v>562</v>
      </c>
      <c r="C171" s="139" t="s">
        <v>553</v>
      </c>
      <c r="D171" s="139" t="s">
        <v>483</v>
      </c>
      <c r="E171" s="139" t="s">
        <v>492</v>
      </c>
      <c r="F171" s="139" t="s">
        <v>498</v>
      </c>
      <c r="G171" s="140">
        <v>1.0</v>
      </c>
      <c r="H171" s="140">
        <v>3.0</v>
      </c>
      <c r="I171" s="140">
        <v>3.0</v>
      </c>
      <c r="J171" s="141">
        <f>VLOOKUP(A171,Gestionale_!A:A,1,0)</f>
        <v>6677</v>
      </c>
    </row>
    <row r="172" hidden="1">
      <c r="A172" s="140">
        <v>5761.0</v>
      </c>
      <c r="B172" s="139" t="s">
        <v>455</v>
      </c>
      <c r="C172" s="139" t="s">
        <v>553</v>
      </c>
      <c r="D172" s="139" t="s">
        <v>483</v>
      </c>
      <c r="E172" s="139" t="s">
        <v>492</v>
      </c>
      <c r="F172" s="139" t="s">
        <v>563</v>
      </c>
      <c r="G172" s="140">
        <v>90.0</v>
      </c>
      <c r="H172" s="140">
        <v>9.0</v>
      </c>
      <c r="I172" s="140">
        <v>9.0</v>
      </c>
      <c r="J172" s="141">
        <f>VLOOKUP(A172,Gestionale_!A:A,1,0)</f>
        <v>5761</v>
      </c>
    </row>
    <row r="173" hidden="1">
      <c r="A173" s="139" t="s">
        <v>499</v>
      </c>
      <c r="B173" s="139" t="s">
        <v>428</v>
      </c>
      <c r="C173" s="139" t="s">
        <v>553</v>
      </c>
      <c r="D173" s="142"/>
      <c r="E173" s="139" t="s">
        <v>492</v>
      </c>
      <c r="F173" s="139" t="s">
        <v>504</v>
      </c>
      <c r="G173" s="140">
        <v>5.0</v>
      </c>
      <c r="H173" s="140">
        <v>8.0</v>
      </c>
      <c r="I173" s="140">
        <v>3.0</v>
      </c>
      <c r="J173" s="141" t="str">
        <f>VLOOKUP(A173,Gestionale_!A:A,1,0)</f>
        <v>#N/A</v>
      </c>
    </row>
    <row r="174">
      <c r="A174" s="140">
        <v>6831.0</v>
      </c>
      <c r="B174" s="139" t="s">
        <v>564</v>
      </c>
      <c r="C174" s="139" t="s">
        <v>553</v>
      </c>
      <c r="D174" s="139" t="s">
        <v>501</v>
      </c>
      <c r="E174" s="139" t="s">
        <v>492</v>
      </c>
      <c r="F174" s="139" t="s">
        <v>504</v>
      </c>
      <c r="G174" s="140">
        <v>0.0</v>
      </c>
      <c r="H174" s="140">
        <v>17.0</v>
      </c>
      <c r="I174" s="140">
        <v>17.0</v>
      </c>
      <c r="J174" s="141">
        <f>VLOOKUP(A174,Gestionale_!A:A,1,0)</f>
        <v>6831</v>
      </c>
    </row>
    <row r="175" hidden="1">
      <c r="A175" s="140">
        <v>4896.0</v>
      </c>
      <c r="B175" s="139" t="s">
        <v>445</v>
      </c>
      <c r="C175" s="139" t="s">
        <v>553</v>
      </c>
      <c r="D175" s="139" t="s">
        <v>515</v>
      </c>
      <c r="E175" s="139" t="s">
        <v>492</v>
      </c>
      <c r="F175" s="139" t="s">
        <v>509</v>
      </c>
      <c r="G175" s="140">
        <v>7.0</v>
      </c>
      <c r="H175" s="140">
        <v>3.0</v>
      </c>
      <c r="I175" s="140">
        <v>3.0</v>
      </c>
      <c r="J175" s="141">
        <f>VLOOKUP(A175,Gestionale_!A:A,1,0)</f>
        <v>4896</v>
      </c>
    </row>
    <row r="176">
      <c r="A176" s="140">
        <v>2137.0</v>
      </c>
      <c r="B176" s="139" t="s">
        <v>565</v>
      </c>
      <c r="C176" s="139" t="s">
        <v>553</v>
      </c>
      <c r="D176" s="139" t="s">
        <v>515</v>
      </c>
      <c r="E176" s="139" t="s">
        <v>507</v>
      </c>
      <c r="F176" s="139" t="s">
        <v>512</v>
      </c>
      <c r="G176" s="140">
        <v>0.0</v>
      </c>
      <c r="H176" s="140">
        <v>22.0</v>
      </c>
      <c r="I176" s="140">
        <v>22.0</v>
      </c>
      <c r="J176" s="141">
        <f>VLOOKUP(A176,Gestionale_!A:A,1,0)</f>
        <v>2137</v>
      </c>
    </row>
    <row r="177" hidden="1">
      <c r="A177" s="140">
        <v>647.0</v>
      </c>
      <c r="B177" s="139" t="s">
        <v>434</v>
      </c>
      <c r="C177" s="139" t="s">
        <v>553</v>
      </c>
      <c r="D177" s="139" t="s">
        <v>534</v>
      </c>
      <c r="E177" s="139" t="s">
        <v>507</v>
      </c>
      <c r="F177" s="139" t="s">
        <v>512</v>
      </c>
      <c r="G177" s="140">
        <v>1.0</v>
      </c>
      <c r="H177" s="140">
        <v>3.0</v>
      </c>
      <c r="I177" s="140">
        <v>3.0</v>
      </c>
      <c r="J177" s="141">
        <f>VLOOKUP(A177,Gestionale_!A:A,1,0)</f>
        <v>647</v>
      </c>
    </row>
    <row r="178" hidden="1">
      <c r="A178" s="140">
        <v>4923.0</v>
      </c>
      <c r="B178" s="139" t="s">
        <v>432</v>
      </c>
      <c r="C178" s="139" t="s">
        <v>553</v>
      </c>
      <c r="D178" s="139" t="s">
        <v>491</v>
      </c>
      <c r="E178" s="139" t="s">
        <v>507</v>
      </c>
      <c r="F178" s="139" t="s">
        <v>512</v>
      </c>
      <c r="G178" s="140">
        <v>18.0</v>
      </c>
      <c r="H178" s="140">
        <v>14.0</v>
      </c>
      <c r="I178" s="140">
        <v>14.0</v>
      </c>
      <c r="J178" s="141">
        <f>VLOOKUP(A178,Gestionale_!A:A,1,0)</f>
        <v>4923</v>
      </c>
    </row>
    <row r="179">
      <c r="A179" s="140">
        <v>6434.0</v>
      </c>
      <c r="B179" s="139" t="s">
        <v>566</v>
      </c>
      <c r="C179" s="139" t="s">
        <v>553</v>
      </c>
      <c r="D179" s="139" t="s">
        <v>483</v>
      </c>
      <c r="E179" s="139" t="s">
        <v>507</v>
      </c>
      <c r="F179" s="139" t="s">
        <v>507</v>
      </c>
      <c r="G179" s="140">
        <v>0.0</v>
      </c>
      <c r="H179" s="140">
        <v>30.0</v>
      </c>
      <c r="I179" s="140">
        <v>30.0</v>
      </c>
      <c r="J179" s="141">
        <f>VLOOKUP(A179,Gestionale_!A:A,1,0)</f>
        <v>6434</v>
      </c>
    </row>
    <row r="180" hidden="1">
      <c r="A180" s="140">
        <v>4728.0</v>
      </c>
      <c r="B180" s="139" t="s">
        <v>450</v>
      </c>
      <c r="C180" s="139" t="s">
        <v>553</v>
      </c>
      <c r="D180" s="139" t="s">
        <v>476</v>
      </c>
      <c r="E180" s="139" t="s">
        <v>507</v>
      </c>
      <c r="F180" s="139" t="s">
        <v>507</v>
      </c>
      <c r="G180" s="140">
        <v>100.0</v>
      </c>
      <c r="H180" s="140">
        <v>17.0</v>
      </c>
      <c r="I180" s="140">
        <v>17.0</v>
      </c>
      <c r="J180" s="141">
        <f>VLOOKUP(A180,Gestionale_!A:A,1,0)</f>
        <v>4728</v>
      </c>
    </row>
    <row r="181" hidden="1">
      <c r="A181" s="140">
        <v>5918.0</v>
      </c>
      <c r="B181" s="139" t="s">
        <v>413</v>
      </c>
      <c r="C181" s="139" t="s">
        <v>553</v>
      </c>
      <c r="D181" s="139" t="s">
        <v>515</v>
      </c>
      <c r="E181" s="139" t="s">
        <v>507</v>
      </c>
      <c r="F181" s="139" t="s">
        <v>507</v>
      </c>
      <c r="G181" s="140">
        <v>1.0</v>
      </c>
      <c r="H181" s="140">
        <v>11.0</v>
      </c>
      <c r="I181" s="140">
        <v>11.0</v>
      </c>
      <c r="J181" s="141">
        <f>VLOOKUP(A181,Gestionale_!A:A,1,0)</f>
        <v>5918</v>
      </c>
    </row>
    <row r="182" hidden="1">
      <c r="A182" s="140">
        <v>4.0</v>
      </c>
      <c r="B182" s="139" t="s">
        <v>412</v>
      </c>
      <c r="C182" s="139" t="s">
        <v>567</v>
      </c>
      <c r="D182" s="139" t="s">
        <v>515</v>
      </c>
      <c r="E182" s="139" t="s">
        <v>477</v>
      </c>
      <c r="F182" s="139" t="s">
        <v>478</v>
      </c>
      <c r="G182" s="140">
        <v>1.0</v>
      </c>
      <c r="H182" s="140">
        <v>1.0</v>
      </c>
      <c r="I182" s="140">
        <v>1.0</v>
      </c>
      <c r="J182" s="141">
        <f>VLOOKUP(A182,Gestionale_!A:A,1,0)</f>
        <v>4</v>
      </c>
    </row>
    <row r="183">
      <c r="A183" s="140">
        <v>4431.0</v>
      </c>
      <c r="B183" s="139" t="s">
        <v>568</v>
      </c>
      <c r="C183" s="139" t="s">
        <v>567</v>
      </c>
      <c r="D183" s="139" t="s">
        <v>515</v>
      </c>
      <c r="E183" s="139" t="s">
        <v>477</v>
      </c>
      <c r="F183" s="139" t="s">
        <v>478</v>
      </c>
      <c r="G183" s="140">
        <v>0.0</v>
      </c>
      <c r="H183" s="140">
        <v>17.0</v>
      </c>
      <c r="I183" s="140">
        <v>17.0</v>
      </c>
      <c r="J183" s="141">
        <f>VLOOKUP(A183,Gestionale_!A:A,1,0)</f>
        <v>4431</v>
      </c>
    </row>
    <row r="184">
      <c r="A184" s="140">
        <v>4957.0</v>
      </c>
      <c r="B184" s="139" t="s">
        <v>569</v>
      </c>
      <c r="C184" s="139" t="s">
        <v>567</v>
      </c>
      <c r="D184" s="139" t="s">
        <v>544</v>
      </c>
      <c r="E184" s="139" t="s">
        <v>477</v>
      </c>
      <c r="F184" s="139" t="s">
        <v>478</v>
      </c>
      <c r="G184" s="140">
        <v>0.0</v>
      </c>
      <c r="H184" s="140">
        <v>9.0</v>
      </c>
      <c r="I184" s="140">
        <v>9.0</v>
      </c>
      <c r="J184" s="141">
        <f>VLOOKUP(A184,Gestionale_!A:A,1,0)</f>
        <v>4957</v>
      </c>
    </row>
    <row r="185" hidden="1">
      <c r="A185" s="140">
        <v>4665.0</v>
      </c>
      <c r="B185" s="139" t="s">
        <v>401</v>
      </c>
      <c r="C185" s="139" t="s">
        <v>567</v>
      </c>
      <c r="D185" s="139" t="s">
        <v>488</v>
      </c>
      <c r="E185" s="139" t="s">
        <v>480</v>
      </c>
      <c r="F185" s="139" t="s">
        <v>481</v>
      </c>
      <c r="G185" s="140">
        <v>24.0</v>
      </c>
      <c r="H185" s="140">
        <v>11.0</v>
      </c>
      <c r="I185" s="140">
        <v>11.0</v>
      </c>
      <c r="J185" s="141">
        <f>VLOOKUP(A185,Gestionale_!A:A,1,0)</f>
        <v>4665</v>
      </c>
    </row>
    <row r="186" hidden="1">
      <c r="A186" s="140">
        <v>6957.0</v>
      </c>
      <c r="B186" s="139" t="s">
        <v>415</v>
      </c>
      <c r="C186" s="139" t="s">
        <v>567</v>
      </c>
      <c r="D186" s="139" t="s">
        <v>544</v>
      </c>
      <c r="E186" s="139" t="s">
        <v>480</v>
      </c>
      <c r="F186" s="139" t="s">
        <v>481</v>
      </c>
      <c r="G186" s="140">
        <v>1.0</v>
      </c>
      <c r="H186" s="140">
        <v>3.0</v>
      </c>
      <c r="I186" s="140">
        <v>3.0</v>
      </c>
      <c r="J186" s="141">
        <f>VLOOKUP(A186,Gestionale_!A:A,1,0)</f>
        <v>6957</v>
      </c>
    </row>
    <row r="187">
      <c r="A187" s="140">
        <v>5022.0</v>
      </c>
      <c r="B187" s="139" t="s">
        <v>570</v>
      </c>
      <c r="C187" s="139" t="s">
        <v>567</v>
      </c>
      <c r="D187" s="139" t="s">
        <v>476</v>
      </c>
      <c r="E187" s="139" t="s">
        <v>480</v>
      </c>
      <c r="F187" s="139" t="s">
        <v>481</v>
      </c>
      <c r="G187" s="140">
        <v>0.0</v>
      </c>
      <c r="H187" s="140">
        <v>15.0</v>
      </c>
      <c r="I187" s="140">
        <v>15.0</v>
      </c>
      <c r="J187" s="141">
        <f>VLOOKUP(A187,Gestionale_!A:A,1,0)</f>
        <v>5022</v>
      </c>
    </row>
    <row r="188" hidden="1">
      <c r="A188" s="140">
        <v>6411.0</v>
      </c>
      <c r="B188" s="139" t="s">
        <v>404</v>
      </c>
      <c r="C188" s="139" t="s">
        <v>567</v>
      </c>
      <c r="D188" s="139" t="s">
        <v>486</v>
      </c>
      <c r="E188" s="139" t="s">
        <v>480</v>
      </c>
      <c r="F188" s="139" t="s">
        <v>481</v>
      </c>
      <c r="G188" s="140">
        <v>1.0</v>
      </c>
      <c r="H188" s="140">
        <v>2.0</v>
      </c>
      <c r="I188" s="140">
        <v>2.0</v>
      </c>
      <c r="J188" s="141">
        <f>VLOOKUP(A188,Gestionale_!A:A,1,0)</f>
        <v>6411</v>
      </c>
    </row>
    <row r="189" hidden="1">
      <c r="A189" s="140">
        <v>5701.0</v>
      </c>
      <c r="B189" s="139" t="s">
        <v>266</v>
      </c>
      <c r="C189" s="139" t="s">
        <v>567</v>
      </c>
      <c r="D189" s="139" t="s">
        <v>496</v>
      </c>
      <c r="E189" s="139" t="s">
        <v>480</v>
      </c>
      <c r="F189" s="139" t="s">
        <v>487</v>
      </c>
      <c r="G189" s="140">
        <v>2.0</v>
      </c>
      <c r="H189" s="140">
        <v>5.0</v>
      </c>
      <c r="I189" s="140">
        <v>5.0</v>
      </c>
      <c r="J189" s="141">
        <f>VLOOKUP(A189,Gestionale_!A:A,1,0)</f>
        <v>5701</v>
      </c>
    </row>
    <row r="190" hidden="1">
      <c r="A190" s="140">
        <v>5578.0</v>
      </c>
      <c r="B190" s="139" t="s">
        <v>260</v>
      </c>
      <c r="C190" s="139" t="s">
        <v>567</v>
      </c>
      <c r="D190" s="139" t="s">
        <v>515</v>
      </c>
      <c r="E190" s="139" t="s">
        <v>480</v>
      </c>
      <c r="F190" s="139" t="s">
        <v>556</v>
      </c>
      <c r="G190" s="140">
        <v>14.0</v>
      </c>
      <c r="H190" s="140">
        <v>8.0</v>
      </c>
      <c r="I190" s="140">
        <v>8.0</v>
      </c>
      <c r="J190" s="141">
        <f>VLOOKUP(A190,Gestionale_!A:A,1,0)</f>
        <v>5578</v>
      </c>
    </row>
    <row r="191" hidden="1">
      <c r="A191" s="140">
        <v>2188.0</v>
      </c>
      <c r="B191" s="139" t="s">
        <v>402</v>
      </c>
      <c r="C191" s="139" t="s">
        <v>567</v>
      </c>
      <c r="D191" s="139" t="s">
        <v>505</v>
      </c>
      <c r="E191" s="139" t="s">
        <v>480</v>
      </c>
      <c r="F191" s="139" t="s">
        <v>518</v>
      </c>
      <c r="G191" s="140">
        <v>31.0</v>
      </c>
      <c r="H191" s="140">
        <v>7.0</v>
      </c>
      <c r="I191" s="140">
        <v>8.0</v>
      </c>
      <c r="J191" s="141">
        <f>VLOOKUP(A191,Gestionale_!A:A,1,0)</f>
        <v>2188</v>
      </c>
    </row>
    <row r="192" hidden="1">
      <c r="A192" s="140">
        <v>6867.0</v>
      </c>
      <c r="B192" s="139" t="s">
        <v>416</v>
      </c>
      <c r="C192" s="139" t="s">
        <v>567</v>
      </c>
      <c r="D192" s="139" t="s">
        <v>508</v>
      </c>
      <c r="E192" s="139" t="s">
        <v>480</v>
      </c>
      <c r="F192" s="139" t="s">
        <v>490</v>
      </c>
      <c r="G192" s="140">
        <v>1.0</v>
      </c>
      <c r="H192" s="140">
        <v>8.0</v>
      </c>
      <c r="I192" s="140">
        <v>8.0</v>
      </c>
      <c r="J192" s="141">
        <f>VLOOKUP(A192,Gestionale_!A:A,1,0)</f>
        <v>6867</v>
      </c>
    </row>
    <row r="193" hidden="1">
      <c r="A193" s="140">
        <v>6896.0</v>
      </c>
      <c r="B193" s="139" t="s">
        <v>417</v>
      </c>
      <c r="C193" s="139" t="s">
        <v>567</v>
      </c>
      <c r="D193" s="139" t="s">
        <v>508</v>
      </c>
      <c r="E193" s="139" t="s">
        <v>480</v>
      </c>
      <c r="F193" s="139" t="s">
        <v>520</v>
      </c>
      <c r="G193" s="140">
        <v>1.0</v>
      </c>
      <c r="H193" s="140">
        <v>3.0</v>
      </c>
      <c r="I193" s="140">
        <v>3.0</v>
      </c>
      <c r="J193" s="141">
        <f>VLOOKUP(A193,Gestionale_!A:A,1,0)</f>
        <v>6896</v>
      </c>
    </row>
    <row r="194" hidden="1">
      <c r="A194" s="140">
        <v>5513.0</v>
      </c>
      <c r="B194" s="139" t="s">
        <v>250</v>
      </c>
      <c r="C194" s="139" t="s">
        <v>567</v>
      </c>
      <c r="D194" s="139" t="s">
        <v>479</v>
      </c>
      <c r="E194" s="139" t="s">
        <v>480</v>
      </c>
      <c r="F194" s="139" t="s">
        <v>521</v>
      </c>
      <c r="G194" s="140">
        <v>161.0</v>
      </c>
      <c r="H194" s="140">
        <v>10.0</v>
      </c>
      <c r="I194" s="140">
        <v>9.0</v>
      </c>
      <c r="J194" s="141">
        <f>VLOOKUP(A194,Gestionale_!A:A,1,0)</f>
        <v>5513</v>
      </c>
    </row>
    <row r="195" hidden="1">
      <c r="A195" s="140">
        <v>4887.0</v>
      </c>
      <c r="B195" s="139" t="s">
        <v>391</v>
      </c>
      <c r="C195" s="139" t="s">
        <v>567</v>
      </c>
      <c r="D195" s="139" t="s">
        <v>515</v>
      </c>
      <c r="E195" s="139" t="s">
        <v>480</v>
      </c>
      <c r="F195" s="139" t="s">
        <v>521</v>
      </c>
      <c r="G195" s="140">
        <v>53.0</v>
      </c>
      <c r="H195" s="140">
        <v>6.0</v>
      </c>
      <c r="I195" s="140">
        <v>7.0</v>
      </c>
      <c r="J195" s="141">
        <f>VLOOKUP(A195,Gestionale_!A:A,1,0)</f>
        <v>4887</v>
      </c>
    </row>
    <row r="196" hidden="1">
      <c r="A196" s="140">
        <v>6917.0</v>
      </c>
      <c r="B196" s="139" t="s">
        <v>403</v>
      </c>
      <c r="C196" s="139" t="s">
        <v>567</v>
      </c>
      <c r="D196" s="139" t="s">
        <v>491</v>
      </c>
      <c r="E196" s="139" t="s">
        <v>492</v>
      </c>
      <c r="F196" s="139" t="s">
        <v>493</v>
      </c>
      <c r="G196" s="140">
        <v>1.0</v>
      </c>
      <c r="H196" s="140">
        <v>5.0</v>
      </c>
      <c r="I196" s="140">
        <v>5.0</v>
      </c>
      <c r="J196" s="141">
        <f>VLOOKUP(A196,Gestionale_!A:A,1,0)</f>
        <v>6917</v>
      </c>
    </row>
    <row r="197" hidden="1">
      <c r="A197" s="140">
        <v>6151.0</v>
      </c>
      <c r="B197" s="139" t="s">
        <v>88</v>
      </c>
      <c r="C197" s="139" t="s">
        <v>567</v>
      </c>
      <c r="D197" s="139" t="s">
        <v>508</v>
      </c>
      <c r="E197" s="139" t="s">
        <v>492</v>
      </c>
      <c r="F197" s="139" t="s">
        <v>493</v>
      </c>
      <c r="G197" s="140">
        <v>18.0</v>
      </c>
      <c r="H197" s="140">
        <v>16.0</v>
      </c>
      <c r="I197" s="140">
        <v>16.0</v>
      </c>
      <c r="J197" s="141">
        <f>VLOOKUP(A197,Gestionale_!A:A,1,0)</f>
        <v>6151</v>
      </c>
    </row>
    <row r="198" hidden="1">
      <c r="A198" s="140">
        <v>7208.0</v>
      </c>
      <c r="B198" s="139" t="s">
        <v>406</v>
      </c>
      <c r="C198" s="139" t="s">
        <v>567</v>
      </c>
      <c r="D198" s="139" t="s">
        <v>510</v>
      </c>
      <c r="E198" s="139" t="s">
        <v>492</v>
      </c>
      <c r="F198" s="139" t="s">
        <v>493</v>
      </c>
      <c r="G198" s="140">
        <v>19.0</v>
      </c>
      <c r="H198" s="140">
        <v>3.0</v>
      </c>
      <c r="I198" s="140">
        <v>3.0</v>
      </c>
      <c r="J198" s="141">
        <f>VLOOKUP(A198,Gestionale_!A:A,1,0)</f>
        <v>7208</v>
      </c>
    </row>
    <row r="199" hidden="1">
      <c r="A199" s="140">
        <v>4459.0</v>
      </c>
      <c r="B199" s="139" t="s">
        <v>313</v>
      </c>
      <c r="C199" s="139" t="s">
        <v>567</v>
      </c>
      <c r="D199" s="139" t="s">
        <v>505</v>
      </c>
      <c r="E199" s="139" t="s">
        <v>492</v>
      </c>
      <c r="F199" s="139" t="s">
        <v>493</v>
      </c>
      <c r="G199" s="140">
        <v>17.0</v>
      </c>
      <c r="H199" s="140">
        <v>4.0</v>
      </c>
      <c r="I199" s="140">
        <v>3.0</v>
      </c>
      <c r="J199" s="141">
        <f>VLOOKUP(A199,Gestionale_!A:A,1,0)</f>
        <v>4459</v>
      </c>
    </row>
    <row r="200" hidden="1">
      <c r="A200" s="140">
        <v>6666.0</v>
      </c>
      <c r="B200" s="139" t="s">
        <v>571</v>
      </c>
      <c r="C200" s="139" t="s">
        <v>567</v>
      </c>
      <c r="D200" s="139" t="s">
        <v>516</v>
      </c>
      <c r="E200" s="139" t="s">
        <v>492</v>
      </c>
      <c r="F200" s="139" t="s">
        <v>492</v>
      </c>
      <c r="G200" s="140">
        <v>1.0</v>
      </c>
      <c r="H200" s="140">
        <v>16.0</v>
      </c>
      <c r="I200" s="140">
        <v>16.0</v>
      </c>
      <c r="J200" s="141">
        <f>VLOOKUP(A200,Gestionale_!A:A,1,0)</f>
        <v>6666</v>
      </c>
    </row>
    <row r="201" hidden="1">
      <c r="A201" s="140">
        <v>5319.0</v>
      </c>
      <c r="B201" s="139" t="s">
        <v>270</v>
      </c>
      <c r="C201" s="139" t="s">
        <v>567</v>
      </c>
      <c r="D201" s="139" t="s">
        <v>534</v>
      </c>
      <c r="E201" s="139" t="s">
        <v>492</v>
      </c>
      <c r="F201" s="139" t="s">
        <v>492</v>
      </c>
      <c r="G201" s="140">
        <v>1.0</v>
      </c>
      <c r="H201" s="140">
        <v>4.0</v>
      </c>
      <c r="I201" s="140">
        <v>4.0</v>
      </c>
      <c r="J201" s="141">
        <f>VLOOKUP(A201,Gestionale_!A:A,1,0)</f>
        <v>5319</v>
      </c>
    </row>
    <row r="202">
      <c r="A202" s="140">
        <v>4777.0</v>
      </c>
      <c r="B202" s="139" t="s">
        <v>572</v>
      </c>
      <c r="C202" s="139" t="s">
        <v>567</v>
      </c>
      <c r="D202" s="139" t="s">
        <v>501</v>
      </c>
      <c r="E202" s="139" t="s">
        <v>492</v>
      </c>
      <c r="F202" s="139" t="s">
        <v>498</v>
      </c>
      <c r="G202" s="140">
        <v>0.0</v>
      </c>
      <c r="H202" s="140">
        <v>25.0</v>
      </c>
      <c r="I202" s="140">
        <v>25.0</v>
      </c>
      <c r="J202" s="141">
        <f>VLOOKUP(A202,Gestionale_!A:A,1,0)</f>
        <v>4777</v>
      </c>
    </row>
    <row r="203" hidden="1">
      <c r="A203" s="140">
        <v>6722.0</v>
      </c>
      <c r="B203" s="139" t="s">
        <v>398</v>
      </c>
      <c r="C203" s="139" t="s">
        <v>567</v>
      </c>
      <c r="D203" s="139" t="s">
        <v>491</v>
      </c>
      <c r="E203" s="139" t="s">
        <v>492</v>
      </c>
      <c r="F203" s="139" t="s">
        <v>502</v>
      </c>
      <c r="G203" s="140">
        <v>4.0</v>
      </c>
      <c r="H203" s="140">
        <v>2.0</v>
      </c>
      <c r="I203" s="140">
        <v>2.0</v>
      </c>
      <c r="J203" s="141">
        <f>VLOOKUP(A203,Gestionale_!A:A,1,0)</f>
        <v>6722</v>
      </c>
    </row>
    <row r="204" hidden="1">
      <c r="A204" s="140">
        <v>2517.0</v>
      </c>
      <c r="B204" s="139" t="s">
        <v>396</v>
      </c>
      <c r="C204" s="139" t="s">
        <v>567</v>
      </c>
      <c r="D204" s="139" t="s">
        <v>501</v>
      </c>
      <c r="E204" s="139" t="s">
        <v>492</v>
      </c>
      <c r="F204" s="139" t="s">
        <v>543</v>
      </c>
      <c r="G204" s="140">
        <v>185.0</v>
      </c>
      <c r="H204" s="140">
        <v>20.0</v>
      </c>
      <c r="I204" s="140">
        <v>20.0</v>
      </c>
      <c r="J204" s="141">
        <f>VLOOKUP(A204,Gestionale_!A:A,1,0)</f>
        <v>2517</v>
      </c>
    </row>
    <row r="205" hidden="1">
      <c r="A205" s="140">
        <v>5800.0</v>
      </c>
      <c r="B205" s="139" t="s">
        <v>437</v>
      </c>
      <c r="C205" s="139" t="s">
        <v>567</v>
      </c>
      <c r="D205" s="139" t="s">
        <v>534</v>
      </c>
      <c r="E205" s="139" t="s">
        <v>492</v>
      </c>
      <c r="F205" s="139" t="s">
        <v>509</v>
      </c>
      <c r="G205" s="140">
        <v>54.0</v>
      </c>
      <c r="H205" s="140">
        <v>17.0</v>
      </c>
      <c r="I205" s="140">
        <v>17.0</v>
      </c>
      <c r="J205" s="141">
        <f>VLOOKUP(A205,Gestionale_!A:A,1,0)</f>
        <v>5800</v>
      </c>
    </row>
    <row r="206" hidden="1">
      <c r="A206" s="140">
        <v>5637.0</v>
      </c>
      <c r="B206" s="139" t="s">
        <v>395</v>
      </c>
      <c r="C206" s="139" t="s">
        <v>567</v>
      </c>
      <c r="D206" s="139" t="s">
        <v>510</v>
      </c>
      <c r="E206" s="139" t="s">
        <v>507</v>
      </c>
      <c r="F206" s="139" t="s">
        <v>512</v>
      </c>
      <c r="G206" s="140">
        <v>11.0</v>
      </c>
      <c r="H206" s="140">
        <v>24.0</v>
      </c>
      <c r="I206" s="140">
        <v>24.0</v>
      </c>
      <c r="J206" s="141">
        <f>VLOOKUP(A206,Gestionale_!A:A,1,0)</f>
        <v>5637</v>
      </c>
    </row>
    <row r="207">
      <c r="A207" s="140">
        <v>6519.0</v>
      </c>
      <c r="B207" s="139" t="s">
        <v>573</v>
      </c>
      <c r="C207" s="139" t="s">
        <v>567</v>
      </c>
      <c r="D207" s="139" t="s">
        <v>506</v>
      </c>
      <c r="E207" s="139" t="s">
        <v>507</v>
      </c>
      <c r="F207" s="139" t="s">
        <v>512</v>
      </c>
      <c r="G207" s="140">
        <v>0.0</v>
      </c>
      <c r="H207" s="140">
        <v>4.0</v>
      </c>
      <c r="I207" s="140">
        <v>4.0</v>
      </c>
      <c r="J207" s="141">
        <f>VLOOKUP(A207,Gestionale_!A:A,1,0)</f>
        <v>6519</v>
      </c>
    </row>
    <row r="208" hidden="1">
      <c r="A208" s="140">
        <v>2155.0</v>
      </c>
      <c r="B208" s="139" t="s">
        <v>394</v>
      </c>
      <c r="C208" s="139" t="s">
        <v>567</v>
      </c>
      <c r="D208" s="139" t="s">
        <v>516</v>
      </c>
      <c r="E208" s="139" t="s">
        <v>507</v>
      </c>
      <c r="F208" s="139" t="s">
        <v>512</v>
      </c>
      <c r="G208" s="140">
        <v>12.0</v>
      </c>
      <c r="H208" s="140">
        <v>6.0</v>
      </c>
      <c r="I208" s="140">
        <v>6.0</v>
      </c>
      <c r="J208" s="141">
        <f>VLOOKUP(A208,Gestionale_!A:A,1,0)</f>
        <v>2155</v>
      </c>
    </row>
    <row r="209" hidden="1">
      <c r="A209" s="140">
        <v>6365.0</v>
      </c>
      <c r="B209" s="139" t="s">
        <v>397</v>
      </c>
      <c r="C209" s="139" t="s">
        <v>567</v>
      </c>
      <c r="D209" s="139" t="s">
        <v>484</v>
      </c>
      <c r="E209" s="139" t="s">
        <v>507</v>
      </c>
      <c r="F209" s="139" t="s">
        <v>512</v>
      </c>
      <c r="G209" s="140">
        <v>275.0</v>
      </c>
      <c r="H209" s="140">
        <v>16.0</v>
      </c>
      <c r="I209" s="140">
        <v>16.0</v>
      </c>
      <c r="J209" s="141">
        <f>VLOOKUP(A209,Gestionale_!A:A,1,0)</f>
        <v>6365</v>
      </c>
    </row>
    <row r="210" hidden="1">
      <c r="A210" s="140">
        <v>7183.0</v>
      </c>
      <c r="B210" s="139" t="s">
        <v>389</v>
      </c>
      <c r="C210" s="139" t="s">
        <v>567</v>
      </c>
      <c r="D210" s="139" t="s">
        <v>488</v>
      </c>
      <c r="E210" s="139" t="s">
        <v>507</v>
      </c>
      <c r="F210" s="139" t="s">
        <v>507</v>
      </c>
      <c r="G210" s="140">
        <v>6.0</v>
      </c>
      <c r="H210" s="140">
        <v>3.0</v>
      </c>
      <c r="I210" s="140">
        <v>3.0</v>
      </c>
      <c r="J210" s="141">
        <f>VLOOKUP(A210,Gestionale_!A:A,1,0)</f>
        <v>7183</v>
      </c>
    </row>
    <row r="211" hidden="1">
      <c r="A211" s="140">
        <v>4730.0</v>
      </c>
      <c r="B211" s="139" t="s">
        <v>400</v>
      </c>
      <c r="C211" s="139" t="s">
        <v>567</v>
      </c>
      <c r="D211" s="139" t="s">
        <v>515</v>
      </c>
      <c r="E211" s="139" t="s">
        <v>507</v>
      </c>
      <c r="F211" s="139" t="s">
        <v>507</v>
      </c>
      <c r="G211" s="140">
        <v>67.0</v>
      </c>
      <c r="H211" s="140">
        <v>14.0</v>
      </c>
      <c r="I211" s="140">
        <v>15.0</v>
      </c>
      <c r="J211" s="141">
        <f>VLOOKUP(A211,Gestionale_!A:A,1,0)</f>
        <v>4730</v>
      </c>
    </row>
    <row r="212" hidden="1">
      <c r="A212" s="140">
        <v>218.0</v>
      </c>
      <c r="B212" s="139" t="s">
        <v>311</v>
      </c>
      <c r="C212" s="139" t="s">
        <v>574</v>
      </c>
      <c r="D212" s="139" t="s">
        <v>483</v>
      </c>
      <c r="E212" s="139" t="s">
        <v>477</v>
      </c>
      <c r="F212" s="139" t="s">
        <v>478</v>
      </c>
      <c r="G212" s="140">
        <v>1.0</v>
      </c>
      <c r="H212" s="140">
        <v>3.0</v>
      </c>
      <c r="I212" s="140">
        <v>3.0</v>
      </c>
      <c r="J212" s="141">
        <f>VLOOKUP(A212,Gestionale_!A:A,1,0)</f>
        <v>218</v>
      </c>
    </row>
    <row r="213" hidden="1">
      <c r="A213" s="140">
        <v>7185.0</v>
      </c>
      <c r="B213" s="139" t="s">
        <v>309</v>
      </c>
      <c r="C213" s="139" t="s">
        <v>574</v>
      </c>
      <c r="D213" s="139" t="s">
        <v>510</v>
      </c>
      <c r="E213" s="139" t="s">
        <v>477</v>
      </c>
      <c r="F213" s="139" t="s">
        <v>478</v>
      </c>
      <c r="G213" s="140">
        <v>1.0</v>
      </c>
      <c r="H213" s="140">
        <v>1.0</v>
      </c>
      <c r="I213" s="140">
        <v>1.0</v>
      </c>
      <c r="J213" s="141">
        <f>VLOOKUP(A213,Gestionale_!A:A,1,0)</f>
        <v>7185</v>
      </c>
    </row>
    <row r="214">
      <c r="A214" s="140">
        <v>5876.0</v>
      </c>
      <c r="B214" s="139" t="s">
        <v>575</v>
      </c>
      <c r="C214" s="139" t="s">
        <v>574</v>
      </c>
      <c r="D214" s="139" t="s">
        <v>483</v>
      </c>
      <c r="E214" s="139" t="s">
        <v>477</v>
      </c>
      <c r="F214" s="139" t="s">
        <v>478</v>
      </c>
      <c r="G214" s="140">
        <v>0.0</v>
      </c>
      <c r="H214" s="140">
        <v>16.0</v>
      </c>
      <c r="I214" s="140">
        <v>16.0</v>
      </c>
      <c r="J214" s="141">
        <f>VLOOKUP(A214,Gestionale_!A:A,1,0)</f>
        <v>5876</v>
      </c>
    </row>
    <row r="215" hidden="1">
      <c r="A215" s="140">
        <v>6632.0</v>
      </c>
      <c r="B215" s="139" t="s">
        <v>300</v>
      </c>
      <c r="C215" s="139" t="s">
        <v>574</v>
      </c>
      <c r="D215" s="139" t="s">
        <v>506</v>
      </c>
      <c r="E215" s="139" t="s">
        <v>480</v>
      </c>
      <c r="F215" s="139" t="s">
        <v>481</v>
      </c>
      <c r="G215" s="140">
        <v>11.0</v>
      </c>
      <c r="H215" s="140">
        <v>4.0</v>
      </c>
      <c r="I215" s="140">
        <v>4.0</v>
      </c>
      <c r="J215" s="141">
        <f>VLOOKUP(A215,Gestionale_!A:A,1,0)</f>
        <v>6632</v>
      </c>
    </row>
    <row r="216" hidden="1">
      <c r="A216" s="140">
        <v>4751.0</v>
      </c>
      <c r="B216" s="139" t="s">
        <v>318</v>
      </c>
      <c r="C216" s="139" t="s">
        <v>574</v>
      </c>
      <c r="D216" s="139" t="s">
        <v>476</v>
      </c>
      <c r="E216" s="139" t="s">
        <v>480</v>
      </c>
      <c r="F216" s="139" t="s">
        <v>481</v>
      </c>
      <c r="G216" s="140">
        <v>15.0</v>
      </c>
      <c r="H216" s="140">
        <v>7.0</v>
      </c>
      <c r="I216" s="140">
        <v>7.0</v>
      </c>
      <c r="J216" s="141">
        <f>VLOOKUP(A216,Gestionale_!A:A,1,0)</f>
        <v>4751</v>
      </c>
    </row>
    <row r="217" hidden="1">
      <c r="A217" s="140">
        <v>5833.0</v>
      </c>
      <c r="B217" s="139" t="s">
        <v>301</v>
      </c>
      <c r="C217" s="139" t="s">
        <v>574</v>
      </c>
      <c r="D217" s="139" t="s">
        <v>505</v>
      </c>
      <c r="E217" s="139" t="s">
        <v>480</v>
      </c>
      <c r="F217" s="139" t="s">
        <v>481</v>
      </c>
      <c r="G217" s="140">
        <v>25.0</v>
      </c>
      <c r="H217" s="140">
        <v>8.0</v>
      </c>
      <c r="I217" s="140">
        <v>8.0</v>
      </c>
      <c r="J217" s="141">
        <f>VLOOKUP(A217,Gestionale_!A:A,1,0)</f>
        <v>5833</v>
      </c>
    </row>
    <row r="218" hidden="1">
      <c r="A218" s="140">
        <v>5514.0</v>
      </c>
      <c r="B218" s="139" t="s">
        <v>319</v>
      </c>
      <c r="C218" s="139" t="s">
        <v>574</v>
      </c>
      <c r="D218" s="139" t="s">
        <v>491</v>
      </c>
      <c r="E218" s="139" t="s">
        <v>480</v>
      </c>
      <c r="F218" s="139" t="s">
        <v>487</v>
      </c>
      <c r="G218" s="140">
        <v>32.0</v>
      </c>
      <c r="H218" s="140">
        <v>10.0</v>
      </c>
      <c r="I218" s="140">
        <v>10.0</v>
      </c>
      <c r="J218" s="141">
        <f>VLOOKUP(A218,Gestionale_!A:A,1,0)</f>
        <v>5514</v>
      </c>
    </row>
    <row r="219" hidden="1">
      <c r="A219" s="140">
        <v>5739.0</v>
      </c>
      <c r="B219" s="139" t="s">
        <v>293</v>
      </c>
      <c r="C219" s="139" t="s">
        <v>574</v>
      </c>
      <c r="D219" s="139" t="s">
        <v>476</v>
      </c>
      <c r="E219" s="139" t="s">
        <v>480</v>
      </c>
      <c r="F219" s="139" t="s">
        <v>556</v>
      </c>
      <c r="G219" s="140">
        <v>1.0</v>
      </c>
      <c r="H219" s="140">
        <v>4.0</v>
      </c>
      <c r="I219" s="140">
        <v>4.0</v>
      </c>
      <c r="J219" s="141">
        <f>VLOOKUP(A219,Gestionale_!A:A,1,0)</f>
        <v>5739</v>
      </c>
    </row>
    <row r="220" hidden="1">
      <c r="A220" s="140">
        <v>4976.0</v>
      </c>
      <c r="B220" s="139" t="s">
        <v>304</v>
      </c>
      <c r="C220" s="139" t="s">
        <v>574</v>
      </c>
      <c r="D220" s="139" t="s">
        <v>483</v>
      </c>
      <c r="E220" s="139" t="s">
        <v>480</v>
      </c>
      <c r="F220" s="139" t="s">
        <v>556</v>
      </c>
      <c r="G220" s="140">
        <v>31.0</v>
      </c>
      <c r="H220" s="140">
        <v>12.0</v>
      </c>
      <c r="I220" s="140">
        <v>12.0</v>
      </c>
      <c r="J220" s="141">
        <f>VLOOKUP(A220,Gestionale_!A:A,1,0)</f>
        <v>4976</v>
      </c>
    </row>
    <row r="221" hidden="1">
      <c r="A221" s="140">
        <v>6039.0</v>
      </c>
      <c r="B221" s="139" t="s">
        <v>290</v>
      </c>
      <c r="C221" s="139" t="s">
        <v>574</v>
      </c>
      <c r="D221" s="139" t="s">
        <v>483</v>
      </c>
      <c r="E221" s="139" t="s">
        <v>480</v>
      </c>
      <c r="F221" s="139" t="s">
        <v>489</v>
      </c>
      <c r="G221" s="140">
        <v>5.0</v>
      </c>
      <c r="H221" s="140">
        <v>9.0</v>
      </c>
      <c r="I221" s="140">
        <v>9.0</v>
      </c>
      <c r="J221" s="141">
        <f>VLOOKUP(A221,Gestionale_!A:A,1,0)</f>
        <v>6039</v>
      </c>
    </row>
    <row r="222" hidden="1">
      <c r="A222" s="140">
        <v>5812.0</v>
      </c>
      <c r="B222" s="139" t="s">
        <v>316</v>
      </c>
      <c r="C222" s="139" t="s">
        <v>574</v>
      </c>
      <c r="D222" s="139" t="s">
        <v>485</v>
      </c>
      <c r="E222" s="139" t="s">
        <v>480</v>
      </c>
      <c r="F222" s="139" t="s">
        <v>518</v>
      </c>
      <c r="G222" s="140">
        <v>15.0</v>
      </c>
      <c r="H222" s="140">
        <v>11.0</v>
      </c>
      <c r="I222" s="140">
        <v>11.0</v>
      </c>
      <c r="J222" s="141">
        <f>VLOOKUP(A222,Gestionale_!A:A,1,0)</f>
        <v>5812</v>
      </c>
    </row>
    <row r="223" hidden="1">
      <c r="A223" s="140">
        <v>5427.0</v>
      </c>
      <c r="B223" s="139" t="s">
        <v>302</v>
      </c>
      <c r="C223" s="139" t="s">
        <v>574</v>
      </c>
      <c r="D223" s="139" t="s">
        <v>501</v>
      </c>
      <c r="E223" s="139" t="s">
        <v>480</v>
      </c>
      <c r="F223" s="139" t="s">
        <v>490</v>
      </c>
      <c r="G223" s="140">
        <v>1.0</v>
      </c>
      <c r="H223" s="140">
        <v>3.0</v>
      </c>
      <c r="I223" s="140">
        <v>3.0</v>
      </c>
      <c r="J223" s="141">
        <f>VLOOKUP(A223,Gestionale_!A:A,1,0)</f>
        <v>5427</v>
      </c>
    </row>
    <row r="224" hidden="1">
      <c r="A224" s="140">
        <v>5678.0</v>
      </c>
      <c r="B224" s="139" t="s">
        <v>303</v>
      </c>
      <c r="C224" s="139" t="s">
        <v>574</v>
      </c>
      <c r="D224" s="139" t="s">
        <v>511</v>
      </c>
      <c r="E224" s="139" t="s">
        <v>480</v>
      </c>
      <c r="F224" s="139" t="s">
        <v>520</v>
      </c>
      <c r="G224" s="140">
        <v>1.0</v>
      </c>
      <c r="H224" s="140">
        <v>13.0</v>
      </c>
      <c r="I224" s="140">
        <v>13.0</v>
      </c>
      <c r="J224" s="141">
        <f>VLOOKUP(A224,Gestionale_!A:A,1,0)</f>
        <v>5678</v>
      </c>
    </row>
    <row r="225" hidden="1">
      <c r="A225" s="140">
        <v>5298.0</v>
      </c>
      <c r="B225" s="139" t="s">
        <v>312</v>
      </c>
      <c r="C225" s="139" t="s">
        <v>574</v>
      </c>
      <c r="D225" s="139" t="s">
        <v>511</v>
      </c>
      <c r="E225" s="139" t="s">
        <v>492</v>
      </c>
      <c r="F225" s="139" t="s">
        <v>493</v>
      </c>
      <c r="G225" s="140">
        <v>1.0</v>
      </c>
      <c r="H225" s="140">
        <v>11.0</v>
      </c>
      <c r="I225" s="140">
        <v>11.0</v>
      </c>
      <c r="J225" s="141">
        <f>VLOOKUP(A225,Gestionale_!A:A,1,0)</f>
        <v>5298</v>
      </c>
    </row>
    <row r="226">
      <c r="A226" s="140">
        <v>5562.0</v>
      </c>
      <c r="B226" s="139" t="s">
        <v>576</v>
      </c>
      <c r="C226" s="139" t="s">
        <v>574</v>
      </c>
      <c r="D226" s="139" t="s">
        <v>483</v>
      </c>
      <c r="E226" s="139" t="s">
        <v>492</v>
      </c>
      <c r="F226" s="139" t="s">
        <v>493</v>
      </c>
      <c r="G226" s="140">
        <v>0.0</v>
      </c>
      <c r="H226" s="140">
        <v>13.0</v>
      </c>
      <c r="I226" s="140">
        <v>14.0</v>
      </c>
      <c r="J226" s="141">
        <f>VLOOKUP(A226,Gestionale_!A:A,1,0)</f>
        <v>5562</v>
      </c>
    </row>
    <row r="227" hidden="1">
      <c r="A227" s="140">
        <v>827.0</v>
      </c>
      <c r="B227" s="139" t="s">
        <v>307</v>
      </c>
      <c r="C227" s="139" t="s">
        <v>574</v>
      </c>
      <c r="D227" s="139" t="s">
        <v>483</v>
      </c>
      <c r="E227" s="139" t="s">
        <v>492</v>
      </c>
      <c r="F227" s="139" t="s">
        <v>493</v>
      </c>
      <c r="G227" s="140">
        <v>1.0</v>
      </c>
      <c r="H227" s="140">
        <v>13.0</v>
      </c>
      <c r="I227" s="140">
        <v>14.0</v>
      </c>
      <c r="J227" s="141">
        <f>VLOOKUP(A227,Gestionale_!A:A,1,0)</f>
        <v>827</v>
      </c>
    </row>
    <row r="228" hidden="1">
      <c r="A228" s="140">
        <v>6908.0</v>
      </c>
      <c r="B228" s="139" t="s">
        <v>287</v>
      </c>
      <c r="C228" s="139" t="s">
        <v>574</v>
      </c>
      <c r="D228" s="139" t="s">
        <v>510</v>
      </c>
      <c r="E228" s="139" t="s">
        <v>492</v>
      </c>
      <c r="F228" s="139" t="s">
        <v>492</v>
      </c>
      <c r="G228" s="140">
        <v>57.0</v>
      </c>
      <c r="H228" s="140">
        <v>16.0</v>
      </c>
      <c r="I228" s="140">
        <v>16.0</v>
      </c>
      <c r="J228" s="141">
        <f>VLOOKUP(A228,Gestionale_!A:A,1,0)</f>
        <v>6908</v>
      </c>
    </row>
    <row r="229">
      <c r="A229" s="140">
        <v>5685.0</v>
      </c>
      <c r="B229" s="139" t="s">
        <v>577</v>
      </c>
      <c r="C229" s="139" t="s">
        <v>574</v>
      </c>
      <c r="D229" s="139" t="s">
        <v>483</v>
      </c>
      <c r="E229" s="139" t="s">
        <v>492</v>
      </c>
      <c r="F229" s="139" t="s">
        <v>498</v>
      </c>
      <c r="G229" s="140">
        <v>0.0</v>
      </c>
      <c r="H229" s="140">
        <v>5.0</v>
      </c>
      <c r="I229" s="140">
        <v>5.0</v>
      </c>
      <c r="J229" s="141">
        <f>VLOOKUP(A229,Gestionale_!A:A,1,0)</f>
        <v>5685</v>
      </c>
    </row>
    <row r="230" hidden="1">
      <c r="A230" s="140">
        <v>6629.0</v>
      </c>
      <c r="B230" s="139" t="s">
        <v>294</v>
      </c>
      <c r="C230" s="139" t="s">
        <v>574</v>
      </c>
      <c r="D230" s="139" t="s">
        <v>505</v>
      </c>
      <c r="E230" s="139" t="s">
        <v>492</v>
      </c>
      <c r="F230" s="139" t="s">
        <v>498</v>
      </c>
      <c r="G230" s="140">
        <v>1.0</v>
      </c>
      <c r="H230" s="140">
        <v>3.0</v>
      </c>
      <c r="I230" s="140">
        <v>3.0</v>
      </c>
      <c r="J230" s="141">
        <f>VLOOKUP(A230,Gestionale_!A:A,1,0)</f>
        <v>6629</v>
      </c>
    </row>
    <row r="231" hidden="1">
      <c r="A231" s="140">
        <v>5561.0</v>
      </c>
      <c r="B231" s="139" t="s">
        <v>315</v>
      </c>
      <c r="C231" s="139" t="s">
        <v>574</v>
      </c>
      <c r="D231" s="139" t="s">
        <v>486</v>
      </c>
      <c r="E231" s="139" t="s">
        <v>492</v>
      </c>
      <c r="F231" s="139" t="s">
        <v>502</v>
      </c>
      <c r="G231" s="140">
        <v>1.0</v>
      </c>
      <c r="H231" s="140">
        <v>1.0</v>
      </c>
      <c r="I231" s="140">
        <v>1.0</v>
      </c>
      <c r="J231" s="141">
        <f>VLOOKUP(A231,Gestionale_!A:A,1,0)</f>
        <v>5561</v>
      </c>
    </row>
    <row r="232" hidden="1">
      <c r="A232" s="140">
        <v>6984.0</v>
      </c>
      <c r="B232" s="139" t="s">
        <v>310</v>
      </c>
      <c r="C232" s="139" t="s">
        <v>574</v>
      </c>
      <c r="D232" s="139" t="s">
        <v>516</v>
      </c>
      <c r="E232" s="139" t="s">
        <v>492</v>
      </c>
      <c r="F232" s="139" t="s">
        <v>504</v>
      </c>
      <c r="G232" s="140">
        <v>3.0</v>
      </c>
      <c r="H232" s="140">
        <v>5.0</v>
      </c>
      <c r="I232" s="140">
        <v>5.0</v>
      </c>
      <c r="J232" s="141">
        <f>VLOOKUP(A232,Gestionale_!A:A,1,0)</f>
        <v>6984</v>
      </c>
    </row>
    <row r="233" hidden="1">
      <c r="A233" s="140">
        <v>4364.0</v>
      </c>
      <c r="B233" s="139" t="s">
        <v>299</v>
      </c>
      <c r="C233" s="139" t="s">
        <v>574</v>
      </c>
      <c r="D233" s="139" t="s">
        <v>496</v>
      </c>
      <c r="E233" s="139" t="s">
        <v>492</v>
      </c>
      <c r="F233" s="139" t="s">
        <v>543</v>
      </c>
      <c r="G233" s="140">
        <v>8.0</v>
      </c>
      <c r="H233" s="140">
        <v>14.0</v>
      </c>
      <c r="I233" s="140">
        <v>14.0</v>
      </c>
      <c r="J233" s="141">
        <f>VLOOKUP(A233,Gestionale_!A:A,1,0)</f>
        <v>4364</v>
      </c>
    </row>
    <row r="234" hidden="1">
      <c r="A234" s="140">
        <v>449.0</v>
      </c>
      <c r="B234" s="139" t="s">
        <v>320</v>
      </c>
      <c r="C234" s="139" t="s">
        <v>574</v>
      </c>
      <c r="D234" s="139" t="s">
        <v>485</v>
      </c>
      <c r="E234" s="139" t="s">
        <v>492</v>
      </c>
      <c r="F234" s="139" t="s">
        <v>509</v>
      </c>
      <c r="G234" s="140">
        <v>25.0</v>
      </c>
      <c r="H234" s="140">
        <v>14.0</v>
      </c>
      <c r="I234" s="140">
        <v>14.0</v>
      </c>
      <c r="J234" s="141">
        <f>VLOOKUP(A234,Gestionale_!A:A,1,0)</f>
        <v>449</v>
      </c>
    </row>
    <row r="235">
      <c r="A235" s="140">
        <v>6572.0</v>
      </c>
      <c r="B235" s="139" t="s">
        <v>578</v>
      </c>
      <c r="C235" s="139" t="s">
        <v>574</v>
      </c>
      <c r="D235" s="139" t="s">
        <v>511</v>
      </c>
      <c r="E235" s="139" t="s">
        <v>507</v>
      </c>
      <c r="F235" s="139" t="s">
        <v>512</v>
      </c>
      <c r="G235" s="140">
        <v>0.0</v>
      </c>
      <c r="H235" s="140">
        <v>24.0</v>
      </c>
      <c r="I235" s="140">
        <v>24.0</v>
      </c>
      <c r="J235" s="141">
        <f>VLOOKUP(A235,Gestionale_!A:A,1,0)</f>
        <v>6572</v>
      </c>
    </row>
    <row r="236" hidden="1">
      <c r="A236" s="140">
        <v>5672.0</v>
      </c>
      <c r="B236" s="139" t="s">
        <v>296</v>
      </c>
      <c r="C236" s="139" t="s">
        <v>574</v>
      </c>
      <c r="D236" s="139" t="s">
        <v>505</v>
      </c>
      <c r="E236" s="139" t="s">
        <v>507</v>
      </c>
      <c r="F236" s="139" t="s">
        <v>512</v>
      </c>
      <c r="G236" s="140">
        <v>1.0</v>
      </c>
      <c r="H236" s="140">
        <v>5.0</v>
      </c>
      <c r="I236" s="140">
        <v>5.0</v>
      </c>
      <c r="J236" s="141">
        <f>VLOOKUP(A236,Gestionale_!A:A,1,0)</f>
        <v>5672</v>
      </c>
    </row>
    <row r="237">
      <c r="A237" s="139" t="s">
        <v>499</v>
      </c>
      <c r="B237" s="139" t="s">
        <v>579</v>
      </c>
      <c r="C237" s="139" t="s">
        <v>574</v>
      </c>
      <c r="D237" s="142"/>
      <c r="E237" s="139" t="s">
        <v>507</v>
      </c>
      <c r="F237" s="139" t="s">
        <v>507</v>
      </c>
      <c r="G237" s="140">
        <v>0.0</v>
      </c>
      <c r="H237" s="140">
        <v>4.0</v>
      </c>
      <c r="I237" s="140">
        <v>4.0</v>
      </c>
      <c r="J237" s="141" t="str">
        <f>VLOOKUP(A237,Gestionale_!A:A,1,0)</f>
        <v>#N/A</v>
      </c>
    </row>
    <row r="238" hidden="1">
      <c r="A238" s="140">
        <v>5734.0</v>
      </c>
      <c r="B238" s="139" t="s">
        <v>580</v>
      </c>
      <c r="C238" s="139" t="s">
        <v>574</v>
      </c>
      <c r="D238" s="139" t="s">
        <v>484</v>
      </c>
      <c r="E238" s="139" t="s">
        <v>507</v>
      </c>
      <c r="F238" s="139" t="s">
        <v>507</v>
      </c>
      <c r="G238" s="140">
        <v>201.0</v>
      </c>
      <c r="H238" s="140">
        <v>26.0</v>
      </c>
      <c r="I238" s="140">
        <v>26.0</v>
      </c>
      <c r="J238" s="141">
        <f>VLOOKUP(A238,Gestionale_!A:A,1,0)</f>
        <v>5734</v>
      </c>
    </row>
    <row r="239" hidden="1">
      <c r="A239" s="140">
        <v>6145.0</v>
      </c>
      <c r="B239" s="139" t="s">
        <v>308</v>
      </c>
      <c r="C239" s="139" t="s">
        <v>574</v>
      </c>
      <c r="D239" s="139" t="s">
        <v>488</v>
      </c>
      <c r="E239" s="139" t="s">
        <v>507</v>
      </c>
      <c r="F239" s="139" t="s">
        <v>507</v>
      </c>
      <c r="G239" s="140">
        <v>1.0</v>
      </c>
      <c r="H239" s="140">
        <v>9.0</v>
      </c>
      <c r="I239" s="140">
        <v>9.0</v>
      </c>
      <c r="J239" s="141">
        <f>VLOOKUP(A239,Gestionale_!A:A,1,0)</f>
        <v>6145</v>
      </c>
    </row>
    <row r="240">
      <c r="A240" s="140">
        <v>4510.0</v>
      </c>
      <c r="B240" s="139" t="s">
        <v>581</v>
      </c>
      <c r="C240" s="139" t="s">
        <v>574</v>
      </c>
      <c r="D240" s="139" t="s">
        <v>476</v>
      </c>
      <c r="E240" s="139" t="s">
        <v>507</v>
      </c>
      <c r="F240" s="139" t="s">
        <v>507</v>
      </c>
      <c r="G240" s="140">
        <v>0.0</v>
      </c>
      <c r="H240" s="140">
        <v>30.0</v>
      </c>
      <c r="I240" s="140">
        <v>30.0</v>
      </c>
      <c r="J240" s="141">
        <f>VLOOKUP(A240,Gestionale_!A:A,1,0)</f>
        <v>4510</v>
      </c>
    </row>
    <row r="241">
      <c r="A241" s="140">
        <v>309.0</v>
      </c>
      <c r="B241" s="139" t="s">
        <v>582</v>
      </c>
      <c r="C241" s="139" t="s">
        <v>574</v>
      </c>
      <c r="D241" s="139" t="s">
        <v>484</v>
      </c>
      <c r="E241" s="139" t="s">
        <v>507</v>
      </c>
      <c r="F241" s="139" t="s">
        <v>507</v>
      </c>
      <c r="G241" s="140">
        <v>0.0</v>
      </c>
      <c r="H241" s="140">
        <v>13.0</v>
      </c>
      <c r="I241" s="140">
        <v>13.0</v>
      </c>
      <c r="J241" s="141">
        <f>VLOOKUP(A241,Gestionale_!A:A,1,0)</f>
        <v>309</v>
      </c>
    </row>
    <row r="242" hidden="1">
      <c r="A242" s="140">
        <v>2722.0</v>
      </c>
      <c r="B242" s="139" t="s">
        <v>78</v>
      </c>
      <c r="C242" s="139" t="s">
        <v>42</v>
      </c>
      <c r="D242" s="139" t="s">
        <v>511</v>
      </c>
      <c r="E242" s="139" t="s">
        <v>477</v>
      </c>
      <c r="F242" s="139" t="s">
        <v>478</v>
      </c>
      <c r="G242" s="140">
        <v>1.0</v>
      </c>
      <c r="H242" s="140">
        <v>12.0</v>
      </c>
      <c r="I242" s="140">
        <v>12.0</v>
      </c>
      <c r="J242" s="141">
        <f>VLOOKUP(A242,Gestionale_!A:A,1,0)</f>
        <v>2722</v>
      </c>
    </row>
    <row r="243" hidden="1">
      <c r="A243" s="140">
        <v>761.0</v>
      </c>
      <c r="B243" s="139" t="s">
        <v>47</v>
      </c>
      <c r="C243" s="139" t="s">
        <v>42</v>
      </c>
      <c r="D243" s="139" t="s">
        <v>485</v>
      </c>
      <c r="E243" s="139" t="s">
        <v>477</v>
      </c>
      <c r="F243" s="139" t="s">
        <v>478</v>
      </c>
      <c r="G243" s="140">
        <v>1.0</v>
      </c>
      <c r="H243" s="140">
        <v>15.0</v>
      </c>
      <c r="I243" s="140">
        <v>15.0</v>
      </c>
      <c r="J243" s="141">
        <f>VLOOKUP(A243,Gestionale_!A:A,1,0)</f>
        <v>761</v>
      </c>
    </row>
    <row r="244" hidden="1">
      <c r="A244" s="140">
        <v>133.0</v>
      </c>
      <c r="B244" s="139" t="s">
        <v>82</v>
      </c>
      <c r="C244" s="139" t="s">
        <v>42</v>
      </c>
      <c r="D244" s="139" t="s">
        <v>511</v>
      </c>
      <c r="E244" s="139" t="s">
        <v>477</v>
      </c>
      <c r="F244" s="139" t="s">
        <v>478</v>
      </c>
      <c r="G244" s="140">
        <v>34.0</v>
      </c>
      <c r="H244" s="140">
        <v>10.0</v>
      </c>
      <c r="I244" s="140">
        <v>10.0</v>
      </c>
      <c r="J244" s="141">
        <f>VLOOKUP(A244,Gestionale_!A:A,1,0)</f>
        <v>133</v>
      </c>
    </row>
    <row r="245" hidden="1">
      <c r="A245" s="140">
        <v>5603.0</v>
      </c>
      <c r="B245" s="139" t="s">
        <v>76</v>
      </c>
      <c r="C245" s="139" t="s">
        <v>42</v>
      </c>
      <c r="D245" s="139" t="s">
        <v>534</v>
      </c>
      <c r="E245" s="139" t="s">
        <v>480</v>
      </c>
      <c r="F245" s="139" t="s">
        <v>481</v>
      </c>
      <c r="G245" s="140">
        <v>10.0</v>
      </c>
      <c r="H245" s="140">
        <v>5.0</v>
      </c>
      <c r="I245" s="140">
        <v>5.0</v>
      </c>
      <c r="J245" s="141">
        <f>VLOOKUP(A245,Gestionale_!A:A,1,0)</f>
        <v>5603</v>
      </c>
    </row>
    <row r="246">
      <c r="A246" s="140">
        <v>2296.0</v>
      </c>
      <c r="B246" s="139" t="s">
        <v>583</v>
      </c>
      <c r="C246" s="139" t="s">
        <v>42</v>
      </c>
      <c r="D246" s="139" t="s">
        <v>484</v>
      </c>
      <c r="E246" s="139" t="s">
        <v>480</v>
      </c>
      <c r="F246" s="139" t="s">
        <v>481</v>
      </c>
      <c r="G246" s="140">
        <v>0.0</v>
      </c>
      <c r="H246" s="140">
        <v>10.0</v>
      </c>
      <c r="I246" s="140">
        <v>10.0</v>
      </c>
      <c r="J246" s="141">
        <f>VLOOKUP(A246,Gestionale_!A:A,1,0)</f>
        <v>2296</v>
      </c>
    </row>
    <row r="247" hidden="1">
      <c r="A247" s="140">
        <v>6042.0</v>
      </c>
      <c r="B247" s="139" t="s">
        <v>584</v>
      </c>
      <c r="C247" s="139" t="s">
        <v>42</v>
      </c>
      <c r="D247" s="139" t="s">
        <v>511</v>
      </c>
      <c r="E247" s="139" t="s">
        <v>480</v>
      </c>
      <c r="F247" s="139" t="s">
        <v>481</v>
      </c>
      <c r="G247" s="140">
        <v>17.0</v>
      </c>
      <c r="H247" s="140">
        <v>7.0</v>
      </c>
      <c r="I247" s="140">
        <v>7.0</v>
      </c>
      <c r="J247" s="141">
        <f>VLOOKUP(A247,Gestionale_!A:A,1,0)</f>
        <v>6042</v>
      </c>
    </row>
    <row r="248" hidden="1">
      <c r="A248" s="140">
        <v>6046.0</v>
      </c>
      <c r="B248" s="139" t="s">
        <v>63</v>
      </c>
      <c r="C248" s="139" t="s">
        <v>42</v>
      </c>
      <c r="D248" s="139" t="s">
        <v>515</v>
      </c>
      <c r="E248" s="139" t="s">
        <v>480</v>
      </c>
      <c r="F248" s="139" t="s">
        <v>481</v>
      </c>
      <c r="G248" s="140">
        <v>12.0</v>
      </c>
      <c r="H248" s="140">
        <v>7.0</v>
      </c>
      <c r="I248" s="140">
        <v>7.0</v>
      </c>
      <c r="J248" s="141">
        <f>VLOOKUP(A248,Gestionale_!A:A,1,0)</f>
        <v>6046</v>
      </c>
    </row>
    <row r="249" hidden="1">
      <c r="A249" s="140">
        <v>6495.0</v>
      </c>
      <c r="B249" s="139" t="s">
        <v>585</v>
      </c>
      <c r="C249" s="139" t="s">
        <v>42</v>
      </c>
      <c r="D249" s="139" t="s">
        <v>534</v>
      </c>
      <c r="E249" s="139" t="s">
        <v>480</v>
      </c>
      <c r="F249" s="139" t="s">
        <v>481</v>
      </c>
      <c r="G249" s="140">
        <v>1.0</v>
      </c>
      <c r="H249" s="140">
        <v>7.0</v>
      </c>
      <c r="I249" s="140">
        <v>7.0</v>
      </c>
      <c r="J249" s="141">
        <f>VLOOKUP(A249,Gestionale_!A:A,1,0)</f>
        <v>6495</v>
      </c>
    </row>
    <row r="250" hidden="1">
      <c r="A250" s="140">
        <v>4378.0</v>
      </c>
      <c r="B250" s="139" t="s">
        <v>77</v>
      </c>
      <c r="C250" s="139" t="s">
        <v>42</v>
      </c>
      <c r="D250" s="139" t="s">
        <v>534</v>
      </c>
      <c r="E250" s="139" t="s">
        <v>480</v>
      </c>
      <c r="F250" s="139" t="s">
        <v>487</v>
      </c>
      <c r="G250" s="140">
        <v>20.0</v>
      </c>
      <c r="H250" s="140">
        <v>7.0</v>
      </c>
      <c r="I250" s="140">
        <v>7.0</v>
      </c>
      <c r="J250" s="141">
        <f>VLOOKUP(A250,Gestionale_!A:A,1,0)</f>
        <v>4378</v>
      </c>
    </row>
    <row r="251" hidden="1">
      <c r="A251" s="140">
        <v>4461.0</v>
      </c>
      <c r="B251" s="139" t="s">
        <v>86</v>
      </c>
      <c r="C251" s="139" t="s">
        <v>42</v>
      </c>
      <c r="D251" s="139" t="s">
        <v>496</v>
      </c>
      <c r="E251" s="139" t="s">
        <v>480</v>
      </c>
      <c r="F251" s="139" t="s">
        <v>542</v>
      </c>
      <c r="G251" s="140">
        <v>23.0</v>
      </c>
      <c r="H251" s="140">
        <v>7.0</v>
      </c>
      <c r="I251" s="140">
        <v>7.0</v>
      </c>
      <c r="J251" s="141">
        <f>VLOOKUP(A251,Gestionale_!A:A,1,0)</f>
        <v>4461</v>
      </c>
    </row>
    <row r="252">
      <c r="A252" s="140">
        <v>4734.0</v>
      </c>
      <c r="B252" s="139" t="s">
        <v>586</v>
      </c>
      <c r="C252" s="139" t="s">
        <v>42</v>
      </c>
      <c r="D252" s="139" t="s">
        <v>511</v>
      </c>
      <c r="E252" s="139" t="s">
        <v>480</v>
      </c>
      <c r="F252" s="139" t="s">
        <v>490</v>
      </c>
      <c r="G252" s="140">
        <v>0.0</v>
      </c>
      <c r="H252" s="140">
        <v>11.0</v>
      </c>
      <c r="I252" s="140">
        <v>11.0</v>
      </c>
      <c r="J252" s="141">
        <f>VLOOKUP(A252,Gestionale_!A:A,1,0)</f>
        <v>4734</v>
      </c>
    </row>
    <row r="253" hidden="1">
      <c r="A253" s="140">
        <v>5851.0</v>
      </c>
      <c r="B253" s="139" t="s">
        <v>60</v>
      </c>
      <c r="C253" s="139" t="s">
        <v>42</v>
      </c>
      <c r="D253" s="139" t="s">
        <v>495</v>
      </c>
      <c r="E253" s="139" t="s">
        <v>480</v>
      </c>
      <c r="F253" s="139" t="s">
        <v>490</v>
      </c>
      <c r="G253" s="140">
        <v>9.0</v>
      </c>
      <c r="H253" s="140">
        <v>6.0</v>
      </c>
      <c r="I253" s="140">
        <v>6.0</v>
      </c>
      <c r="J253" s="141">
        <f>VLOOKUP(A253,Gestionale_!A:A,1,0)</f>
        <v>5851</v>
      </c>
    </row>
    <row r="254" hidden="1">
      <c r="A254" s="140">
        <v>6047.0</v>
      </c>
      <c r="B254" s="139" t="s">
        <v>61</v>
      </c>
      <c r="C254" s="139" t="s">
        <v>42</v>
      </c>
      <c r="D254" s="139" t="s">
        <v>510</v>
      </c>
      <c r="E254" s="139" t="s">
        <v>480</v>
      </c>
      <c r="F254" s="139" t="s">
        <v>520</v>
      </c>
      <c r="G254" s="140">
        <v>1.0</v>
      </c>
      <c r="H254" s="140">
        <v>3.0</v>
      </c>
      <c r="I254" s="140">
        <v>3.0</v>
      </c>
      <c r="J254" s="141">
        <f>VLOOKUP(A254,Gestionale_!A:A,1,0)</f>
        <v>6047</v>
      </c>
    </row>
    <row r="255" hidden="1">
      <c r="A255" s="140">
        <v>2816.0</v>
      </c>
      <c r="B255" s="139" t="s">
        <v>58</v>
      </c>
      <c r="C255" s="139" t="s">
        <v>42</v>
      </c>
      <c r="D255" s="139" t="s">
        <v>501</v>
      </c>
      <c r="E255" s="139" t="s">
        <v>480</v>
      </c>
      <c r="F255" s="139" t="s">
        <v>520</v>
      </c>
      <c r="G255" s="140">
        <v>76.0</v>
      </c>
      <c r="H255" s="140">
        <v>12.0</v>
      </c>
      <c r="I255" s="140">
        <v>12.0</v>
      </c>
      <c r="J255" s="141">
        <f>VLOOKUP(A255,Gestionale_!A:A,1,0)</f>
        <v>2816</v>
      </c>
    </row>
    <row r="256" hidden="1">
      <c r="A256" s="140">
        <v>4772.0</v>
      </c>
      <c r="B256" s="139" t="s">
        <v>44</v>
      </c>
      <c r="C256" s="139" t="s">
        <v>42</v>
      </c>
      <c r="D256" s="139" t="s">
        <v>484</v>
      </c>
      <c r="E256" s="139" t="s">
        <v>480</v>
      </c>
      <c r="F256" s="139" t="s">
        <v>521</v>
      </c>
      <c r="G256" s="140">
        <v>40.0</v>
      </c>
      <c r="H256" s="140">
        <v>7.0</v>
      </c>
      <c r="I256" s="140">
        <v>7.0</v>
      </c>
      <c r="J256" s="141">
        <f>VLOOKUP(A256,Gestionale_!A:A,1,0)</f>
        <v>4772</v>
      </c>
    </row>
    <row r="257" hidden="1">
      <c r="A257" s="140">
        <v>4892.0</v>
      </c>
      <c r="B257" s="139" t="s">
        <v>80</v>
      </c>
      <c r="C257" s="139" t="s">
        <v>42</v>
      </c>
      <c r="D257" s="139" t="s">
        <v>476</v>
      </c>
      <c r="E257" s="139" t="s">
        <v>492</v>
      </c>
      <c r="F257" s="139" t="s">
        <v>558</v>
      </c>
      <c r="G257" s="140">
        <v>65.0</v>
      </c>
      <c r="H257" s="140">
        <v>19.0</v>
      </c>
      <c r="I257" s="140">
        <v>20.0</v>
      </c>
      <c r="J257" s="141">
        <f>VLOOKUP(A257,Gestionale_!A:A,1,0)</f>
        <v>4892</v>
      </c>
    </row>
    <row r="258" hidden="1">
      <c r="A258" s="140">
        <v>5998.0</v>
      </c>
      <c r="B258" s="139" t="s">
        <v>87</v>
      </c>
      <c r="C258" s="139" t="s">
        <v>42</v>
      </c>
      <c r="D258" s="139" t="s">
        <v>485</v>
      </c>
      <c r="E258" s="139" t="s">
        <v>492</v>
      </c>
      <c r="F258" s="139" t="s">
        <v>558</v>
      </c>
      <c r="G258" s="140">
        <v>8.0</v>
      </c>
      <c r="H258" s="140">
        <v>6.0</v>
      </c>
      <c r="I258" s="140">
        <v>6.0</v>
      </c>
      <c r="J258" s="141">
        <f>VLOOKUP(A258,Gestionale_!A:A,1,0)</f>
        <v>5998</v>
      </c>
    </row>
    <row r="259" hidden="1">
      <c r="A259" s="140">
        <v>5422.0</v>
      </c>
      <c r="B259" s="139" t="s">
        <v>85</v>
      </c>
      <c r="C259" s="139" t="s">
        <v>42</v>
      </c>
      <c r="D259" s="139" t="s">
        <v>515</v>
      </c>
      <c r="E259" s="139" t="s">
        <v>492</v>
      </c>
      <c r="F259" s="139" t="s">
        <v>558</v>
      </c>
      <c r="G259" s="140">
        <v>31.0</v>
      </c>
      <c r="H259" s="140">
        <v>15.0</v>
      </c>
      <c r="I259" s="140">
        <v>15.0</v>
      </c>
      <c r="J259" s="141">
        <f>VLOOKUP(A259,Gestionale_!A:A,1,0)</f>
        <v>5422</v>
      </c>
    </row>
    <row r="260" hidden="1">
      <c r="A260" s="140">
        <v>22.0</v>
      </c>
      <c r="B260" s="139" t="s">
        <v>57</v>
      </c>
      <c r="C260" s="139" t="s">
        <v>42</v>
      </c>
      <c r="D260" s="139" t="s">
        <v>515</v>
      </c>
      <c r="E260" s="139" t="s">
        <v>492</v>
      </c>
      <c r="F260" s="139" t="s">
        <v>493</v>
      </c>
      <c r="G260" s="140">
        <v>25.0</v>
      </c>
      <c r="H260" s="140">
        <v>8.0</v>
      </c>
      <c r="I260" s="140">
        <v>8.0</v>
      </c>
      <c r="J260" s="141">
        <f>VLOOKUP(A260,Gestionale_!A:A,1,0)</f>
        <v>22</v>
      </c>
    </row>
    <row r="261" hidden="1">
      <c r="A261" s="140">
        <v>779.0</v>
      </c>
      <c r="B261" s="139" t="s">
        <v>53</v>
      </c>
      <c r="C261" s="139" t="s">
        <v>42</v>
      </c>
      <c r="D261" s="139" t="s">
        <v>484</v>
      </c>
      <c r="E261" s="139" t="s">
        <v>492</v>
      </c>
      <c r="F261" s="139" t="s">
        <v>493</v>
      </c>
      <c r="G261" s="140">
        <v>36.0</v>
      </c>
      <c r="H261" s="140">
        <v>12.0</v>
      </c>
      <c r="I261" s="140">
        <v>12.0</v>
      </c>
      <c r="J261" s="141">
        <f>VLOOKUP(A261,Gestionale_!A:A,1,0)</f>
        <v>779</v>
      </c>
    </row>
    <row r="262">
      <c r="A262" s="140">
        <v>5453.0</v>
      </c>
      <c r="B262" s="139" t="s">
        <v>587</v>
      </c>
      <c r="C262" s="139" t="s">
        <v>42</v>
      </c>
      <c r="D262" s="139" t="s">
        <v>476</v>
      </c>
      <c r="E262" s="139" t="s">
        <v>492</v>
      </c>
      <c r="F262" s="139" t="s">
        <v>493</v>
      </c>
      <c r="G262" s="140">
        <v>0.0</v>
      </c>
      <c r="H262" s="140">
        <v>13.0</v>
      </c>
      <c r="I262" s="140">
        <v>13.0</v>
      </c>
      <c r="J262" s="141">
        <f>VLOOKUP(A262,Gestionale_!A:A,1,0)</f>
        <v>5453</v>
      </c>
    </row>
    <row r="263">
      <c r="A263" s="140">
        <v>5850.0</v>
      </c>
      <c r="B263" s="139" t="s">
        <v>588</v>
      </c>
      <c r="C263" s="139" t="s">
        <v>42</v>
      </c>
      <c r="D263" s="139" t="s">
        <v>510</v>
      </c>
      <c r="E263" s="139" t="s">
        <v>492</v>
      </c>
      <c r="F263" s="139" t="s">
        <v>492</v>
      </c>
      <c r="G263" s="140">
        <v>0.0</v>
      </c>
      <c r="H263" s="140">
        <v>3.0</v>
      </c>
      <c r="I263" s="140">
        <v>3.0</v>
      </c>
      <c r="J263" s="141">
        <f>VLOOKUP(A263,Gestionale_!A:A,1,0)</f>
        <v>5850</v>
      </c>
    </row>
    <row r="264" hidden="1">
      <c r="A264" s="140">
        <v>5844.0</v>
      </c>
      <c r="B264" s="139" t="s">
        <v>83</v>
      </c>
      <c r="C264" s="139" t="s">
        <v>42</v>
      </c>
      <c r="D264" s="139" t="s">
        <v>495</v>
      </c>
      <c r="E264" s="139" t="s">
        <v>492</v>
      </c>
      <c r="F264" s="139" t="s">
        <v>498</v>
      </c>
      <c r="G264" s="140">
        <v>4.0</v>
      </c>
      <c r="H264" s="140">
        <v>12.0</v>
      </c>
      <c r="I264" s="140">
        <v>12.0</v>
      </c>
      <c r="J264" s="141">
        <f>VLOOKUP(A264,Gestionale_!A:A,1,0)</f>
        <v>5844</v>
      </c>
    </row>
    <row r="265" hidden="1">
      <c r="A265" s="140">
        <v>2077.0</v>
      </c>
      <c r="B265" s="139" t="s">
        <v>75</v>
      </c>
      <c r="C265" s="139" t="s">
        <v>42</v>
      </c>
      <c r="D265" s="139" t="s">
        <v>515</v>
      </c>
      <c r="E265" s="139" t="s">
        <v>492</v>
      </c>
      <c r="F265" s="139" t="s">
        <v>498</v>
      </c>
      <c r="G265" s="140">
        <v>34.0</v>
      </c>
      <c r="H265" s="140">
        <v>13.0</v>
      </c>
      <c r="I265" s="140">
        <v>13.0</v>
      </c>
      <c r="J265" s="141">
        <f>VLOOKUP(A265,Gestionale_!A:A,1,0)</f>
        <v>2077</v>
      </c>
    </row>
    <row r="266" hidden="1">
      <c r="A266" s="140">
        <v>184.0</v>
      </c>
      <c r="B266" s="139" t="s">
        <v>49</v>
      </c>
      <c r="C266" s="139" t="s">
        <v>42</v>
      </c>
      <c r="D266" s="139" t="s">
        <v>511</v>
      </c>
      <c r="E266" s="139" t="s">
        <v>492</v>
      </c>
      <c r="F266" s="139" t="s">
        <v>504</v>
      </c>
      <c r="G266" s="140">
        <v>4.0</v>
      </c>
      <c r="H266" s="140">
        <v>5.0</v>
      </c>
      <c r="I266" s="140">
        <v>5.0</v>
      </c>
      <c r="J266" s="141">
        <f>VLOOKUP(A266,Gestionale_!A:A,1,0)</f>
        <v>184</v>
      </c>
    </row>
    <row r="267">
      <c r="A267" s="140">
        <v>2765.0</v>
      </c>
      <c r="B267" s="139" t="s">
        <v>589</v>
      </c>
      <c r="C267" s="139" t="s">
        <v>42</v>
      </c>
      <c r="D267" s="139" t="s">
        <v>511</v>
      </c>
      <c r="E267" s="139" t="s">
        <v>492</v>
      </c>
      <c r="F267" s="139" t="s">
        <v>509</v>
      </c>
      <c r="G267" s="140">
        <v>0.0</v>
      </c>
      <c r="H267" s="140">
        <v>18.0</v>
      </c>
      <c r="I267" s="140">
        <v>18.0</v>
      </c>
      <c r="J267" s="141">
        <f>VLOOKUP(A267,Gestionale_!A:A,1,0)</f>
        <v>2765</v>
      </c>
    </row>
    <row r="268" hidden="1">
      <c r="A268" s="140">
        <v>5544.0</v>
      </c>
      <c r="B268" s="139" t="s">
        <v>54</v>
      </c>
      <c r="C268" s="139" t="s">
        <v>42</v>
      </c>
      <c r="D268" s="139" t="s">
        <v>483</v>
      </c>
      <c r="E268" s="139" t="s">
        <v>507</v>
      </c>
      <c r="F268" s="139" t="s">
        <v>512</v>
      </c>
      <c r="G268" s="140">
        <v>300.0</v>
      </c>
      <c r="H268" s="140">
        <v>13.0</v>
      </c>
      <c r="I268" s="140">
        <v>13.0</v>
      </c>
      <c r="J268" s="141">
        <f>VLOOKUP(A268,Gestionale_!A:A,1,0)</f>
        <v>5544</v>
      </c>
    </row>
    <row r="269" hidden="1">
      <c r="A269" s="140">
        <v>2841.0</v>
      </c>
      <c r="B269" s="139" t="s">
        <v>84</v>
      </c>
      <c r="C269" s="139" t="s">
        <v>42</v>
      </c>
      <c r="D269" s="139" t="s">
        <v>483</v>
      </c>
      <c r="E269" s="139" t="s">
        <v>507</v>
      </c>
      <c r="F269" s="139" t="s">
        <v>512</v>
      </c>
      <c r="G269" s="140">
        <v>190.0</v>
      </c>
      <c r="H269" s="140">
        <v>15.0</v>
      </c>
      <c r="I269" s="140">
        <v>15.0</v>
      </c>
      <c r="J269" s="141">
        <f>VLOOKUP(A269,Gestionale_!A:A,1,0)</f>
        <v>2841</v>
      </c>
    </row>
    <row r="270" hidden="1">
      <c r="A270" s="140">
        <v>4463.0</v>
      </c>
      <c r="B270" s="139" t="s">
        <v>62</v>
      </c>
      <c r="C270" s="139" t="s">
        <v>42</v>
      </c>
      <c r="D270" s="139" t="s">
        <v>496</v>
      </c>
      <c r="E270" s="139" t="s">
        <v>507</v>
      </c>
      <c r="F270" s="139" t="s">
        <v>507</v>
      </c>
      <c r="G270" s="140">
        <v>1.0</v>
      </c>
      <c r="H270" s="140">
        <v>16.0</v>
      </c>
      <c r="I270" s="140">
        <v>16.0</v>
      </c>
      <c r="J270" s="141">
        <f>VLOOKUP(A270,Gestionale_!A:A,1,0)</f>
        <v>4463</v>
      </c>
    </row>
    <row r="271" hidden="1">
      <c r="A271" s="140">
        <v>5995.0</v>
      </c>
      <c r="B271" s="139" t="s">
        <v>56</v>
      </c>
      <c r="C271" s="139" t="s">
        <v>42</v>
      </c>
      <c r="D271" s="139" t="s">
        <v>515</v>
      </c>
      <c r="E271" s="139" t="s">
        <v>507</v>
      </c>
      <c r="F271" s="139" t="s">
        <v>507</v>
      </c>
      <c r="G271" s="140">
        <v>72.0</v>
      </c>
      <c r="H271" s="140">
        <v>17.0</v>
      </c>
      <c r="I271" s="140">
        <v>17.0</v>
      </c>
      <c r="J271" s="141">
        <f>VLOOKUP(A271,Gestionale_!A:A,1,0)</f>
        <v>5995</v>
      </c>
    </row>
    <row r="272">
      <c r="A272" s="140">
        <v>2428.0</v>
      </c>
      <c r="B272" s="139" t="s">
        <v>590</v>
      </c>
      <c r="C272" s="139" t="s">
        <v>591</v>
      </c>
      <c r="D272" s="139" t="s">
        <v>479</v>
      </c>
      <c r="E272" s="139" t="s">
        <v>477</v>
      </c>
      <c r="F272" s="139" t="s">
        <v>478</v>
      </c>
      <c r="G272" s="140">
        <v>0.0</v>
      </c>
      <c r="H272" s="140">
        <v>14.0</v>
      </c>
      <c r="I272" s="140">
        <v>14.0</v>
      </c>
      <c r="J272" s="141">
        <f>VLOOKUP(A272,Gestionale_!A:A,1,0)</f>
        <v>2428</v>
      </c>
    </row>
    <row r="273">
      <c r="A273" s="140">
        <v>5116.0</v>
      </c>
      <c r="B273" s="139" t="s">
        <v>592</v>
      </c>
      <c r="C273" s="139" t="s">
        <v>591</v>
      </c>
      <c r="D273" s="139" t="s">
        <v>479</v>
      </c>
      <c r="E273" s="139" t="s">
        <v>477</v>
      </c>
      <c r="F273" s="139" t="s">
        <v>478</v>
      </c>
      <c r="G273" s="140">
        <v>0.0</v>
      </c>
      <c r="H273" s="140">
        <v>1.0</v>
      </c>
      <c r="I273" s="140">
        <v>1.0</v>
      </c>
      <c r="J273" s="141">
        <f>VLOOKUP(A273,Gestionale_!A:A,1,0)</f>
        <v>5116</v>
      </c>
    </row>
    <row r="274" hidden="1">
      <c r="A274" s="140">
        <v>5526.0</v>
      </c>
      <c r="B274" s="139" t="s">
        <v>593</v>
      </c>
      <c r="C274" s="139" t="s">
        <v>591</v>
      </c>
      <c r="D274" s="139" t="s">
        <v>515</v>
      </c>
      <c r="E274" s="139" t="s">
        <v>480</v>
      </c>
      <c r="F274" s="139" t="s">
        <v>481</v>
      </c>
      <c r="G274" s="140">
        <v>25.0</v>
      </c>
      <c r="H274" s="140">
        <v>12.0</v>
      </c>
      <c r="I274" s="140">
        <v>12.0</v>
      </c>
      <c r="J274" s="141">
        <f>VLOOKUP(A274,Gestionale_!A:A,1,0)</f>
        <v>5526</v>
      </c>
    </row>
    <row r="275" hidden="1">
      <c r="A275" s="140">
        <v>460.0</v>
      </c>
      <c r="B275" s="139" t="s">
        <v>380</v>
      </c>
      <c r="C275" s="139" t="s">
        <v>591</v>
      </c>
      <c r="D275" s="139" t="s">
        <v>505</v>
      </c>
      <c r="E275" s="139" t="s">
        <v>480</v>
      </c>
      <c r="F275" s="139" t="s">
        <v>481</v>
      </c>
      <c r="G275" s="140">
        <v>20.0</v>
      </c>
      <c r="H275" s="140">
        <v>8.0</v>
      </c>
      <c r="I275" s="140">
        <v>8.0</v>
      </c>
      <c r="J275" s="141">
        <f>VLOOKUP(A275,Gestionale_!A:A,1,0)</f>
        <v>460</v>
      </c>
    </row>
    <row r="276">
      <c r="A276" s="140">
        <v>6631.0</v>
      </c>
      <c r="B276" s="139" t="s">
        <v>594</v>
      </c>
      <c r="C276" s="139" t="s">
        <v>591</v>
      </c>
      <c r="D276" s="139" t="s">
        <v>484</v>
      </c>
      <c r="E276" s="139" t="s">
        <v>480</v>
      </c>
      <c r="F276" s="139" t="s">
        <v>481</v>
      </c>
      <c r="G276" s="140">
        <v>0.0</v>
      </c>
      <c r="H276" s="140">
        <v>4.0</v>
      </c>
      <c r="I276" s="140">
        <v>4.0</v>
      </c>
      <c r="J276" s="141">
        <f>VLOOKUP(A276,Gestionale_!A:A,1,0)</f>
        <v>6631</v>
      </c>
    </row>
    <row r="277">
      <c r="A277" s="140">
        <v>6809.0</v>
      </c>
      <c r="B277" s="139" t="s">
        <v>595</v>
      </c>
      <c r="C277" s="139" t="s">
        <v>591</v>
      </c>
      <c r="D277" s="139" t="s">
        <v>501</v>
      </c>
      <c r="E277" s="139" t="s">
        <v>480</v>
      </c>
      <c r="F277" s="139" t="s">
        <v>481</v>
      </c>
      <c r="G277" s="140">
        <v>0.0</v>
      </c>
      <c r="H277" s="140">
        <v>2.0</v>
      </c>
      <c r="I277" s="140">
        <v>2.0</v>
      </c>
      <c r="J277" s="141">
        <f>VLOOKUP(A277,Gestionale_!A:A,1,0)</f>
        <v>6809</v>
      </c>
    </row>
    <row r="278" hidden="1">
      <c r="A278" s="140">
        <v>393.0</v>
      </c>
      <c r="B278" s="139" t="s">
        <v>372</v>
      </c>
      <c r="C278" s="139" t="s">
        <v>591</v>
      </c>
      <c r="D278" s="139" t="s">
        <v>496</v>
      </c>
      <c r="E278" s="139" t="s">
        <v>480</v>
      </c>
      <c r="F278" s="139" t="s">
        <v>481</v>
      </c>
      <c r="G278" s="140">
        <v>1.0</v>
      </c>
      <c r="H278" s="140">
        <v>9.0</v>
      </c>
      <c r="I278" s="140">
        <v>9.0</v>
      </c>
      <c r="J278" s="141">
        <f>VLOOKUP(A278,Gestionale_!A:A,1,0)</f>
        <v>393</v>
      </c>
    </row>
    <row r="279" hidden="1">
      <c r="A279" s="140">
        <v>5831.0</v>
      </c>
      <c r="B279" s="139" t="s">
        <v>367</v>
      </c>
      <c r="C279" s="139" t="s">
        <v>591</v>
      </c>
      <c r="D279" s="139" t="s">
        <v>483</v>
      </c>
      <c r="E279" s="139" t="s">
        <v>480</v>
      </c>
      <c r="F279" s="139" t="s">
        <v>481</v>
      </c>
      <c r="G279" s="140">
        <v>12.0</v>
      </c>
      <c r="H279" s="140">
        <v>5.0</v>
      </c>
      <c r="I279" s="140">
        <v>5.0</v>
      </c>
      <c r="J279" s="141">
        <f>VLOOKUP(A279,Gestionale_!A:A,1,0)</f>
        <v>5831</v>
      </c>
    </row>
    <row r="280" hidden="1">
      <c r="A280" s="140">
        <v>6485.0</v>
      </c>
      <c r="B280" s="139" t="s">
        <v>371</v>
      </c>
      <c r="C280" s="139" t="s">
        <v>591</v>
      </c>
      <c r="D280" s="139" t="s">
        <v>510</v>
      </c>
      <c r="E280" s="139" t="s">
        <v>480</v>
      </c>
      <c r="F280" s="139" t="s">
        <v>556</v>
      </c>
      <c r="G280" s="140">
        <v>20.0</v>
      </c>
      <c r="H280" s="140">
        <v>7.0</v>
      </c>
      <c r="I280" s="140">
        <v>7.0</v>
      </c>
      <c r="J280" s="141">
        <f>VLOOKUP(A280,Gestionale_!A:A,1,0)</f>
        <v>6485</v>
      </c>
    </row>
    <row r="281" hidden="1">
      <c r="A281" s="140">
        <v>4657.0</v>
      </c>
      <c r="B281" s="139" t="s">
        <v>362</v>
      </c>
      <c r="C281" s="139" t="s">
        <v>591</v>
      </c>
      <c r="D281" s="139" t="s">
        <v>484</v>
      </c>
      <c r="E281" s="139" t="s">
        <v>480</v>
      </c>
      <c r="F281" s="139" t="s">
        <v>542</v>
      </c>
      <c r="G281" s="140">
        <v>1.0</v>
      </c>
      <c r="H281" s="140">
        <v>13.0</v>
      </c>
      <c r="I281" s="140">
        <v>13.0</v>
      </c>
      <c r="J281" s="141">
        <f>VLOOKUP(A281,Gestionale_!A:A,1,0)</f>
        <v>4657</v>
      </c>
    </row>
    <row r="282" hidden="1">
      <c r="A282" s="140">
        <v>1852.0</v>
      </c>
      <c r="B282" s="139" t="s">
        <v>146</v>
      </c>
      <c r="C282" s="139" t="s">
        <v>591</v>
      </c>
      <c r="D282" s="139" t="s">
        <v>501</v>
      </c>
      <c r="E282" s="139" t="s">
        <v>480</v>
      </c>
      <c r="F282" s="139" t="s">
        <v>490</v>
      </c>
      <c r="G282" s="140">
        <v>1.0</v>
      </c>
      <c r="H282" s="140">
        <v>20.0</v>
      </c>
      <c r="I282" s="140">
        <v>20.0</v>
      </c>
      <c r="J282" s="141">
        <f>VLOOKUP(A282,Gestionale_!A:A,1,0)</f>
        <v>1852</v>
      </c>
    </row>
    <row r="283" hidden="1">
      <c r="A283" s="140">
        <v>252.0</v>
      </c>
      <c r="B283" s="139" t="s">
        <v>596</v>
      </c>
      <c r="C283" s="139" t="s">
        <v>591</v>
      </c>
      <c r="D283" s="139" t="s">
        <v>488</v>
      </c>
      <c r="E283" s="139" t="s">
        <v>480</v>
      </c>
      <c r="F283" s="139" t="s">
        <v>490</v>
      </c>
      <c r="G283" s="140">
        <v>11.0</v>
      </c>
      <c r="H283" s="140">
        <v>3.0</v>
      </c>
      <c r="I283" s="140">
        <v>3.0</v>
      </c>
      <c r="J283" s="141">
        <f>VLOOKUP(A283,Gestionale_!A:A,1,0)</f>
        <v>252</v>
      </c>
    </row>
    <row r="284">
      <c r="A284" s="140">
        <v>254.0</v>
      </c>
      <c r="B284" s="139" t="s">
        <v>597</v>
      </c>
      <c r="C284" s="139" t="s">
        <v>591</v>
      </c>
      <c r="D284" s="139" t="s">
        <v>479</v>
      </c>
      <c r="E284" s="139" t="s">
        <v>480</v>
      </c>
      <c r="F284" s="139" t="s">
        <v>521</v>
      </c>
      <c r="G284" s="140">
        <v>0.0</v>
      </c>
      <c r="H284" s="140">
        <v>29.0</v>
      </c>
      <c r="I284" s="140">
        <v>29.0</v>
      </c>
      <c r="J284" s="141">
        <f>VLOOKUP(A284,Gestionale_!A:A,1,0)</f>
        <v>254</v>
      </c>
    </row>
    <row r="285" hidden="1">
      <c r="A285" s="140">
        <v>7132.0</v>
      </c>
      <c r="B285" s="139" t="s">
        <v>363</v>
      </c>
      <c r="C285" s="139" t="s">
        <v>591</v>
      </c>
      <c r="D285" s="139" t="s">
        <v>485</v>
      </c>
      <c r="E285" s="139" t="s">
        <v>492</v>
      </c>
      <c r="F285" s="139" t="s">
        <v>493</v>
      </c>
      <c r="G285" s="140">
        <v>9.0</v>
      </c>
      <c r="H285" s="140">
        <v>2.0</v>
      </c>
      <c r="I285" s="140">
        <v>2.0</v>
      </c>
      <c r="J285" s="141">
        <f>VLOOKUP(A285,Gestionale_!A:A,1,0)</f>
        <v>7132</v>
      </c>
    </row>
    <row r="286" hidden="1">
      <c r="A286" s="140">
        <v>6294.0</v>
      </c>
      <c r="B286" s="139" t="s">
        <v>376</v>
      </c>
      <c r="C286" s="139" t="s">
        <v>591</v>
      </c>
      <c r="D286" s="139" t="s">
        <v>534</v>
      </c>
      <c r="E286" s="139" t="s">
        <v>492</v>
      </c>
      <c r="F286" s="139" t="s">
        <v>493</v>
      </c>
      <c r="G286" s="140">
        <v>5.0</v>
      </c>
      <c r="H286" s="140">
        <v>6.0</v>
      </c>
      <c r="I286" s="140">
        <v>6.0</v>
      </c>
      <c r="J286" s="141">
        <f>VLOOKUP(A286,Gestionale_!A:A,1,0)</f>
        <v>6294</v>
      </c>
    </row>
    <row r="287" hidden="1">
      <c r="A287" s="140">
        <v>7070.0</v>
      </c>
      <c r="B287" s="139" t="s">
        <v>383</v>
      </c>
      <c r="C287" s="139" t="s">
        <v>591</v>
      </c>
      <c r="D287" s="139" t="s">
        <v>479</v>
      </c>
      <c r="E287" s="139" t="s">
        <v>492</v>
      </c>
      <c r="F287" s="139" t="s">
        <v>492</v>
      </c>
      <c r="G287" s="140">
        <v>94.0</v>
      </c>
      <c r="H287" s="140">
        <v>11.0</v>
      </c>
      <c r="I287" s="140">
        <v>11.0</v>
      </c>
      <c r="J287" s="141">
        <f>VLOOKUP(A287,Gestionale_!A:A,1,0)</f>
        <v>7070</v>
      </c>
    </row>
    <row r="288" hidden="1">
      <c r="A288" s="140">
        <v>6020.0</v>
      </c>
      <c r="B288" s="139" t="s">
        <v>365</v>
      </c>
      <c r="C288" s="139" t="s">
        <v>591</v>
      </c>
      <c r="D288" s="139" t="s">
        <v>491</v>
      </c>
      <c r="E288" s="139" t="s">
        <v>492</v>
      </c>
      <c r="F288" s="139" t="s">
        <v>598</v>
      </c>
      <c r="G288" s="140">
        <v>1.0</v>
      </c>
      <c r="H288" s="140">
        <v>11.0</v>
      </c>
      <c r="I288" s="140">
        <v>11.0</v>
      </c>
      <c r="J288" s="141">
        <f>VLOOKUP(A288,Gestionale_!A:A,1,0)</f>
        <v>6020</v>
      </c>
    </row>
    <row r="289">
      <c r="A289" s="140">
        <v>6252.0</v>
      </c>
      <c r="B289" s="139" t="s">
        <v>599</v>
      </c>
      <c r="C289" s="139" t="s">
        <v>591</v>
      </c>
      <c r="D289" s="139" t="s">
        <v>496</v>
      </c>
      <c r="E289" s="139" t="s">
        <v>492</v>
      </c>
      <c r="F289" s="139" t="s">
        <v>498</v>
      </c>
      <c r="G289" s="140">
        <v>0.0</v>
      </c>
      <c r="H289" s="140">
        <v>8.0</v>
      </c>
      <c r="I289" s="140">
        <v>8.0</v>
      </c>
      <c r="J289" s="141">
        <f>VLOOKUP(A289,Gestionale_!A:A,1,0)</f>
        <v>6252</v>
      </c>
    </row>
    <row r="290" hidden="1">
      <c r="A290" s="140">
        <v>2529.0</v>
      </c>
      <c r="B290" s="139" t="s">
        <v>375</v>
      </c>
      <c r="C290" s="139" t="s">
        <v>591</v>
      </c>
      <c r="D290" s="139" t="s">
        <v>479</v>
      </c>
      <c r="E290" s="139" t="s">
        <v>492</v>
      </c>
      <c r="F290" s="139" t="s">
        <v>498</v>
      </c>
      <c r="G290" s="140">
        <v>19.0</v>
      </c>
      <c r="H290" s="140">
        <v>7.0</v>
      </c>
      <c r="I290" s="140">
        <v>7.0</v>
      </c>
      <c r="J290" s="141">
        <f>VLOOKUP(A290,Gestionale_!A:A,1,0)</f>
        <v>2529</v>
      </c>
    </row>
    <row r="291" hidden="1">
      <c r="A291" s="140">
        <v>5872.0</v>
      </c>
      <c r="B291" s="139" t="s">
        <v>369</v>
      </c>
      <c r="C291" s="139" t="s">
        <v>591</v>
      </c>
      <c r="D291" s="139" t="s">
        <v>506</v>
      </c>
      <c r="E291" s="139" t="s">
        <v>492</v>
      </c>
      <c r="F291" s="139" t="s">
        <v>498</v>
      </c>
      <c r="G291" s="140">
        <v>1.0</v>
      </c>
      <c r="H291" s="140">
        <v>2.0</v>
      </c>
      <c r="I291" s="140">
        <v>2.0</v>
      </c>
      <c r="J291" s="141">
        <f>VLOOKUP(A291,Gestionale_!A:A,1,0)</f>
        <v>5872</v>
      </c>
    </row>
    <row r="292">
      <c r="A292" s="140">
        <v>6010.0</v>
      </c>
      <c r="B292" s="139" t="s">
        <v>600</v>
      </c>
      <c r="C292" s="139" t="s">
        <v>591</v>
      </c>
      <c r="D292" s="139" t="s">
        <v>534</v>
      </c>
      <c r="E292" s="139" t="s">
        <v>492</v>
      </c>
      <c r="F292" s="139" t="s">
        <v>498</v>
      </c>
      <c r="G292" s="140">
        <v>0.0</v>
      </c>
      <c r="H292" s="140">
        <v>3.0</v>
      </c>
      <c r="I292" s="140">
        <v>3.0</v>
      </c>
      <c r="J292" s="141">
        <f>VLOOKUP(A292,Gestionale_!A:A,1,0)</f>
        <v>6010</v>
      </c>
    </row>
    <row r="293" hidden="1">
      <c r="A293" s="140">
        <v>795.0</v>
      </c>
      <c r="B293" s="139" t="s">
        <v>364</v>
      </c>
      <c r="C293" s="139" t="s">
        <v>591</v>
      </c>
      <c r="D293" s="139" t="s">
        <v>484</v>
      </c>
      <c r="E293" s="139" t="s">
        <v>492</v>
      </c>
      <c r="F293" s="139" t="s">
        <v>563</v>
      </c>
      <c r="G293" s="140">
        <v>1.0</v>
      </c>
      <c r="H293" s="140">
        <v>8.0</v>
      </c>
      <c r="I293" s="140">
        <v>8.0</v>
      </c>
      <c r="J293" s="141">
        <f>VLOOKUP(A293,Gestionale_!A:A,1,0)</f>
        <v>795</v>
      </c>
    </row>
    <row r="294" hidden="1">
      <c r="A294" s="140">
        <v>536.0</v>
      </c>
      <c r="B294" s="139" t="s">
        <v>379</v>
      </c>
      <c r="C294" s="139" t="s">
        <v>591</v>
      </c>
      <c r="D294" s="139" t="s">
        <v>501</v>
      </c>
      <c r="E294" s="139" t="s">
        <v>492</v>
      </c>
      <c r="F294" s="139" t="s">
        <v>563</v>
      </c>
      <c r="G294" s="140">
        <v>102.0</v>
      </c>
      <c r="H294" s="140">
        <v>11.0</v>
      </c>
      <c r="I294" s="140">
        <v>11.0</v>
      </c>
      <c r="J294" s="141">
        <f>VLOOKUP(A294,Gestionale_!A:A,1,0)</f>
        <v>536</v>
      </c>
    </row>
    <row r="295" hidden="1">
      <c r="A295" s="140">
        <v>6398.0</v>
      </c>
      <c r="B295" s="139" t="s">
        <v>370</v>
      </c>
      <c r="C295" s="139" t="s">
        <v>591</v>
      </c>
      <c r="D295" s="139" t="s">
        <v>505</v>
      </c>
      <c r="E295" s="139" t="s">
        <v>492</v>
      </c>
      <c r="F295" s="139" t="s">
        <v>504</v>
      </c>
      <c r="G295" s="140">
        <v>20.0</v>
      </c>
      <c r="H295" s="140">
        <v>14.0</v>
      </c>
      <c r="I295" s="140">
        <v>14.0</v>
      </c>
      <c r="J295" s="141">
        <f>VLOOKUP(A295,Gestionale_!A:A,1,0)</f>
        <v>6398</v>
      </c>
    </row>
    <row r="296">
      <c r="A296" s="139" t="s">
        <v>499</v>
      </c>
      <c r="B296" s="139" t="s">
        <v>601</v>
      </c>
      <c r="C296" s="139" t="s">
        <v>591</v>
      </c>
      <c r="D296" s="142"/>
      <c r="E296" s="139" t="s">
        <v>507</v>
      </c>
      <c r="F296" s="139" t="s">
        <v>512</v>
      </c>
      <c r="G296" s="140">
        <v>0.0</v>
      </c>
      <c r="H296" s="140">
        <v>19.0</v>
      </c>
      <c r="I296" s="140">
        <v>19.0</v>
      </c>
      <c r="J296" s="141" t="str">
        <f>VLOOKUP(A296,Gestionale_!A:A,1,0)</f>
        <v>#N/A</v>
      </c>
    </row>
    <row r="297">
      <c r="A297" s="140">
        <v>7008.0</v>
      </c>
      <c r="B297" s="139" t="s">
        <v>602</v>
      </c>
      <c r="C297" s="139" t="s">
        <v>591</v>
      </c>
      <c r="D297" s="139" t="s">
        <v>476</v>
      </c>
      <c r="E297" s="139" t="s">
        <v>507</v>
      </c>
      <c r="F297" s="139" t="s">
        <v>512</v>
      </c>
      <c r="G297" s="140">
        <v>0.0</v>
      </c>
      <c r="H297" s="140">
        <v>12.0</v>
      </c>
      <c r="I297" s="140">
        <v>12.0</v>
      </c>
      <c r="J297" s="141">
        <f>VLOOKUP(A297,Gestionale_!A:A,1,0)</f>
        <v>7008</v>
      </c>
    </row>
    <row r="298" hidden="1">
      <c r="A298" s="140">
        <v>2061.0</v>
      </c>
      <c r="B298" s="139" t="s">
        <v>286</v>
      </c>
      <c r="C298" s="139" t="s">
        <v>591</v>
      </c>
      <c r="D298" s="139" t="s">
        <v>488</v>
      </c>
      <c r="E298" s="139" t="s">
        <v>507</v>
      </c>
      <c r="F298" s="139" t="s">
        <v>512</v>
      </c>
      <c r="G298" s="140">
        <v>30.0</v>
      </c>
      <c r="H298" s="140">
        <v>19.0</v>
      </c>
      <c r="I298" s="140">
        <v>19.0</v>
      </c>
      <c r="J298" s="141">
        <f>VLOOKUP(A298,Gestionale_!A:A,1,0)</f>
        <v>2061</v>
      </c>
    </row>
    <row r="299" hidden="1">
      <c r="A299" s="140">
        <v>6669.0</v>
      </c>
      <c r="B299" s="139" t="s">
        <v>359</v>
      </c>
      <c r="C299" s="139" t="s">
        <v>591</v>
      </c>
      <c r="D299" s="139" t="s">
        <v>479</v>
      </c>
      <c r="E299" s="139" t="s">
        <v>507</v>
      </c>
      <c r="F299" s="139" t="s">
        <v>512</v>
      </c>
      <c r="G299" s="140">
        <v>31.0</v>
      </c>
      <c r="H299" s="140">
        <v>14.0</v>
      </c>
      <c r="I299" s="140">
        <v>14.0</v>
      </c>
      <c r="J299" s="141">
        <f>VLOOKUP(A299,Gestionale_!A:A,1,0)</f>
        <v>6669</v>
      </c>
    </row>
    <row r="300" hidden="1">
      <c r="A300" s="140">
        <v>608.0</v>
      </c>
      <c r="B300" s="139" t="s">
        <v>385</v>
      </c>
      <c r="C300" s="139" t="s">
        <v>591</v>
      </c>
      <c r="D300" s="139" t="s">
        <v>488</v>
      </c>
      <c r="E300" s="139" t="s">
        <v>507</v>
      </c>
      <c r="F300" s="139" t="s">
        <v>512</v>
      </c>
      <c r="G300" s="140">
        <v>11.0</v>
      </c>
      <c r="H300" s="140">
        <v>7.0</v>
      </c>
      <c r="I300" s="140">
        <v>7.0</v>
      </c>
      <c r="J300" s="141">
        <f>VLOOKUP(A300,Gestionale_!A:A,1,0)</f>
        <v>608</v>
      </c>
    </row>
    <row r="301" hidden="1">
      <c r="A301" s="140">
        <v>6159.0</v>
      </c>
      <c r="B301" s="139" t="s">
        <v>381</v>
      </c>
      <c r="C301" s="139" t="s">
        <v>591</v>
      </c>
      <c r="D301" s="139" t="s">
        <v>544</v>
      </c>
      <c r="E301" s="139" t="s">
        <v>507</v>
      </c>
      <c r="F301" s="139" t="s">
        <v>507</v>
      </c>
      <c r="G301" s="140">
        <v>21.0</v>
      </c>
      <c r="H301" s="140">
        <v>5.0</v>
      </c>
      <c r="I301" s="140">
        <v>5.0</v>
      </c>
      <c r="J301" s="141">
        <f>VLOOKUP(A301,Gestionale_!A:A,1,0)</f>
        <v>6159</v>
      </c>
    </row>
  </sheetData>
  <autoFilter ref="$A$1:$J$301">
    <filterColumn colId="6">
      <filters>
        <filter val="0"/>
      </filters>
    </filterColumn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7.88"/>
    <col customWidth="1" min="2" max="2" width="17.0"/>
    <col customWidth="1" min="3" max="3" width="17.38"/>
    <col customWidth="1" min="4" max="4" width="15.13"/>
    <col customWidth="1" min="5" max="5" width="13.0"/>
    <col customWidth="1" min="6" max="6" width="19.25"/>
    <col customWidth="1" min="7" max="7" width="19.0"/>
    <col customWidth="1" min="8" max="8" width="17.38"/>
    <col customWidth="1" min="9" max="9" width="19.0"/>
    <col customWidth="1" min="10" max="10" width="8.75"/>
    <col customWidth="1" min="11" max="11" width="20.88"/>
    <col customWidth="1" min="12" max="13" width="18.38"/>
    <col customWidth="1" min="14" max="14" width="13.88"/>
    <col customWidth="1" min="15" max="15" width="17.5"/>
    <col customWidth="1" min="16" max="16" width="19.75"/>
    <col customWidth="1" min="17" max="17" width="17.5"/>
    <col customWidth="1" min="18" max="18" width="15.63"/>
    <col customWidth="1" min="19" max="19" width="22.13"/>
    <col customWidth="1" min="20" max="21" width="31.38"/>
  </cols>
  <sheetData>
    <row r="1" ht="27.75" customHeight="1">
      <c r="A1" s="8" t="s">
        <v>45</v>
      </c>
      <c r="B1" s="4" t="s">
        <v>3</v>
      </c>
      <c r="C1" s="4" t="s">
        <v>4</v>
      </c>
      <c r="D1" s="4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603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7" t="s">
        <v>21</v>
      </c>
      <c r="U1" s="7" t="s">
        <v>22</v>
      </c>
    </row>
    <row r="2" ht="22.5" hidden="1" customHeight="1">
      <c r="A2" s="9">
        <f>VLOOKUP(B2,FVM_astainv!A:B,2,0)</f>
        <v>133</v>
      </c>
      <c r="B2" s="25" t="s">
        <v>604</v>
      </c>
      <c r="C2" s="11" t="s">
        <v>42</v>
      </c>
      <c r="D2" s="12" t="str">
        <f>VLOOKUP(B2,FVM_astainv!A:F,6,0)</f>
        <v>Bologna</v>
      </c>
      <c r="E2" s="13" t="str">
        <f>VLOOKUP(B2,FVM_astainv!A:D,4,0)</f>
        <v>Por</v>
      </c>
      <c r="F2" s="17" t="str">
        <f>VLOOKUP(B2,'situazione contratti estate 24'!A:I,9,0)</f>
        <v>Obbligo 1+1</v>
      </c>
      <c r="G2" s="14">
        <v>45108.0</v>
      </c>
      <c r="H2" s="144">
        <f t="shared" ref="H2:H168" si="1">IF(F2="Vivaio", DATE(2999, 12, 31),
  IF(F2="Standard", DATE(YEAR(G2)+1, MONTH(G2), DAY(G2)),
    IF(F2="Standard Inverno", DATE(2025, 7, 1),
      IF(OR(F2="Diritto 1+1", F2="Obbligo 1+1"), DATE(YEAR(G2)+2, MONTH(G2), DAY(G2)),
        IF(F2="Obbligo 1+2", DATE(YEAR(G2)+3, MONTH(G2), DAY(G2)),
          IF(OR(F2="Inverno Obbligo 1,5", F2="Inverno Diritto 0,5 + 1"), DATE(YEAR(G2)+1, MONTH(G2)+6, DAY(G2)),
            IF(F2="Inverno Obbligo 2,5", DATE(YEAR(G2)+2, MONTH(G2)+6, DAY(G2)), G2)
          )
        )
      )
    )
  )
)</f>
        <v>45839</v>
      </c>
      <c r="I2" s="11" t="s">
        <v>605</v>
      </c>
      <c r="J2" s="16" t="str">
        <f>VLOOKUP(A2,Asteriscati25!B:N,13,0)</f>
        <v>#N/A</v>
      </c>
      <c r="K2" s="26">
        <v>0.0</v>
      </c>
      <c r="L2" s="19" t="str">
        <f t="shared" ref="L2:L15" si="2">VLOOKUP(B2,Rose!B:D,3,0)</f>
        <v>#REF!</v>
      </c>
      <c r="M2" s="19">
        <f>VLOOKUP(B2,FVM_Asta2324!C:M,11,0)</f>
        <v>32</v>
      </c>
      <c r="N2" s="19" t="str">
        <f t="shared" ref="N2:N3" si="3">VLOOKUP(A2,#REF!,13,0)</f>
        <v>#REF!</v>
      </c>
      <c r="O2" s="20">
        <f>VLOOKUP(B2,'FVM_1luglio-31luglio25'!D:Q,14,0)</f>
        <v>44</v>
      </c>
      <c r="P2" s="20">
        <f t="shared" ref="P2:P13" si="4">IFERROR(N2,O2)</f>
        <v>44</v>
      </c>
      <c r="Q2" s="21">
        <f>VLOOKUP(B2,'situazione contratti estate 24'!A:K,11,0)</f>
        <v>4</v>
      </c>
      <c r="R2" s="21">
        <f>IF(I2="svincolo fine anno", 0, IF(OR(I2="asta", I2="Svincolato riconferma anno corrente", I2="vivaio"), Q2, IF(OR(I2="asta riparazione", I2="Svincolato obbligo anno precedente", I2="Svincolo pausa invernale"), MAX(0.5, CEILING(Q2 / 2, 0.5)), IF(OR(I2="ceduto in prestito", I2="acquisito in prestito", I2="acquistato tit definitivo", I2="Ceduto tit definitivo"), CEILING(Q2 * K2, 0.5), IF(I2="asteriscato", "inserire a mano", "")))))
</f>
        <v>0</v>
      </c>
      <c r="S2" s="20"/>
      <c r="T2" s="22"/>
      <c r="U2" s="23"/>
    </row>
    <row r="3" ht="22.5" hidden="1" customHeight="1">
      <c r="A3" s="9">
        <f>VLOOKUP(B3,FVM_astainv!A:B,2,0)</f>
        <v>4887</v>
      </c>
      <c r="B3" s="25" t="s">
        <v>606</v>
      </c>
      <c r="C3" s="11" t="s">
        <v>42</v>
      </c>
      <c r="D3" s="12" t="str">
        <f>VLOOKUP(B3,FVM_astainv!A:F,6,0)</f>
        <v>Atalanta</v>
      </c>
      <c r="E3" s="13" t="str">
        <f>VLOOKUP(B3,FVM_astainv!A:D,4,0)</f>
        <v>E</v>
      </c>
      <c r="F3" s="17" t="str">
        <f>VLOOKUP(B3,'situazione contratti estate 24'!A:I,9,0)</f>
        <v>Obbligo 1+1</v>
      </c>
      <c r="G3" s="14">
        <v>45108.0</v>
      </c>
      <c r="H3" s="144">
        <f t="shared" si="1"/>
        <v>45839</v>
      </c>
      <c r="I3" s="11" t="s">
        <v>605</v>
      </c>
      <c r="J3" s="16" t="str">
        <f>VLOOKUP(A3,Asteriscati25!B:N,13,0)</f>
        <v>#N/A</v>
      </c>
      <c r="K3" s="26">
        <v>0.0</v>
      </c>
      <c r="L3" s="19" t="str">
        <f t="shared" si="2"/>
        <v>#REF!</v>
      </c>
      <c r="M3" s="19">
        <f>VLOOKUP(B3,FVM_Asta2324!C:M,11,0)</f>
        <v>26</v>
      </c>
      <c r="N3" s="19" t="str">
        <f t="shared" si="3"/>
        <v>#REF!</v>
      </c>
      <c r="O3" s="20">
        <f>VLOOKUP(B3,'FVM_1luglio-31luglio25'!D:Q,14,0)</f>
        <v>44</v>
      </c>
      <c r="P3" s="20">
        <f t="shared" si="4"/>
        <v>44</v>
      </c>
      <c r="Q3" s="21">
        <f>VLOOKUP(B3,'situazione contratti estate 24'!A:K,11,0)</f>
        <v>3</v>
      </c>
      <c r="R3" s="21" t="str">
        <f t="shared" ref="R3:R12" si="5">IF(OR(I3="asta", I3="Svincolato riconferma anno corrente", I3="vivaio"), Q3,
IF(OR(I3="asta riparazione", I3="Svincolato obbligo anno precedente", I3="Svincolo pausa invernale"), MAX(0.5, CEILING(Q3 / 2, 0.5)),
IF(OR(I3="ceduto in prestito", I3="acquisito in prestito", I3="acquistato tit definitivo", I3="Ceduto tit definitivo"),CEILING(Q3 * K3, 0.5),
IF(I3="asteriscato", "inserire a mano", ""))))
</f>
        <v/>
      </c>
      <c r="S3" s="20"/>
      <c r="T3" s="22"/>
      <c r="U3" s="23"/>
    </row>
    <row r="4" ht="22.5" hidden="1" customHeight="1">
      <c r="A4" s="9" t="str">
        <f>VLOOKUP(B4,FVM_astainv!A:B,2,0)</f>
        <v>#N/A</v>
      </c>
      <c r="B4" s="25" t="s">
        <v>607</v>
      </c>
      <c r="C4" s="11" t="s">
        <v>42</v>
      </c>
      <c r="D4" s="12" t="str">
        <f>VLOOKUP(B4,FVM_astainv!A:F,6,0)</f>
        <v>#N/A</v>
      </c>
      <c r="E4" s="13" t="str">
        <f>VLOOKUP(B4,FVM_astainv!A:D,4,0)</f>
        <v>#N/A</v>
      </c>
      <c r="F4" s="17" t="str">
        <f>VLOOKUP(B4,'situazione contratti estate 24'!A:I,9,0)</f>
        <v>Diritto 1+1</v>
      </c>
      <c r="G4" s="14">
        <v>45108.0</v>
      </c>
      <c r="H4" s="144">
        <f t="shared" si="1"/>
        <v>45839</v>
      </c>
      <c r="I4" s="11" t="s">
        <v>605</v>
      </c>
      <c r="J4" s="16" t="str">
        <f>VLOOKUP(A4,Asteriscati25!B:N,13,0)</f>
        <v>#N/A</v>
      </c>
      <c r="K4" s="26">
        <v>0.2</v>
      </c>
      <c r="L4" s="19" t="str">
        <f t="shared" si="2"/>
        <v>#REF!</v>
      </c>
      <c r="M4" s="19">
        <f>VLOOKUP(B4,FVM_Asta2324!C:M,11,0)</f>
        <v>48</v>
      </c>
      <c r="N4" s="27">
        <v>0.0</v>
      </c>
      <c r="O4" s="20" t="str">
        <f>VLOOKUP(B4,'FVM_1luglio-31luglio25'!D:Q,14,0)</f>
        <v>#N/A</v>
      </c>
      <c r="P4" s="20">
        <f t="shared" si="4"/>
        <v>0</v>
      </c>
      <c r="Q4" s="21">
        <f>VLOOKUP(B4,'situazione contratti estate 24'!A:K,11,0)</f>
        <v>6.5</v>
      </c>
      <c r="R4" s="21" t="str">
        <f t="shared" si="5"/>
        <v/>
      </c>
      <c r="S4" s="20"/>
      <c r="T4" s="11" t="s">
        <v>42</v>
      </c>
      <c r="U4" s="10" t="s">
        <v>608</v>
      </c>
    </row>
    <row r="5" ht="22.5" hidden="1" customHeight="1">
      <c r="A5" s="9">
        <f>VLOOKUP(B5,FVM_astainv!A:B,2,0)</f>
        <v>4287</v>
      </c>
      <c r="B5" s="25" t="s">
        <v>609</v>
      </c>
      <c r="C5" s="11" t="s">
        <v>42</v>
      </c>
      <c r="D5" s="12" t="str">
        <f>VLOOKUP(B5,FVM_astainv!A:F,6,0)</f>
        <v>Napoli</v>
      </c>
      <c r="E5" s="13" t="str">
        <f>VLOOKUP(B5,FVM_astainv!A:D,4,0)</f>
        <v>M;C</v>
      </c>
      <c r="F5" s="17" t="str">
        <f>VLOOKUP(B5,'situazione contratti estate 24'!A:I,9,0)</f>
        <v>Obbligo 1+1</v>
      </c>
      <c r="G5" s="14">
        <v>45108.0</v>
      </c>
      <c r="H5" s="144">
        <f t="shared" si="1"/>
        <v>45839</v>
      </c>
      <c r="I5" s="11" t="s">
        <v>605</v>
      </c>
      <c r="J5" s="16" t="str">
        <f>VLOOKUP(A5,Asteriscati25!B:N,13,0)</f>
        <v>#N/A</v>
      </c>
      <c r="K5" s="26">
        <v>0.0</v>
      </c>
      <c r="L5" s="19" t="str">
        <f t="shared" si="2"/>
        <v>#REF!</v>
      </c>
      <c r="M5" s="19">
        <f>VLOOKUP(B5,FVM_Asta2324!C:M,11,0)</f>
        <v>36</v>
      </c>
      <c r="N5" s="19" t="str">
        <f t="shared" ref="N5:N446" si="6">VLOOKUP(A5,#REF!,13,0)</f>
        <v>#REF!</v>
      </c>
      <c r="O5" s="20">
        <f>VLOOKUP(B5,'FVM_1luglio-31luglio25'!D:Q,14,0)</f>
        <v>21</v>
      </c>
      <c r="P5" s="20">
        <f t="shared" si="4"/>
        <v>21</v>
      </c>
      <c r="Q5" s="21">
        <f>VLOOKUP(B5,'situazione contratti estate 24'!A:K,11,0)</f>
        <v>4.5</v>
      </c>
      <c r="R5" s="21" t="str">
        <f t="shared" si="5"/>
        <v/>
      </c>
      <c r="S5" s="20"/>
      <c r="T5" s="22"/>
      <c r="U5" s="23"/>
    </row>
    <row r="6" ht="22.5" hidden="1" customHeight="1">
      <c r="A6" s="9">
        <f>VLOOKUP(B6,FVM_astainv!A:B,2,0)</f>
        <v>1870</v>
      </c>
      <c r="B6" s="25" t="s">
        <v>610</v>
      </c>
      <c r="C6" s="11" t="s">
        <v>42</v>
      </c>
      <c r="D6" s="12" t="str">
        <f>VLOOKUP(B6,FVM_astainv!A:F,6,0)</f>
        <v>Inter</v>
      </c>
      <c r="E6" s="13" t="str">
        <f>VLOOKUP(B6,FVM_astainv!A:D,4,0)</f>
        <v>C</v>
      </c>
      <c r="F6" s="17" t="str">
        <f>VLOOKUP(B6,'situazione contratti estate 24'!A:I,9,0)</f>
        <v>Obbligo 1+1</v>
      </c>
      <c r="G6" s="14">
        <v>45108.0</v>
      </c>
      <c r="H6" s="144">
        <f t="shared" si="1"/>
        <v>45839</v>
      </c>
      <c r="I6" s="11" t="s">
        <v>605</v>
      </c>
      <c r="J6" s="16" t="str">
        <f>VLOOKUP(A6,Asteriscati25!B:N,13,0)</f>
        <v>#N/A</v>
      </c>
      <c r="K6" s="26">
        <v>0.0</v>
      </c>
      <c r="L6" s="19" t="str">
        <f t="shared" si="2"/>
        <v>#REF!</v>
      </c>
      <c r="M6" s="19">
        <f>VLOOKUP(B6,FVM_Asta2324!C:M,11,0)</f>
        <v>78</v>
      </c>
      <c r="N6" s="19" t="str">
        <f t="shared" si="6"/>
        <v>#REF!</v>
      </c>
      <c r="O6" s="20">
        <f>VLOOKUP(B6,'FVM_1luglio-31luglio25'!D:Q,14,0)</f>
        <v>61</v>
      </c>
      <c r="P6" s="20">
        <f t="shared" si="4"/>
        <v>61</v>
      </c>
      <c r="Q6" s="21">
        <f>VLOOKUP(B6,'situazione contratti estate 24'!A:K,11,0)</f>
        <v>9</v>
      </c>
      <c r="R6" s="21" t="str">
        <f t="shared" si="5"/>
        <v/>
      </c>
      <c r="S6" s="20"/>
      <c r="T6" s="22"/>
      <c r="U6" s="23"/>
    </row>
    <row r="7" ht="22.5" hidden="1" customHeight="1">
      <c r="A7" s="9">
        <f>VLOOKUP(B7,FVM_astainv!A:B,2,0)</f>
        <v>5800</v>
      </c>
      <c r="B7" s="25" t="s">
        <v>611</v>
      </c>
      <c r="C7" s="11" t="s">
        <v>42</v>
      </c>
      <c r="D7" s="12" t="str">
        <f>VLOOKUP(B7,FVM_astainv!A:F,6,0)</f>
        <v>Fiorentina</v>
      </c>
      <c r="E7" s="13" t="str">
        <f>VLOOKUP(B7,FVM_astainv!A:D,4,0)</f>
        <v>A</v>
      </c>
      <c r="F7" s="17" t="str">
        <f>VLOOKUP(B7,'situazione contratti estate 24'!A:I,9,0)</f>
        <v>Diritto 1+1</v>
      </c>
      <c r="G7" s="14">
        <v>45108.0</v>
      </c>
      <c r="H7" s="144">
        <f t="shared" si="1"/>
        <v>45839</v>
      </c>
      <c r="I7" s="11" t="s">
        <v>605</v>
      </c>
      <c r="J7" s="16" t="str">
        <f>VLOOKUP(A7,Asteriscati25!B:N,13,0)</f>
        <v>#N/A</v>
      </c>
      <c r="K7" s="26">
        <v>0.0</v>
      </c>
      <c r="L7" s="19" t="str">
        <f t="shared" si="2"/>
        <v>#REF!</v>
      </c>
      <c r="M7" s="19">
        <f>VLOOKUP(B7,FVM_Asta2324!C:M,11,0)</f>
        <v>58</v>
      </c>
      <c r="N7" s="19" t="str">
        <f t="shared" si="6"/>
        <v>#REF!</v>
      </c>
      <c r="O7" s="20">
        <f>VLOOKUP(B7,'FVM_1luglio-31luglio25'!D:Q,14,0)</f>
        <v>105</v>
      </c>
      <c r="P7" s="20">
        <f t="shared" si="4"/>
        <v>105</v>
      </c>
      <c r="Q7" s="21">
        <f>VLOOKUP(B7,'situazione contratti estate 24'!A:K,11,0)</f>
        <v>8</v>
      </c>
      <c r="R7" s="21" t="str">
        <f t="shared" si="5"/>
        <v/>
      </c>
      <c r="S7" s="20"/>
      <c r="T7" s="22"/>
      <c r="U7" s="23"/>
    </row>
    <row r="8" ht="22.5" hidden="1" customHeight="1">
      <c r="A8" s="9">
        <f>VLOOKUP(B8,FVM_astainv!A:B,2,0)</f>
        <v>6664</v>
      </c>
      <c r="B8" s="25" t="s">
        <v>612</v>
      </c>
      <c r="C8" s="11" t="s">
        <v>42</v>
      </c>
      <c r="D8" s="12" t="str">
        <f>VLOOKUP(B8,FVM_astainv!A:F,6,0)</f>
        <v>Parma</v>
      </c>
      <c r="E8" s="13" t="str">
        <f>VLOOKUP(B8,FVM_astainv!A:D,4,0)</f>
        <v>B;Dd;E</v>
      </c>
      <c r="F8" s="11" t="s">
        <v>45</v>
      </c>
      <c r="G8" s="14">
        <v>45474.0</v>
      </c>
      <c r="H8" s="144">
        <f t="shared" si="1"/>
        <v>45839</v>
      </c>
      <c r="I8" s="11" t="s">
        <v>122</v>
      </c>
      <c r="J8" s="16" t="str">
        <f>VLOOKUP(A8,Asteriscati25!B:N,13,0)</f>
        <v>#N/A</v>
      </c>
      <c r="K8" s="26">
        <v>0.6</v>
      </c>
      <c r="L8" s="19" t="str">
        <f t="shared" si="2"/>
        <v>#REF!</v>
      </c>
      <c r="M8" s="19">
        <f>VLOOKUP(B8,FVM_Asta2425!A:M,13,0)</f>
        <v>16</v>
      </c>
      <c r="N8" s="19" t="str">
        <f t="shared" si="6"/>
        <v>#REF!</v>
      </c>
      <c r="O8" s="20">
        <f>VLOOKUP(B8,'FVM_1luglio-31luglio25'!D:Q,14,0)</f>
        <v>20</v>
      </c>
      <c r="P8" s="20">
        <f t="shared" si="4"/>
        <v>20</v>
      </c>
      <c r="Q8" s="21">
        <f t="shared" ref="Q8:Q15" si="7">IF(F8="Standard",CEILING((M8/10),0.5),
IF(OR(F8="Diritto 1+1",M8="Inverno Diritto 0,5 + 1"),CEILING((M8/10)*1.3,0.5),
CEILING((M8/10)*1.15,0.5)))</f>
        <v>2</v>
      </c>
      <c r="R8" s="21">
        <f t="shared" si="5"/>
        <v>1.5</v>
      </c>
      <c r="S8" s="20"/>
      <c r="T8" s="11" t="s">
        <v>42</v>
      </c>
      <c r="U8" s="23"/>
    </row>
    <row r="9" ht="22.5" hidden="1" customHeight="1">
      <c r="A9" s="9">
        <f>VLOOKUP(B9,FVM_astainv!A:B,2,0)</f>
        <v>4772</v>
      </c>
      <c r="B9" s="25" t="s">
        <v>321</v>
      </c>
      <c r="C9" s="11" t="s">
        <v>42</v>
      </c>
      <c r="D9" s="12" t="str">
        <f>VLOOKUP(B9,FVM_astainv!A:F,6,0)</f>
        <v>Roma</v>
      </c>
      <c r="E9" s="13" t="str">
        <f>VLOOKUP(B9,FVM_astainv!A:D,4,0)</f>
        <v>Ds;E</v>
      </c>
      <c r="F9" s="11" t="s">
        <v>45</v>
      </c>
      <c r="G9" s="14">
        <v>45474.0</v>
      </c>
      <c r="H9" s="144">
        <f t="shared" si="1"/>
        <v>45839</v>
      </c>
      <c r="I9" s="11" t="s">
        <v>48</v>
      </c>
      <c r="J9" s="16" t="str">
        <f>VLOOKUP(A9,Asteriscati25!B:N,13,0)</f>
        <v>#N/A</v>
      </c>
      <c r="K9" s="26">
        <v>0.0</v>
      </c>
      <c r="L9" s="19" t="str">
        <f t="shared" si="2"/>
        <v>#REF!</v>
      </c>
      <c r="M9" s="19">
        <f>VLOOKUP(B9,FVM_Asta2425!A:M,13,0)</f>
        <v>27</v>
      </c>
      <c r="N9" s="19" t="str">
        <f t="shared" si="6"/>
        <v>#REF!</v>
      </c>
      <c r="O9" s="20">
        <f>VLOOKUP(B9,'FVM_1luglio-31luglio25'!D:Q,14,0)</f>
        <v>35</v>
      </c>
      <c r="P9" s="20">
        <f t="shared" si="4"/>
        <v>35</v>
      </c>
      <c r="Q9" s="21">
        <f t="shared" si="7"/>
        <v>3</v>
      </c>
      <c r="R9" s="21">
        <f t="shared" si="5"/>
        <v>3</v>
      </c>
      <c r="S9" s="20"/>
      <c r="T9" s="22"/>
      <c r="U9" s="23"/>
    </row>
    <row r="10" ht="22.5" hidden="1" customHeight="1">
      <c r="A10" s="9">
        <f>VLOOKUP(B10,FVM_astainv!A:B,2,0)</f>
        <v>4421</v>
      </c>
      <c r="B10" s="25" t="s">
        <v>613</v>
      </c>
      <c r="C10" s="11" t="s">
        <v>42</v>
      </c>
      <c r="D10" s="12" t="str">
        <f>VLOOKUP(B10,FVM_astainv!A:F,6,0)</f>
        <v>Cagliari</v>
      </c>
      <c r="E10" s="13" t="str">
        <f>VLOOKUP(B10,FVM_astainv!A:D,4,0)</f>
        <v>Ds;E</v>
      </c>
      <c r="F10" s="11" t="s">
        <v>45</v>
      </c>
      <c r="G10" s="14">
        <v>45474.0</v>
      </c>
      <c r="H10" s="144">
        <f t="shared" si="1"/>
        <v>45839</v>
      </c>
      <c r="I10" s="11" t="s">
        <v>48</v>
      </c>
      <c r="J10" s="16" t="str">
        <f>VLOOKUP(A10,Asteriscati25!B:N,13,0)</f>
        <v>#N/A</v>
      </c>
      <c r="K10" s="26">
        <v>0.0</v>
      </c>
      <c r="L10" s="19" t="str">
        <f t="shared" si="2"/>
        <v>#REF!</v>
      </c>
      <c r="M10" s="19">
        <f>VLOOKUP(B10,FVM_Asta2425!A:M,13,0)</f>
        <v>8</v>
      </c>
      <c r="N10" s="19" t="str">
        <f t="shared" si="6"/>
        <v>#REF!</v>
      </c>
      <c r="O10" s="20">
        <f>VLOOKUP(B10,'FVM_1luglio-31luglio25'!D:Q,14,0)</f>
        <v>18</v>
      </c>
      <c r="P10" s="20">
        <f t="shared" si="4"/>
        <v>18</v>
      </c>
      <c r="Q10" s="21">
        <f t="shared" si="7"/>
        <v>1</v>
      </c>
      <c r="R10" s="21">
        <f t="shared" si="5"/>
        <v>1</v>
      </c>
      <c r="S10" s="20"/>
      <c r="T10" s="22"/>
      <c r="U10" s="23"/>
    </row>
    <row r="11" ht="22.5" hidden="1" customHeight="1">
      <c r="A11" s="9">
        <f>VLOOKUP(B11,FVM_astainv!A:B,2,0)</f>
        <v>5564</v>
      </c>
      <c r="B11" s="43" t="s">
        <v>614</v>
      </c>
      <c r="C11" s="145" t="s">
        <v>42</v>
      </c>
      <c r="D11" s="12" t="str">
        <f>VLOOKUP(B11,FVM_astainv!A:F,6,0)</f>
        <v>Bologna</v>
      </c>
      <c r="E11" s="13" t="str">
        <f>VLOOKUP(B11,FVM_astainv!A:D,4,0)</f>
        <v>W</v>
      </c>
      <c r="F11" s="45" t="s">
        <v>45</v>
      </c>
      <c r="G11" s="15">
        <v>45474.0</v>
      </c>
      <c r="H11" s="146">
        <f t="shared" si="1"/>
        <v>45839</v>
      </c>
      <c r="I11" s="44" t="s">
        <v>89</v>
      </c>
      <c r="J11" s="16" t="str">
        <f>VLOOKUP(A11,Asteriscati25!B:N,13,0)</f>
        <v>#N/A</v>
      </c>
      <c r="K11" s="147">
        <v>0.8</v>
      </c>
      <c r="L11" s="47" t="str">
        <f t="shared" si="2"/>
        <v>#REF!</v>
      </c>
      <c r="M11" s="47">
        <f>VLOOKUP(B11,FVM_Asta2425!A:M,13,0)</f>
        <v>22</v>
      </c>
      <c r="N11" s="19" t="str">
        <f t="shared" si="6"/>
        <v>#REF!</v>
      </c>
      <c r="O11" s="20">
        <f>VLOOKUP(B11,'FVM_1luglio-31luglio25'!D:Q,14,0)</f>
        <v>54</v>
      </c>
      <c r="P11" s="36">
        <f t="shared" si="4"/>
        <v>54</v>
      </c>
      <c r="Q11" s="119">
        <f t="shared" si="7"/>
        <v>2.5</v>
      </c>
      <c r="R11" s="119">
        <f t="shared" si="5"/>
        <v>2</v>
      </c>
      <c r="S11" s="37"/>
      <c r="T11" s="148" t="s">
        <v>99</v>
      </c>
      <c r="U11" s="115"/>
    </row>
    <row r="12" ht="22.5" hidden="1" customHeight="1">
      <c r="A12" s="9">
        <f>VLOOKUP(B12,FVM_astainv!A:B,2,0)</f>
        <v>6215</v>
      </c>
      <c r="B12" s="25" t="s">
        <v>66</v>
      </c>
      <c r="C12" s="11" t="s">
        <v>42</v>
      </c>
      <c r="D12" s="12" t="str">
        <f>VLOOKUP(B12,FVM_astainv!A:F,6,0)</f>
        <v>Udinese</v>
      </c>
      <c r="E12" s="13" t="str">
        <f>VLOOKUP(B12,FVM_astainv!A:D,4,0)</f>
        <v>Pc</v>
      </c>
      <c r="F12" s="11" t="s">
        <v>67</v>
      </c>
      <c r="G12" s="14">
        <v>45474.0</v>
      </c>
      <c r="H12" s="144">
        <f t="shared" si="1"/>
        <v>46204</v>
      </c>
      <c r="I12" s="11" t="s">
        <v>68</v>
      </c>
      <c r="J12" s="16" t="str">
        <f>VLOOKUP(A12,Asteriscati25!B:N,13,0)</f>
        <v>#N/A</v>
      </c>
      <c r="K12" s="26">
        <v>0.0</v>
      </c>
      <c r="L12" s="19" t="str">
        <f t="shared" si="2"/>
        <v>#REF!</v>
      </c>
      <c r="M12" s="19">
        <f>VLOOKUP(B12,FVM_Asta2425!A:M,13,0)</f>
        <v>68</v>
      </c>
      <c r="N12" s="19" t="str">
        <f t="shared" si="6"/>
        <v>#REF!</v>
      </c>
      <c r="O12" s="20">
        <f>VLOOKUP(B12,'FVM_1luglio-31luglio25'!D:Q,14,0)</f>
        <v>78</v>
      </c>
      <c r="P12" s="20">
        <f t="shared" si="4"/>
        <v>78</v>
      </c>
      <c r="Q12" s="21">
        <f t="shared" si="7"/>
        <v>8</v>
      </c>
      <c r="R12" s="21">
        <f t="shared" si="5"/>
        <v>4</v>
      </c>
      <c r="S12" s="20"/>
      <c r="T12" s="22"/>
      <c r="U12" s="23"/>
    </row>
    <row r="13" ht="22.5" hidden="1" customHeight="1">
      <c r="A13" s="9">
        <f>VLOOKUP(B13,FVM_astainv!A:B,2,0)</f>
        <v>6495</v>
      </c>
      <c r="B13" s="25" t="s">
        <v>50</v>
      </c>
      <c r="C13" s="11" t="s">
        <v>42</v>
      </c>
      <c r="D13" s="12" t="str">
        <f>VLOOKUP(B13,FVM_astainv!A:F,6,0)</f>
        <v>Fiorentina</v>
      </c>
      <c r="E13" s="13" t="str">
        <f>VLOOKUP(B13,FVM_astainv!A:D,4,0)</f>
        <v>Dc</v>
      </c>
      <c r="F13" s="11" t="s">
        <v>43</v>
      </c>
      <c r="G13" s="14">
        <v>45474.0</v>
      </c>
      <c r="H13" s="144">
        <f t="shared" si="1"/>
        <v>401768</v>
      </c>
      <c r="I13" s="11" t="s">
        <v>51</v>
      </c>
      <c r="J13" s="16" t="str">
        <f>VLOOKUP(A13,Asteriscati25!B:N,13,0)</f>
        <v>#N/A</v>
      </c>
      <c r="K13" s="26">
        <v>0.0</v>
      </c>
      <c r="L13" s="19" t="str">
        <f t="shared" si="2"/>
        <v>#REF!</v>
      </c>
      <c r="M13" s="27">
        <v>1.0</v>
      </c>
      <c r="N13" s="19" t="str">
        <f t="shared" si="6"/>
        <v>#REF!</v>
      </c>
      <c r="O13" s="20">
        <f>VLOOKUP(B13,'FVM_1luglio-31luglio25'!D:Q,14,0)</f>
        <v>11</v>
      </c>
      <c r="P13" s="20">
        <f t="shared" si="4"/>
        <v>11</v>
      </c>
      <c r="Q13" s="21">
        <f t="shared" si="7"/>
        <v>0.5</v>
      </c>
      <c r="R13" s="21">
        <v>0.5</v>
      </c>
      <c r="S13" s="20"/>
      <c r="T13" s="22"/>
      <c r="U13" s="23"/>
    </row>
    <row r="14" ht="22.5" hidden="1" customHeight="1">
      <c r="A14" s="9" t="str">
        <f>VLOOKUP(B14,FVM_astainv!A:B,2,0)</f>
        <v>#N/A</v>
      </c>
      <c r="B14" s="25" t="s">
        <v>52</v>
      </c>
      <c r="C14" s="11" t="s">
        <v>42</v>
      </c>
      <c r="D14" s="12" t="str">
        <f>VLOOKUP(B14,FVM_astainv!A:F,6,0)</f>
        <v>#N/A</v>
      </c>
      <c r="E14" s="13" t="str">
        <f>VLOOKUP(B14,FVM_astainv!A:D,4,0)</f>
        <v>#N/A</v>
      </c>
      <c r="F14" s="11" t="s">
        <v>43</v>
      </c>
      <c r="G14" s="14">
        <v>45474.0</v>
      </c>
      <c r="H14" s="144">
        <f t="shared" si="1"/>
        <v>401768</v>
      </c>
      <c r="I14" s="11" t="s">
        <v>43</v>
      </c>
      <c r="J14" s="16" t="str">
        <f>VLOOKUP(A14,Asteriscati25!B:N,13,0)</f>
        <v>#N/A</v>
      </c>
      <c r="K14" s="26">
        <v>0.0</v>
      </c>
      <c r="L14" s="19" t="str">
        <f t="shared" si="2"/>
        <v>#REF!</v>
      </c>
      <c r="M14" s="19">
        <f>VLOOKUP(B14,FVM_Asta2425!A:M,13,0)</f>
        <v>1</v>
      </c>
      <c r="N14" s="19" t="str">
        <f t="shared" si="6"/>
        <v>#REF!</v>
      </c>
      <c r="O14" s="20" t="str">
        <f>VLOOKUP(B14,'FVM_1luglio-31luglio25'!D:Q,14,0)</f>
        <v>#N/A</v>
      </c>
      <c r="P14" s="9">
        <v>0.0</v>
      </c>
      <c r="Q14" s="21">
        <f t="shared" si="7"/>
        <v>0.5</v>
      </c>
      <c r="R14" s="21">
        <f t="shared" ref="R14:R47" si="8">IF(OR(I14="asta", I14="Svincolato riconferma anno corrente", I14="vivaio"), Q14,
IF(OR(I14="asta riparazione", I14="Svincolato obbligo anno precedente", I14="Svincolo pausa invernale"), MAX(0.5, CEILING(Q14 / 2, 0.5)),
IF(OR(I14="ceduto in prestito", I14="acquisito in prestito", I14="acquistato tit definitivo", I14="Ceduto tit definitivo"),CEILING(Q14 * K14, 0.5),
IF(I14="asteriscato", "inserire a mano", ""))))
</f>
        <v>0.5</v>
      </c>
      <c r="S14" s="20"/>
      <c r="T14" s="22"/>
      <c r="U14" s="23"/>
    </row>
    <row r="15" ht="22.5" hidden="1" customHeight="1">
      <c r="A15" s="9">
        <f>VLOOKUP(B15,FVM_astainv!A:B,2,0)</f>
        <v>6523</v>
      </c>
      <c r="B15" s="25" t="s">
        <v>81</v>
      </c>
      <c r="C15" s="11" t="s">
        <v>42</v>
      </c>
      <c r="D15" s="12" t="str">
        <f>VLOOKUP(B15,FVM_astainv!A:F,6,0)</f>
        <v>Lecce</v>
      </c>
      <c r="E15" s="13" t="str">
        <f>VLOOKUP(B15,FVM_astainv!A:D,4,0)</f>
        <v>Por</v>
      </c>
      <c r="F15" s="11" t="s">
        <v>43</v>
      </c>
      <c r="G15" s="14">
        <v>45474.0</v>
      </c>
      <c r="H15" s="144">
        <f t="shared" si="1"/>
        <v>401768</v>
      </c>
      <c r="I15" s="11" t="s">
        <v>43</v>
      </c>
      <c r="J15" s="16" t="str">
        <f>VLOOKUP(A15,Asteriscati25!B:N,13,0)</f>
        <v>#N/A</v>
      </c>
      <c r="K15" s="26">
        <v>0.0</v>
      </c>
      <c r="L15" s="19" t="str">
        <f t="shared" si="2"/>
        <v>#REF!</v>
      </c>
      <c r="M15" s="19">
        <f>VLOOKUP(B15,FVM_Asta2425!A:M,13,0)</f>
        <v>1</v>
      </c>
      <c r="N15" s="19" t="str">
        <f t="shared" si="6"/>
        <v>#REF!</v>
      </c>
      <c r="O15" s="20">
        <f>VLOOKUP(B15,'FVM_1luglio-31luglio25'!D:Q,14,0)</f>
        <v>1</v>
      </c>
      <c r="P15" s="20">
        <f t="shared" ref="P15:P22" si="9">IFERROR(N15,O15)</f>
        <v>1</v>
      </c>
      <c r="Q15" s="21">
        <f t="shared" si="7"/>
        <v>0.5</v>
      </c>
      <c r="R15" s="21">
        <f t="shared" si="8"/>
        <v>0.5</v>
      </c>
      <c r="S15" s="20"/>
      <c r="T15" s="22"/>
      <c r="U15" s="23"/>
    </row>
    <row r="16" ht="22.5" hidden="1" customHeight="1">
      <c r="A16" s="9">
        <f>VLOOKUP(B16,FVM_astainv!A:B,2,0)</f>
        <v>5010</v>
      </c>
      <c r="B16" s="25" t="s">
        <v>615</v>
      </c>
      <c r="C16" s="11" t="s">
        <v>42</v>
      </c>
      <c r="D16" s="12" t="str">
        <f>VLOOKUP(B16,FVM_astainv!A:F,6,0)</f>
        <v>Empoli</v>
      </c>
      <c r="E16" s="13" t="str">
        <f>VLOOKUP(B16,FVM_astainv!A:D,4,0)</f>
        <v>Dc</v>
      </c>
      <c r="F16" s="11" t="s">
        <v>92</v>
      </c>
      <c r="G16" s="14">
        <v>45689.0</v>
      </c>
      <c r="H16" s="144">
        <f t="shared" si="1"/>
        <v>45839</v>
      </c>
      <c r="I16" s="11" t="s">
        <v>93</v>
      </c>
      <c r="J16" s="16" t="str">
        <f>VLOOKUP(A16,Asteriscati25!B:N,13,0)</f>
        <v>#N/A</v>
      </c>
      <c r="K16" s="26">
        <v>0.0</v>
      </c>
      <c r="L16" s="27">
        <v>34.0</v>
      </c>
      <c r="M16" s="19">
        <v>25.0</v>
      </c>
      <c r="N16" s="19" t="str">
        <f t="shared" si="6"/>
        <v>#REF!</v>
      </c>
      <c r="O16" s="20">
        <f>VLOOKUP(B16,'FVM_1luglio-31luglio25'!D:Q,14,0)</f>
        <v>14</v>
      </c>
      <c r="P16" s="20">
        <f t="shared" si="9"/>
        <v>14</v>
      </c>
      <c r="Q16" s="21">
        <f t="shared" ref="Q16:Q17" si="10">IF(OR(F16="Standard",F16="Standard Inverno"),CEILING((M16/10),0.5),
IF(OR(F16="Diritto 1+1",F16="Inverno Diritto 0,5 + 1"),CEILING((M16/10)*1.3,0.5),
CEILING((M16/10)*1.15,0.5)))</f>
        <v>2.5</v>
      </c>
      <c r="R16" s="21">
        <f t="shared" si="8"/>
        <v>1.5</v>
      </c>
      <c r="S16" s="20"/>
      <c r="T16" s="22"/>
      <c r="U16" s="23"/>
    </row>
    <row r="17" ht="22.5" hidden="1" customHeight="1">
      <c r="A17" s="9">
        <f>VLOOKUP(B17,FVM_astainv!A:B,2,0)</f>
        <v>6486</v>
      </c>
      <c r="B17" s="25" t="s">
        <v>616</v>
      </c>
      <c r="C17" s="11" t="s">
        <v>42</v>
      </c>
      <c r="D17" s="12" t="str">
        <f>VLOOKUP(B17,FVM_astainv!A:F,6,0)</f>
        <v>Verona</v>
      </c>
      <c r="E17" s="13" t="str">
        <f>VLOOKUP(B17,FVM_astainv!A:D,4,0)</f>
        <v>W;T</v>
      </c>
      <c r="F17" s="11" t="s">
        <v>92</v>
      </c>
      <c r="G17" s="14">
        <v>45689.0</v>
      </c>
      <c r="H17" s="144">
        <f t="shared" si="1"/>
        <v>45839</v>
      </c>
      <c r="I17" s="11" t="s">
        <v>93</v>
      </c>
      <c r="J17" s="16" t="str">
        <f>VLOOKUP(A17,Asteriscati25!B:N,13,0)</f>
        <v>#N/A</v>
      </c>
      <c r="K17" s="26">
        <v>0.0</v>
      </c>
      <c r="L17" s="27">
        <v>25.0</v>
      </c>
      <c r="M17" s="19">
        <v>25.0</v>
      </c>
      <c r="N17" s="19" t="str">
        <f t="shared" si="6"/>
        <v>#REF!</v>
      </c>
      <c r="O17" s="20">
        <f>VLOOKUP(B17,'FVM_1luglio-31luglio25'!D:Q,14,0)</f>
        <v>28</v>
      </c>
      <c r="P17" s="20">
        <f t="shared" si="9"/>
        <v>28</v>
      </c>
      <c r="Q17" s="21">
        <f t="shared" si="10"/>
        <v>2.5</v>
      </c>
      <c r="R17" s="21">
        <f t="shared" si="8"/>
        <v>1.5</v>
      </c>
      <c r="S17" s="20"/>
      <c r="T17" s="22"/>
      <c r="U17" s="23"/>
    </row>
    <row r="18" ht="22.5" hidden="1" customHeight="1">
      <c r="A18" s="9">
        <f>VLOOKUP(B18,FVM_astainv!A:B,2,0)</f>
        <v>5559</v>
      </c>
      <c r="B18" s="25" t="s">
        <v>617</v>
      </c>
      <c r="C18" s="11" t="s">
        <v>42</v>
      </c>
      <c r="D18" s="12" t="str">
        <f>VLOOKUP(B18,FVM_astainv!A:F,6,0)</f>
        <v>Como</v>
      </c>
      <c r="E18" s="13" t="str">
        <f>VLOOKUP(B18,FVM_astainv!A:D,4,0)</f>
        <v>W;T</v>
      </c>
      <c r="F18" s="11" t="s">
        <v>45</v>
      </c>
      <c r="G18" s="14">
        <v>45474.0</v>
      </c>
      <c r="H18" s="144">
        <f t="shared" si="1"/>
        <v>45839</v>
      </c>
      <c r="I18" s="11" t="s">
        <v>48</v>
      </c>
      <c r="J18" s="16" t="str">
        <f>VLOOKUP(A18,Asteriscati25!B:N,13,0)</f>
        <v>#N/A</v>
      </c>
      <c r="K18" s="26">
        <v>0.0</v>
      </c>
      <c r="L18" s="19" t="str">
        <f t="shared" ref="L18:L31" si="11">VLOOKUP(B18,Rose!B:D,3,0)</f>
        <v>#REF!</v>
      </c>
      <c r="M18" s="19">
        <f>VLOOKUP(B18,FVM_Asta2425!A:M,13,0)</f>
        <v>30</v>
      </c>
      <c r="N18" s="19" t="str">
        <f t="shared" si="6"/>
        <v>#REF!</v>
      </c>
      <c r="O18" s="20">
        <f>VLOOKUP(B18,'FVM_1luglio-31luglio25'!D:Q,14,0)</f>
        <v>33</v>
      </c>
      <c r="P18" s="20">
        <f t="shared" si="9"/>
        <v>33</v>
      </c>
      <c r="Q18" s="21">
        <f t="shared" ref="Q18:Q24" si="12">IF(F18="Standard",CEILING((M18/10),0.5),
IF(OR(F18="Diritto 1+1",M18="Inverno Diritto 0,5 + 1"),CEILING((M18/10)*1.3,0.5),
CEILING((M18/10)*1.15,0.5)))</f>
        <v>3</v>
      </c>
      <c r="R18" s="21">
        <f t="shared" si="8"/>
        <v>3</v>
      </c>
      <c r="S18" s="20"/>
      <c r="T18" s="22"/>
      <c r="U18" s="23"/>
    </row>
    <row r="19" ht="22.5" hidden="1" customHeight="1">
      <c r="A19" s="9">
        <f>VLOOKUP(B19,FVM_astainv!A:B,2,0)</f>
        <v>5739</v>
      </c>
      <c r="B19" s="25" t="s">
        <v>618</v>
      </c>
      <c r="C19" s="11" t="s">
        <v>42</v>
      </c>
      <c r="D19" s="12" t="str">
        <f>VLOOKUP(B19,FVM_astainv!A:F,6,0)</f>
        <v>Genoa</v>
      </c>
      <c r="E19" s="13" t="str">
        <f>VLOOKUP(B19,FVM_astainv!A:D,4,0)</f>
        <v>Dd;Dc</v>
      </c>
      <c r="F19" s="11" t="s">
        <v>45</v>
      </c>
      <c r="G19" s="14">
        <v>45474.0</v>
      </c>
      <c r="H19" s="144">
        <f t="shared" si="1"/>
        <v>45839</v>
      </c>
      <c r="I19" s="11" t="s">
        <v>48</v>
      </c>
      <c r="J19" s="16" t="str">
        <f>VLOOKUP(A19,Asteriscati25!B:N,13,0)</f>
        <v>#N/A</v>
      </c>
      <c r="K19" s="26">
        <v>0.0</v>
      </c>
      <c r="L19" s="19" t="str">
        <f t="shared" si="11"/>
        <v>#REF!</v>
      </c>
      <c r="M19" s="19">
        <f>VLOOKUP(B19,FVM_Asta2425!A:M,13,0)</f>
        <v>10</v>
      </c>
      <c r="N19" s="19" t="str">
        <f t="shared" si="6"/>
        <v>#REF!</v>
      </c>
      <c r="O19" s="20">
        <f>VLOOKUP(B19,'FVM_1luglio-31luglio25'!D:Q,14,0)</f>
        <v>16</v>
      </c>
      <c r="P19" s="20">
        <f t="shared" si="9"/>
        <v>16</v>
      </c>
      <c r="Q19" s="21">
        <f t="shared" si="12"/>
        <v>1</v>
      </c>
      <c r="R19" s="21">
        <f t="shared" si="8"/>
        <v>1</v>
      </c>
      <c r="S19" s="20"/>
      <c r="T19" s="22"/>
      <c r="U19" s="23"/>
    </row>
    <row r="20" ht="22.5" hidden="1" customHeight="1">
      <c r="A20" s="9">
        <f>VLOOKUP(B20,FVM_astainv!A:B,2,0)</f>
        <v>5471</v>
      </c>
      <c r="B20" s="25" t="s">
        <v>619</v>
      </c>
      <c r="C20" s="11" t="s">
        <v>42</v>
      </c>
      <c r="D20" s="12" t="str">
        <f>VLOOKUP(B20,FVM_astainv!A:F,6,0)</f>
        <v>Parma</v>
      </c>
      <c r="E20" s="13" t="str">
        <f>VLOOKUP(B20,FVM_astainv!A:D,4,0)</f>
        <v>Pc</v>
      </c>
      <c r="F20" s="11" t="s">
        <v>45</v>
      </c>
      <c r="G20" s="14">
        <v>45474.0</v>
      </c>
      <c r="H20" s="144">
        <f t="shared" si="1"/>
        <v>45839</v>
      </c>
      <c r="I20" s="11" t="s">
        <v>48</v>
      </c>
      <c r="J20" s="16" t="str">
        <f>VLOOKUP(A20,Asteriscati25!B:N,13,0)</f>
        <v>#N/A</v>
      </c>
      <c r="K20" s="26">
        <v>0.0</v>
      </c>
      <c r="L20" s="19" t="str">
        <f t="shared" si="11"/>
        <v>#REF!</v>
      </c>
      <c r="M20" s="19">
        <f>VLOOKUP(B20,FVM_Asta2425!A:M,13,0)</f>
        <v>27</v>
      </c>
      <c r="N20" s="19" t="str">
        <f t="shared" si="6"/>
        <v>#REF!</v>
      </c>
      <c r="O20" s="20">
        <f>VLOOKUP(B20,'FVM_1luglio-31luglio25'!D:Q,14,0)</f>
        <v>20</v>
      </c>
      <c r="P20" s="20">
        <f t="shared" si="9"/>
        <v>20</v>
      </c>
      <c r="Q20" s="21">
        <f t="shared" si="12"/>
        <v>3</v>
      </c>
      <c r="R20" s="21">
        <f t="shared" si="8"/>
        <v>3</v>
      </c>
      <c r="S20" s="20"/>
      <c r="T20" s="22"/>
      <c r="U20" s="23"/>
    </row>
    <row r="21" ht="22.5" hidden="1" customHeight="1">
      <c r="A21" s="9">
        <f>VLOOKUP(B21,FVM_astainv!A:B,2,0)</f>
        <v>5833</v>
      </c>
      <c r="B21" s="25" t="s">
        <v>620</v>
      </c>
      <c r="C21" s="11" t="s">
        <v>42</v>
      </c>
      <c r="D21" s="12" t="str">
        <f>VLOOKUP(B21,FVM_astainv!A:F,6,0)</f>
        <v>Lazio</v>
      </c>
      <c r="E21" s="13" t="str">
        <f>VLOOKUP(B21,FVM_astainv!A:D,4,0)</f>
        <v>Dc</v>
      </c>
      <c r="F21" s="11" t="s">
        <v>45</v>
      </c>
      <c r="G21" s="14">
        <v>45474.0</v>
      </c>
      <c r="H21" s="144">
        <f t="shared" si="1"/>
        <v>45839</v>
      </c>
      <c r="I21" s="11" t="s">
        <v>48</v>
      </c>
      <c r="J21" s="16" t="str">
        <f>VLOOKUP(A21,Asteriscati25!B:N,13,0)</f>
        <v>#N/A</v>
      </c>
      <c r="K21" s="26">
        <v>0.0</v>
      </c>
      <c r="L21" s="19" t="str">
        <f t="shared" si="11"/>
        <v>#REF!</v>
      </c>
      <c r="M21" s="19">
        <f>VLOOKUP(B21,FVM_Asta2425!A:M,13,0)</f>
        <v>11</v>
      </c>
      <c r="N21" s="19" t="str">
        <f t="shared" si="6"/>
        <v>#REF!</v>
      </c>
      <c r="O21" s="20">
        <f>VLOOKUP(B21,'FVM_1luglio-31luglio25'!D:Q,14,0)</f>
        <v>15</v>
      </c>
      <c r="P21" s="20">
        <f t="shared" si="9"/>
        <v>15</v>
      </c>
      <c r="Q21" s="21">
        <f t="shared" si="12"/>
        <v>1.5</v>
      </c>
      <c r="R21" s="21">
        <f t="shared" si="8"/>
        <v>1.5</v>
      </c>
      <c r="S21" s="20"/>
      <c r="T21" s="22"/>
      <c r="U21" s="23"/>
    </row>
    <row r="22" ht="22.5" hidden="1" customHeight="1">
      <c r="A22" s="9">
        <f>VLOOKUP(B22,FVM_astainv!A:B,2,0)</f>
        <v>5131</v>
      </c>
      <c r="B22" s="43" t="s">
        <v>621</v>
      </c>
      <c r="C22" s="112" t="s">
        <v>42</v>
      </c>
      <c r="D22" s="12" t="str">
        <f>VLOOKUP(B22,FVM_astainv!A:F,6,0)</f>
        <v>Napoli</v>
      </c>
      <c r="E22" s="13" t="str">
        <f>VLOOKUP(B22,FVM_astainv!A:D,4,0)</f>
        <v>M;C</v>
      </c>
      <c r="F22" s="45" t="s">
        <v>45</v>
      </c>
      <c r="G22" s="15">
        <v>45474.0</v>
      </c>
      <c r="H22" s="146">
        <f t="shared" si="1"/>
        <v>45839</v>
      </c>
      <c r="I22" s="33" t="s">
        <v>126</v>
      </c>
      <c r="J22" s="16" t="str">
        <f>VLOOKUP(A22,Asteriscati25!B:N,13,0)</f>
        <v>#N/A</v>
      </c>
      <c r="K22" s="64">
        <v>0.4</v>
      </c>
      <c r="L22" s="47" t="str">
        <f t="shared" si="11"/>
        <v>#REF!</v>
      </c>
      <c r="M22" s="47">
        <f>VLOOKUP(B22,FVM_Asta2425!A:M,13,0)</f>
        <v>13</v>
      </c>
      <c r="N22" s="19" t="str">
        <f t="shared" si="6"/>
        <v>#REF!</v>
      </c>
      <c r="O22" s="20">
        <f>VLOOKUP(B22,'FVM_1luglio-31luglio25'!D:Q,14,0)</f>
        <v>16</v>
      </c>
      <c r="P22" s="36">
        <f t="shared" si="9"/>
        <v>16</v>
      </c>
      <c r="Q22" s="119">
        <f t="shared" si="12"/>
        <v>1.5</v>
      </c>
      <c r="R22" s="119">
        <f t="shared" si="8"/>
        <v>1</v>
      </c>
      <c r="S22" s="37"/>
      <c r="T22" s="149" t="s">
        <v>148</v>
      </c>
      <c r="U22" s="115"/>
    </row>
    <row r="23" ht="22.5" hidden="1" customHeight="1">
      <c r="A23" s="9">
        <f>VLOOKUP(B23,FVM_astainv!A:B,2,0)</f>
        <v>6112</v>
      </c>
      <c r="B23" s="25" t="s">
        <v>278</v>
      </c>
      <c r="C23" s="11" t="s">
        <v>42</v>
      </c>
      <c r="D23" s="12" t="str">
        <f>VLOOKUP(B23,FVM_astainv!A:F,6,0)</f>
        <v>Bologna</v>
      </c>
      <c r="E23" s="13" t="str">
        <f>VLOOKUP(B23,FVM_astainv!A:D,4,0)</f>
        <v>W</v>
      </c>
      <c r="F23" s="11" t="s">
        <v>45</v>
      </c>
      <c r="G23" s="14">
        <v>45474.0</v>
      </c>
      <c r="H23" s="144">
        <f t="shared" si="1"/>
        <v>45839</v>
      </c>
      <c r="I23" s="11" t="s">
        <v>46</v>
      </c>
      <c r="J23" s="16" t="str">
        <f>VLOOKUP(A23,Asteriscati25!B:N,13,0)</f>
        <v>#N/A</v>
      </c>
      <c r="K23" s="26">
        <v>0.0</v>
      </c>
      <c r="L23" s="19" t="str">
        <f t="shared" si="11"/>
        <v>#REF!</v>
      </c>
      <c r="M23" s="19">
        <f>VLOOKUP(B23,FVM_Asta2425!A:M,13,0)</f>
        <v>11</v>
      </c>
      <c r="N23" s="19" t="str">
        <f t="shared" si="6"/>
        <v>#REF!</v>
      </c>
      <c r="O23" s="20" t="str">
        <f>VLOOKUP(B23,'FVM_1luglio-31luglio25'!D:Q,14,0)</f>
        <v>#N/A</v>
      </c>
      <c r="P23" s="9">
        <v>0.0</v>
      </c>
      <c r="Q23" s="21">
        <f t="shared" si="12"/>
        <v>1.5</v>
      </c>
      <c r="R23" s="21">
        <f t="shared" si="8"/>
        <v>1</v>
      </c>
      <c r="S23" s="20"/>
      <c r="T23" s="22"/>
      <c r="U23" s="23"/>
    </row>
    <row r="24" ht="22.5" hidden="1" customHeight="1">
      <c r="A24" s="9">
        <f>VLOOKUP(B24,FVM_astainv!A:B,2,0)</f>
        <v>4425</v>
      </c>
      <c r="B24" s="25" t="s">
        <v>622</v>
      </c>
      <c r="C24" s="11" t="s">
        <v>42</v>
      </c>
      <c r="D24" s="12" t="str">
        <f>VLOOKUP(B24,FVM_astainv!A:F,6,0)</f>
        <v>Venezia</v>
      </c>
      <c r="E24" s="13" t="str">
        <f>VLOOKUP(B24,FVM_astainv!A:D,4,0)</f>
        <v>Por</v>
      </c>
      <c r="F24" s="11" t="s">
        <v>45</v>
      </c>
      <c r="G24" s="14">
        <v>45474.0</v>
      </c>
      <c r="H24" s="144">
        <f t="shared" si="1"/>
        <v>45839</v>
      </c>
      <c r="I24" s="11" t="s">
        <v>48</v>
      </c>
      <c r="J24" s="16" t="str">
        <f>VLOOKUP(A24,Asteriscati25!B:N,13,0)</f>
        <v>#N/A</v>
      </c>
      <c r="K24" s="26">
        <v>0.0</v>
      </c>
      <c r="L24" s="19" t="str">
        <f t="shared" si="11"/>
        <v>#REF!</v>
      </c>
      <c r="M24" s="19">
        <f>VLOOKUP(B24,FVM_Asta2425!A:M,13,0)</f>
        <v>21</v>
      </c>
      <c r="N24" s="19" t="str">
        <f t="shared" si="6"/>
        <v>#REF!</v>
      </c>
      <c r="O24" s="20">
        <f>VLOOKUP(B24,'FVM_1luglio-31luglio25'!D:Q,14,0)</f>
        <v>11</v>
      </c>
      <c r="P24" s="20">
        <f t="shared" ref="P24:P32" si="13">IFERROR(N24,O24)</f>
        <v>11</v>
      </c>
      <c r="Q24" s="21">
        <f t="shared" si="12"/>
        <v>2.5</v>
      </c>
      <c r="R24" s="21">
        <f t="shared" si="8"/>
        <v>2.5</v>
      </c>
      <c r="S24" s="20"/>
      <c r="T24" s="22"/>
      <c r="U24" s="23"/>
    </row>
    <row r="25" ht="22.5" hidden="1" customHeight="1">
      <c r="A25" s="9">
        <f>VLOOKUP(B25,FVM_astainv!A:B,2,0)</f>
        <v>5850</v>
      </c>
      <c r="B25" s="138" t="s">
        <v>64</v>
      </c>
      <c r="C25" s="88" t="s">
        <v>42</v>
      </c>
      <c r="D25" s="12" t="str">
        <f>VLOOKUP(B25,FVM_astainv!A:F,6,0)</f>
        <v>Udinese</v>
      </c>
      <c r="E25" s="13" t="str">
        <f>VLOOKUP(B25,FVM_astainv!A:D,4,0)</f>
        <v>C</v>
      </c>
      <c r="F25" s="93" t="str">
        <f>VLOOKUP(B25,'situazione contratti estate 24'!A:I,9,0)</f>
        <v>Obbligo 1+2</v>
      </c>
      <c r="G25" s="150">
        <v>45108.0</v>
      </c>
      <c r="H25" s="151">
        <f t="shared" si="1"/>
        <v>46204</v>
      </c>
      <c r="I25" s="88" t="s">
        <v>48</v>
      </c>
      <c r="J25" s="16" t="str">
        <f>VLOOKUP(A25,Asteriscati25!B:N,13,0)</f>
        <v>#N/A</v>
      </c>
      <c r="K25" s="152">
        <v>0.0</v>
      </c>
      <c r="L25" s="94" t="str">
        <f t="shared" si="11"/>
        <v>#REF!</v>
      </c>
      <c r="M25" s="94">
        <f>VLOOKUP(B25,FVM_Asta2324!C:M,11,0)</f>
        <v>53</v>
      </c>
      <c r="N25" s="19" t="str">
        <f t="shared" si="6"/>
        <v>#REF!</v>
      </c>
      <c r="O25" s="20">
        <f>VLOOKUP(B25,'FVM_1luglio-31luglio25'!D:Q,14,0)</f>
        <v>22</v>
      </c>
      <c r="P25" s="20">
        <f t="shared" si="13"/>
        <v>22</v>
      </c>
      <c r="Q25" s="95">
        <f>VLOOKUP(B25,'situazione contratti estate 24'!A:K,11,0)</f>
        <v>6.5</v>
      </c>
      <c r="R25" s="95">
        <f t="shared" si="8"/>
        <v>6.5</v>
      </c>
      <c r="S25" s="59"/>
      <c r="T25" s="96"/>
      <c r="U25" s="97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3"/>
      <c r="AJ25" s="153"/>
      <c r="AK25" s="153"/>
      <c r="AL25" s="153"/>
      <c r="AM25" s="153"/>
    </row>
    <row r="26" ht="22.5" hidden="1" customHeight="1">
      <c r="A26" s="9">
        <f>VLOOKUP(B26,FVM_astainv!A:B,2,0)</f>
        <v>2296</v>
      </c>
      <c r="B26" s="138" t="s">
        <v>70</v>
      </c>
      <c r="C26" s="88" t="s">
        <v>42</v>
      </c>
      <c r="D26" s="12" t="str">
        <f>VLOOKUP(B26,FVM_astainv!A:F,6,0)</f>
        <v>Roma</v>
      </c>
      <c r="E26" s="13" t="str">
        <f>VLOOKUP(B26,FVM_astainv!A:D,4,0)</f>
        <v>Dc</v>
      </c>
      <c r="F26" s="88" t="s">
        <v>67</v>
      </c>
      <c r="G26" s="150">
        <v>45474.0</v>
      </c>
      <c r="H26" s="151">
        <f t="shared" si="1"/>
        <v>46204</v>
      </c>
      <c r="I26" s="88" t="s">
        <v>48</v>
      </c>
      <c r="J26" s="16" t="str">
        <f>VLOOKUP(A26,Asteriscati25!B:N,13,0)</f>
        <v>#N/A</v>
      </c>
      <c r="K26" s="152">
        <v>0.0</v>
      </c>
      <c r="L26" s="94" t="str">
        <f t="shared" si="11"/>
        <v>#REF!</v>
      </c>
      <c r="M26" s="94">
        <f>VLOOKUP(B26,FVM_Asta2425!A:M,13,0)</f>
        <v>26</v>
      </c>
      <c r="N26" s="19" t="str">
        <f t="shared" si="6"/>
        <v>#REF!</v>
      </c>
      <c r="O26" s="20">
        <f>VLOOKUP(B26,'FVM_1luglio-31luglio25'!D:Q,14,0)</f>
        <v>27</v>
      </c>
      <c r="P26" s="20">
        <f t="shared" si="13"/>
        <v>27</v>
      </c>
      <c r="Q26" s="95">
        <f t="shared" ref="Q26:Q31" si="14">IF(F26="Standard",CEILING((M26/10),0.5),
IF(OR(F26="Diritto 1+1",M26="Inverno Diritto 0,5 + 1"),CEILING((M26/10)*1.3,0.5),
CEILING((M26/10)*1.15,0.5)))</f>
        <v>3</v>
      </c>
      <c r="R26" s="95">
        <f t="shared" si="8"/>
        <v>3</v>
      </c>
      <c r="S26" s="59"/>
      <c r="T26" s="96"/>
      <c r="U26" s="97"/>
    </row>
    <row r="27" ht="22.5" hidden="1" customHeight="1">
      <c r="A27" s="9">
        <f>VLOOKUP(B27,FVM_astainv!A:B,2,0)</f>
        <v>49</v>
      </c>
      <c r="B27" s="25" t="s">
        <v>623</v>
      </c>
      <c r="C27" s="11" t="s">
        <v>42</v>
      </c>
      <c r="D27" s="12" t="str">
        <f>VLOOKUP(B27,FVM_astainv!A:F,6,0)</f>
        <v>Torino</v>
      </c>
      <c r="E27" s="13" t="str">
        <f>VLOOKUP(B27,FVM_astainv!A:D,4,0)</f>
        <v>B;Ds;E</v>
      </c>
      <c r="F27" s="11" t="s">
        <v>45</v>
      </c>
      <c r="G27" s="14">
        <v>45474.0</v>
      </c>
      <c r="H27" s="144">
        <f t="shared" si="1"/>
        <v>45839</v>
      </c>
      <c r="I27" s="11" t="s">
        <v>48</v>
      </c>
      <c r="J27" s="16" t="str">
        <f>VLOOKUP(A27,Asteriscati25!B:N,13,0)</f>
        <v>#N/A</v>
      </c>
      <c r="K27" s="26">
        <v>0.0</v>
      </c>
      <c r="L27" s="19" t="str">
        <f t="shared" si="11"/>
        <v>#REF!</v>
      </c>
      <c r="M27" s="19">
        <f>VLOOKUP(B27,FVM_Asta2425!A:M,13,0)</f>
        <v>14</v>
      </c>
      <c r="N27" s="19" t="str">
        <f t="shared" si="6"/>
        <v>#REF!</v>
      </c>
      <c r="O27" s="20">
        <f>VLOOKUP(B27,'FVM_1luglio-31luglio25'!D:Q,14,0)</f>
        <v>14</v>
      </c>
      <c r="P27" s="20">
        <f t="shared" si="13"/>
        <v>14</v>
      </c>
      <c r="Q27" s="21">
        <f t="shared" si="14"/>
        <v>1.5</v>
      </c>
      <c r="R27" s="21">
        <f t="shared" si="8"/>
        <v>1.5</v>
      </c>
      <c r="S27" s="20"/>
      <c r="T27" s="22"/>
      <c r="U27" s="23"/>
    </row>
    <row r="28" ht="22.5" hidden="1" customHeight="1">
      <c r="A28" s="9">
        <f>VLOOKUP(B28,FVM_astainv!A:B,2,0)</f>
        <v>6833</v>
      </c>
      <c r="B28" s="25" t="s">
        <v>624</v>
      </c>
      <c r="C28" s="11" t="s">
        <v>42</v>
      </c>
      <c r="D28" s="12" t="str">
        <f>VLOOKUP(B28,FVM_astainv!A:F,6,0)</f>
        <v>Juventus</v>
      </c>
      <c r="E28" s="13" t="str">
        <f>VLOOKUP(B28,FVM_astainv!A:D,4,0)</f>
        <v>A</v>
      </c>
      <c r="F28" s="11" t="s">
        <v>45</v>
      </c>
      <c r="G28" s="14">
        <v>45474.0</v>
      </c>
      <c r="H28" s="144">
        <f t="shared" si="1"/>
        <v>45839</v>
      </c>
      <c r="I28" s="11" t="s">
        <v>48</v>
      </c>
      <c r="J28" s="16" t="str">
        <f>VLOOKUP(A28,Asteriscati25!B:N,13,0)</f>
        <v>#N/A</v>
      </c>
      <c r="K28" s="26">
        <v>0.0</v>
      </c>
      <c r="L28" s="19" t="str">
        <f t="shared" si="11"/>
        <v>#REF!</v>
      </c>
      <c r="M28" s="19">
        <f>VLOOKUP(B28,FVM_Asta2425!A:M,13,0)</f>
        <v>17</v>
      </c>
      <c r="N28" s="19" t="str">
        <f t="shared" si="6"/>
        <v>#REF!</v>
      </c>
      <c r="O28" s="20">
        <f>VLOOKUP(B28,'FVM_1luglio-31luglio25'!D:Q,14,0)</f>
        <v>13</v>
      </c>
      <c r="P28" s="20">
        <f t="shared" si="13"/>
        <v>13</v>
      </c>
      <c r="Q28" s="21">
        <f t="shared" si="14"/>
        <v>2</v>
      </c>
      <c r="R28" s="21">
        <f t="shared" si="8"/>
        <v>2</v>
      </c>
      <c r="S28" s="20"/>
      <c r="T28" s="22"/>
      <c r="U28" s="23"/>
    </row>
    <row r="29" ht="22.5" hidden="1" customHeight="1">
      <c r="A29" s="9">
        <f>VLOOKUP(B29,FVM_astainv!A:B,2,0)</f>
        <v>4734</v>
      </c>
      <c r="B29" s="25" t="s">
        <v>72</v>
      </c>
      <c r="C29" s="11" t="s">
        <v>42</v>
      </c>
      <c r="D29" s="12" t="str">
        <f>VLOOKUP(B29,FVM_astainv!A:F,6,0)</f>
        <v>Bologna</v>
      </c>
      <c r="E29" s="13" t="str">
        <f>VLOOKUP(B29,FVM_astainv!A:D,4,0)</f>
        <v>Ds;E</v>
      </c>
      <c r="F29" s="11" t="s">
        <v>55</v>
      </c>
      <c r="G29" s="14">
        <v>45474.0</v>
      </c>
      <c r="H29" s="144">
        <f t="shared" si="1"/>
        <v>46204</v>
      </c>
      <c r="I29" s="11" t="s">
        <v>48</v>
      </c>
      <c r="J29" s="16" t="str">
        <f>VLOOKUP(A29,Asteriscati25!B:N,13,0)</f>
        <v>#N/A</v>
      </c>
      <c r="K29" s="26">
        <v>0.0</v>
      </c>
      <c r="L29" s="19" t="str">
        <f t="shared" si="11"/>
        <v>#REF!</v>
      </c>
      <c r="M29" s="19">
        <f>VLOOKUP(B29,FVM_Asta2425!A:M,13,0)</f>
        <v>16</v>
      </c>
      <c r="N29" s="19" t="str">
        <f t="shared" si="6"/>
        <v>#REF!</v>
      </c>
      <c r="O29" s="20">
        <f>VLOOKUP(B29,'FVM_1luglio-31luglio25'!D:Q,14,0)</f>
        <v>21</v>
      </c>
      <c r="P29" s="20">
        <f t="shared" si="13"/>
        <v>21</v>
      </c>
      <c r="Q29" s="21">
        <f t="shared" si="14"/>
        <v>2.5</v>
      </c>
      <c r="R29" s="21">
        <f t="shared" si="8"/>
        <v>2.5</v>
      </c>
      <c r="S29" s="20"/>
      <c r="T29" s="22"/>
      <c r="U29" s="23"/>
    </row>
    <row r="30" ht="22.5" hidden="1" customHeight="1">
      <c r="A30" s="9">
        <f>VLOOKUP(B30,FVM_astainv!A:B,2,0)</f>
        <v>5882</v>
      </c>
      <c r="B30" s="25" t="s">
        <v>625</v>
      </c>
      <c r="C30" s="11" t="s">
        <v>42</v>
      </c>
      <c r="D30" s="12" t="str">
        <f>VLOOKUP(B30,FVM_astainv!A:F,6,0)</f>
        <v>Monza</v>
      </c>
      <c r="E30" s="13" t="str">
        <f>VLOOKUP(B30,FVM_astainv!A:D,4,0)</f>
        <v>A</v>
      </c>
      <c r="F30" s="11" t="s">
        <v>45</v>
      </c>
      <c r="G30" s="14">
        <v>45474.0</v>
      </c>
      <c r="H30" s="144">
        <f t="shared" si="1"/>
        <v>45839</v>
      </c>
      <c r="I30" s="11" t="s">
        <v>46</v>
      </c>
      <c r="J30" s="16" t="str">
        <f>VLOOKUP(A30,Asteriscati25!B:N,13,0)</f>
        <v>#N/A</v>
      </c>
      <c r="K30" s="26">
        <v>0.6</v>
      </c>
      <c r="L30" s="19" t="str">
        <f t="shared" si="11"/>
        <v>#REF!</v>
      </c>
      <c r="M30" s="19">
        <f>VLOOKUP(B30,FVM_Asta2425!A:M,13,0)</f>
        <v>22</v>
      </c>
      <c r="N30" s="19" t="str">
        <f t="shared" si="6"/>
        <v>#REF!</v>
      </c>
      <c r="O30" s="20">
        <f>VLOOKUP(B30,'FVM_1luglio-31luglio25'!D:Q,14,0)</f>
        <v>19</v>
      </c>
      <c r="P30" s="20">
        <f t="shared" si="13"/>
        <v>19</v>
      </c>
      <c r="Q30" s="21">
        <f t="shared" si="14"/>
        <v>2.5</v>
      </c>
      <c r="R30" s="21">
        <f t="shared" si="8"/>
        <v>1.5</v>
      </c>
      <c r="S30" s="20"/>
      <c r="T30" s="22"/>
      <c r="U30" s="23"/>
    </row>
    <row r="31" ht="22.5" hidden="1" customHeight="1">
      <c r="A31" s="9">
        <f>VLOOKUP(B31,FVM_astainv!A:B,2,0)</f>
        <v>6556</v>
      </c>
      <c r="B31" s="25" t="s">
        <v>626</v>
      </c>
      <c r="C31" s="11" t="s">
        <v>42</v>
      </c>
      <c r="D31" s="12" t="str">
        <f>VLOOKUP(B31,FVM_astainv!A:F,6,0)</f>
        <v>Lazio</v>
      </c>
      <c r="E31" s="13" t="str">
        <f>VLOOKUP(B31,FVM_astainv!A:D,4,0)</f>
        <v>A</v>
      </c>
      <c r="F31" s="11" t="s">
        <v>45</v>
      </c>
      <c r="G31" s="14">
        <v>45474.0</v>
      </c>
      <c r="H31" s="144">
        <f t="shared" si="1"/>
        <v>45839</v>
      </c>
      <c r="I31" s="11" t="s">
        <v>46</v>
      </c>
      <c r="J31" s="16" t="str">
        <f>VLOOKUP(A31,Asteriscati25!B:N,13,0)</f>
        <v>#N/A</v>
      </c>
      <c r="K31" s="26">
        <v>0.0</v>
      </c>
      <c r="L31" s="19" t="str">
        <f t="shared" si="11"/>
        <v>#REF!</v>
      </c>
      <c r="M31" s="19">
        <f>VLOOKUP(B31,FVM_Asta2425!A:M,13,0)</f>
        <v>78</v>
      </c>
      <c r="N31" s="19" t="str">
        <f t="shared" si="6"/>
        <v>#REF!</v>
      </c>
      <c r="O31" s="20">
        <f>VLOOKUP(B31,'FVM_1luglio-31luglio25'!D:Q,14,0)</f>
        <v>43</v>
      </c>
      <c r="P31" s="20">
        <f t="shared" si="13"/>
        <v>43</v>
      </c>
      <c r="Q31" s="21">
        <f t="shared" si="14"/>
        <v>8</v>
      </c>
      <c r="R31" s="21">
        <f t="shared" si="8"/>
        <v>4</v>
      </c>
      <c r="S31" s="20"/>
      <c r="T31" s="22"/>
      <c r="U31" s="23"/>
    </row>
    <row r="32" ht="22.5" hidden="1" customHeight="1">
      <c r="A32" s="9">
        <f>VLOOKUP(B32,FVM_astainv!A:B,2,0)</f>
        <v>2765</v>
      </c>
      <c r="B32" s="25" t="s">
        <v>73</v>
      </c>
      <c r="C32" s="11" t="s">
        <v>42</v>
      </c>
      <c r="D32" s="12" t="str">
        <f>VLOOKUP(B32,FVM_astainv!A:F,6,0)</f>
        <v>Bologna</v>
      </c>
      <c r="E32" s="13" t="str">
        <f>VLOOKUP(B32,FVM_astainv!A:D,4,0)</f>
        <v>A</v>
      </c>
      <c r="F32" s="11" t="s">
        <v>74</v>
      </c>
      <c r="G32" s="14">
        <v>45689.0</v>
      </c>
      <c r="H32" s="144">
        <f t="shared" si="1"/>
        <v>46600</v>
      </c>
      <c r="I32" s="11" t="s">
        <v>93</v>
      </c>
      <c r="J32" s="16" t="str">
        <f>VLOOKUP(A32,Asteriscati25!B:N,13,0)</f>
        <v>#N/A</v>
      </c>
      <c r="K32" s="26">
        <v>0.0</v>
      </c>
      <c r="L32" s="27">
        <v>91.0</v>
      </c>
      <c r="M32" s="19">
        <v>55.0</v>
      </c>
      <c r="N32" s="19" t="str">
        <f t="shared" si="6"/>
        <v>#REF!</v>
      </c>
      <c r="O32" s="20">
        <f>VLOOKUP(B32,'FVM_1luglio-31luglio25'!D:Q,14,0)</f>
        <v>28</v>
      </c>
      <c r="P32" s="20">
        <f t="shared" si="13"/>
        <v>28</v>
      </c>
      <c r="Q32" s="21">
        <f>IF(OR(F32="Standard",F32="Standard Inverno"),CEILING((M32/10),0.5),
IF(OR(F32="Diritto 1+1",F32="Inverno Diritto 0,5 + 1"),CEILING((M32/10)*1.3,0.5),
CEILING((M32/10)*1.15,0.5)))</f>
        <v>6.5</v>
      </c>
      <c r="R32" s="21">
        <f t="shared" si="8"/>
        <v>3.5</v>
      </c>
      <c r="S32" s="19"/>
      <c r="T32" s="17"/>
      <c r="U32" s="10"/>
    </row>
    <row r="33" ht="22.5" hidden="1" customHeight="1">
      <c r="A33" s="9">
        <f>VLOOKUP(B33,FVM_astainv!A:B,2,0)</f>
        <v>5079</v>
      </c>
      <c r="B33" s="25" t="s">
        <v>627</v>
      </c>
      <c r="C33" s="11" t="s">
        <v>42</v>
      </c>
      <c r="D33" s="12" t="str">
        <f>VLOOKUP(B33,FVM_astainv!A:F,6,0)</f>
        <v>Venezia</v>
      </c>
      <c r="E33" s="13" t="str">
        <f>VLOOKUP(B33,FVM_astainv!A:D,4,0)</f>
        <v>Pc</v>
      </c>
      <c r="F33" s="11" t="s">
        <v>45</v>
      </c>
      <c r="G33" s="14">
        <v>45474.0</v>
      </c>
      <c r="H33" s="144">
        <f t="shared" si="1"/>
        <v>45839</v>
      </c>
      <c r="I33" s="11" t="s">
        <v>46</v>
      </c>
      <c r="J33" s="16" t="str">
        <f>VLOOKUP(A33,Asteriscati25!B:N,13,0)</f>
        <v>#N/A</v>
      </c>
      <c r="K33" s="26">
        <v>0.0</v>
      </c>
      <c r="L33" s="19" t="str">
        <f t="shared" ref="L33:L56" si="15">VLOOKUP(B33,Rose!B:D,3,0)</f>
        <v>#REF!</v>
      </c>
      <c r="M33" s="19">
        <f>VLOOKUP(B33,FVM_Asta2425!A:M,13,0)</f>
        <v>75</v>
      </c>
      <c r="N33" s="19" t="str">
        <f t="shared" si="6"/>
        <v>#REF!</v>
      </c>
      <c r="O33" s="20" t="str">
        <f>VLOOKUP(B33,'FVM_1luglio-31luglio25'!D:Q,14,0)</f>
        <v>#N/A</v>
      </c>
      <c r="P33" s="9">
        <v>0.0</v>
      </c>
      <c r="Q33" s="21">
        <f t="shared" ref="Q33:Q34" si="16">IF(F33="Standard",CEILING((M33/10),0.5),
IF(OR(F33="Diritto 1+1",M33="Inverno Diritto 0,5 + 1"),CEILING((M33/10)*1.3,0.5),
CEILING((M33/10)*1.15,0.5)))</f>
        <v>7.5</v>
      </c>
      <c r="R33" s="21">
        <f t="shared" si="8"/>
        <v>4</v>
      </c>
      <c r="S33" s="20"/>
      <c r="T33" s="22"/>
      <c r="U33" s="23"/>
    </row>
    <row r="34" ht="22.5" hidden="1" customHeight="1">
      <c r="A34" s="9">
        <f>VLOOKUP(B34,FVM_astainv!A:B,2,0)</f>
        <v>2722</v>
      </c>
      <c r="B34" s="25" t="s">
        <v>628</v>
      </c>
      <c r="C34" s="11" t="s">
        <v>42</v>
      </c>
      <c r="D34" s="12" t="str">
        <f>VLOOKUP(B34,FVM_astainv!A:F,6,0)</f>
        <v>Bologna</v>
      </c>
      <c r="E34" s="13" t="str">
        <f>VLOOKUP(B34,FVM_astainv!A:D,4,0)</f>
        <v>Por</v>
      </c>
      <c r="F34" s="11" t="s">
        <v>45</v>
      </c>
      <c r="G34" s="14">
        <v>45474.0</v>
      </c>
      <c r="H34" s="144">
        <f t="shared" si="1"/>
        <v>45839</v>
      </c>
      <c r="I34" s="11" t="s">
        <v>48</v>
      </c>
      <c r="J34" s="16" t="str">
        <f>VLOOKUP(A34,Asteriscati25!B:N,13,0)</f>
        <v>#N/A</v>
      </c>
      <c r="K34" s="26">
        <v>0.0</v>
      </c>
      <c r="L34" s="19" t="str">
        <f t="shared" si="15"/>
        <v>#REF!</v>
      </c>
      <c r="M34" s="19">
        <f>VLOOKUP(B34,FVM_Asta2425!A:M,13,0)</f>
        <v>1</v>
      </c>
      <c r="N34" s="19" t="str">
        <f t="shared" si="6"/>
        <v>#REF!</v>
      </c>
      <c r="O34" s="20">
        <f>VLOOKUP(B34,'FVM_1luglio-31luglio25'!D:Q,14,0)</f>
        <v>1</v>
      </c>
      <c r="P34" s="20">
        <f t="shared" ref="P34:P47" si="17">IFERROR(N34,O34)</f>
        <v>1</v>
      </c>
      <c r="Q34" s="21">
        <f t="shared" si="16"/>
        <v>0.5</v>
      </c>
      <c r="R34" s="21">
        <f t="shared" si="8"/>
        <v>0.5</v>
      </c>
      <c r="S34" s="20"/>
      <c r="T34" s="22"/>
      <c r="U34" s="23"/>
    </row>
    <row r="35" ht="22.5" hidden="1" customHeight="1">
      <c r="A35" s="9">
        <f>VLOOKUP(B35,FVM_astainv!A:B,2,0)</f>
        <v>5453</v>
      </c>
      <c r="B35" s="25" t="s">
        <v>79</v>
      </c>
      <c r="C35" s="11" t="s">
        <v>42</v>
      </c>
      <c r="D35" s="12" t="str">
        <f>VLOOKUP(B35,FVM_astainv!A:F,6,0)</f>
        <v>Torino</v>
      </c>
      <c r="E35" s="13" t="str">
        <f>VLOOKUP(B35,FVM_astainv!A:D,4,0)</f>
        <v>M;C</v>
      </c>
      <c r="F35" s="17" t="str">
        <f>VLOOKUP(B35,'situazione contratti estate 24'!A:I,9,0)</f>
        <v>Obbligo 1+2</v>
      </c>
      <c r="G35" s="14">
        <v>45108.0</v>
      </c>
      <c r="H35" s="144">
        <f t="shared" si="1"/>
        <v>46204</v>
      </c>
      <c r="I35" s="11" t="s">
        <v>48</v>
      </c>
      <c r="J35" s="16" t="str">
        <f>VLOOKUP(A35,Asteriscati25!B:N,13,0)</f>
        <v>#N/A</v>
      </c>
      <c r="K35" s="26">
        <v>0.0</v>
      </c>
      <c r="L35" s="19" t="str">
        <f t="shared" si="15"/>
        <v>#REF!</v>
      </c>
      <c r="M35" s="19">
        <f>VLOOKUP(B35,FVM_Asta2324!C:M,11,0)</f>
        <v>28</v>
      </c>
      <c r="N35" s="19" t="str">
        <f t="shared" si="6"/>
        <v>#REF!</v>
      </c>
      <c r="O35" s="20">
        <f>VLOOKUP(B35,'FVM_1luglio-31luglio25'!D:Q,14,0)</f>
        <v>22</v>
      </c>
      <c r="P35" s="20">
        <f t="shared" si="17"/>
        <v>22</v>
      </c>
      <c r="Q35" s="21">
        <f>VLOOKUP(B35,'situazione contratti estate 24'!A:K,11,0)</f>
        <v>3.5</v>
      </c>
      <c r="R35" s="21">
        <f t="shared" si="8"/>
        <v>3.5</v>
      </c>
      <c r="S35" s="20"/>
      <c r="T35" s="22"/>
      <c r="U35" s="23"/>
    </row>
    <row r="36" ht="22.5" hidden="1" customHeight="1">
      <c r="A36" s="9">
        <f>VLOOKUP(B36,FVM_astainv!A:B,2,0)</f>
        <v>4486</v>
      </c>
      <c r="B36" s="25" t="s">
        <v>629</v>
      </c>
      <c r="C36" s="11" t="s">
        <v>42</v>
      </c>
      <c r="D36" s="12" t="str">
        <f>VLOOKUP(B36,FVM_astainv!A:F,6,0)</f>
        <v>Como</v>
      </c>
      <c r="E36" s="13" t="str">
        <f>VLOOKUP(B36,FVM_astainv!A:D,4,0)</f>
        <v>W</v>
      </c>
      <c r="F36" s="11" t="s">
        <v>45</v>
      </c>
      <c r="G36" s="14">
        <v>45474.0</v>
      </c>
      <c r="H36" s="144">
        <f t="shared" si="1"/>
        <v>45839</v>
      </c>
      <c r="I36" s="11" t="s">
        <v>48</v>
      </c>
      <c r="J36" s="16" t="str">
        <f>VLOOKUP(A36,Asteriscati25!B:N,13,0)</f>
        <v>#N/A</v>
      </c>
      <c r="K36" s="26">
        <v>0.0</v>
      </c>
      <c r="L36" s="19" t="str">
        <f t="shared" si="15"/>
        <v>#REF!</v>
      </c>
      <c r="M36" s="19">
        <f>VLOOKUP(B36,FVM_Asta2425!A:M,13,0)</f>
        <v>30</v>
      </c>
      <c r="N36" s="19" t="str">
        <f t="shared" si="6"/>
        <v>#REF!</v>
      </c>
      <c r="O36" s="20">
        <f>VLOOKUP(B36,'FVM_1luglio-31luglio25'!D:Q,14,0)</f>
        <v>43</v>
      </c>
      <c r="P36" s="20">
        <f t="shared" si="17"/>
        <v>43</v>
      </c>
      <c r="Q36" s="21">
        <f t="shared" ref="Q36:Q40" si="18">IF(F36="Standard",CEILING((M36/10),0.5),
IF(OR(F36="Diritto 1+1",M36="Inverno Diritto 0,5 + 1"),CEILING((M36/10)*1.3,0.5),
CEILING((M36/10)*1.15,0.5)))</f>
        <v>3</v>
      </c>
      <c r="R36" s="21">
        <f t="shared" si="8"/>
        <v>3</v>
      </c>
      <c r="S36" s="20"/>
      <c r="T36" s="22"/>
      <c r="U36" s="23"/>
    </row>
    <row r="37" ht="22.5" hidden="1" customHeight="1">
      <c r="A37" s="9">
        <f>VLOOKUP(B37,FVM_astainv!A:B,2,0)</f>
        <v>6164</v>
      </c>
      <c r="B37" s="25" t="s">
        <v>232</v>
      </c>
      <c r="C37" s="11" t="s">
        <v>42</v>
      </c>
      <c r="D37" s="12" t="str">
        <f>VLOOKUP(B37,FVM_astainv!A:F,6,0)</f>
        <v>Genoa</v>
      </c>
      <c r="E37" s="13" t="str">
        <f>VLOOKUP(B37,FVM_astainv!A:D,4,0)</f>
        <v>Pc</v>
      </c>
      <c r="F37" s="11" t="s">
        <v>45</v>
      </c>
      <c r="G37" s="14">
        <v>45474.0</v>
      </c>
      <c r="H37" s="144">
        <f t="shared" si="1"/>
        <v>45839</v>
      </c>
      <c r="I37" s="11" t="s">
        <v>48</v>
      </c>
      <c r="J37" s="16" t="str">
        <f>VLOOKUP(A37,Asteriscati25!B:N,13,0)</f>
        <v>#N/A</v>
      </c>
      <c r="K37" s="26">
        <v>0.0</v>
      </c>
      <c r="L37" s="19" t="str">
        <f t="shared" si="15"/>
        <v>#REF!</v>
      </c>
      <c r="M37" s="19">
        <f>VLOOKUP(B37,FVM_Asta2425!A:M,13,0)</f>
        <v>75</v>
      </c>
      <c r="N37" s="19" t="str">
        <f t="shared" si="6"/>
        <v>#REF!</v>
      </c>
      <c r="O37" s="20">
        <f>VLOOKUP(B37,'FVM_1luglio-31luglio25'!D:Q,14,0)</f>
        <v>45</v>
      </c>
      <c r="P37" s="20">
        <f t="shared" si="17"/>
        <v>45</v>
      </c>
      <c r="Q37" s="21">
        <f t="shared" si="18"/>
        <v>7.5</v>
      </c>
      <c r="R37" s="21">
        <f t="shared" si="8"/>
        <v>7.5</v>
      </c>
      <c r="S37" s="20"/>
      <c r="T37" s="22"/>
      <c r="U37" s="23"/>
    </row>
    <row r="38" ht="22.5" hidden="1" customHeight="1">
      <c r="A38" s="9">
        <f>VLOOKUP(B38,FVM_astainv!A:B,2,0)</f>
        <v>1952</v>
      </c>
      <c r="B38" s="25" t="s">
        <v>630</v>
      </c>
      <c r="C38" s="11" t="s">
        <v>42</v>
      </c>
      <c r="D38" s="12" t="str">
        <f>VLOOKUP(B38,FVM_astainv!A:F,6,0)</f>
        <v>Venezia</v>
      </c>
      <c r="E38" s="13" t="str">
        <f>VLOOKUP(B38,FVM_astainv!A:D,4,0)</f>
        <v>Dd;Ds;E</v>
      </c>
      <c r="F38" s="11" t="s">
        <v>45</v>
      </c>
      <c r="G38" s="14">
        <v>45474.0</v>
      </c>
      <c r="H38" s="144">
        <f t="shared" si="1"/>
        <v>45839</v>
      </c>
      <c r="I38" s="11" t="s">
        <v>48</v>
      </c>
      <c r="J38" s="16" t="str">
        <f>VLOOKUP(A38,Asteriscati25!B:N,13,0)</f>
        <v>#N/A</v>
      </c>
      <c r="K38" s="26">
        <v>0.0</v>
      </c>
      <c r="L38" s="19" t="str">
        <f t="shared" si="15"/>
        <v>#REF!</v>
      </c>
      <c r="M38" s="19">
        <f>VLOOKUP(B38,FVM_Asta2425!A:M,13,0)</f>
        <v>10</v>
      </c>
      <c r="N38" s="19" t="str">
        <f t="shared" si="6"/>
        <v>#REF!</v>
      </c>
      <c r="O38" s="20">
        <f>VLOOKUP(B38,'FVM_1luglio-31luglio25'!D:Q,14,0)</f>
        <v>10</v>
      </c>
      <c r="P38" s="20">
        <f t="shared" si="17"/>
        <v>10</v>
      </c>
      <c r="Q38" s="21">
        <f t="shared" si="18"/>
        <v>1</v>
      </c>
      <c r="R38" s="21">
        <f t="shared" si="8"/>
        <v>1</v>
      </c>
      <c r="S38" s="20"/>
      <c r="T38" s="22"/>
      <c r="U38" s="23"/>
    </row>
    <row r="39" ht="22.5" hidden="1" customHeight="1">
      <c r="A39" s="9">
        <f>VLOOKUP(B39,FVM_astainv!A:B,2,0)</f>
        <v>4433</v>
      </c>
      <c r="B39" s="25" t="s">
        <v>631</v>
      </c>
      <c r="C39" s="11" t="s">
        <v>42</v>
      </c>
      <c r="D39" s="12" t="str">
        <f>VLOOKUP(B39,FVM_astainv!A:F,6,0)</f>
        <v>Cagliari</v>
      </c>
      <c r="E39" s="13" t="str">
        <f>VLOOKUP(B39,FVM_astainv!A:D,4,0)</f>
        <v>Dd;Ds;E</v>
      </c>
      <c r="F39" s="11" t="s">
        <v>45</v>
      </c>
      <c r="G39" s="14">
        <v>45474.0</v>
      </c>
      <c r="H39" s="144">
        <f t="shared" si="1"/>
        <v>45839</v>
      </c>
      <c r="I39" s="11" t="s">
        <v>48</v>
      </c>
      <c r="J39" s="16" t="str">
        <f>VLOOKUP(A39,Asteriscati25!B:N,13,0)</f>
        <v>#N/A</v>
      </c>
      <c r="K39" s="26">
        <v>0.0</v>
      </c>
      <c r="L39" s="19" t="str">
        <f t="shared" si="15"/>
        <v>#REF!</v>
      </c>
      <c r="M39" s="19">
        <f>VLOOKUP(B39,FVM_Asta2425!A:M,13,0)</f>
        <v>19</v>
      </c>
      <c r="N39" s="19" t="str">
        <f t="shared" si="6"/>
        <v>#REF!</v>
      </c>
      <c r="O39" s="20">
        <f>VLOOKUP(B39,'FVM_1luglio-31luglio25'!D:Q,14,0)</f>
        <v>48</v>
      </c>
      <c r="P39" s="20">
        <f t="shared" si="17"/>
        <v>48</v>
      </c>
      <c r="Q39" s="21">
        <f t="shared" si="18"/>
        <v>2</v>
      </c>
      <c r="R39" s="21">
        <f t="shared" si="8"/>
        <v>2</v>
      </c>
      <c r="S39" s="20"/>
      <c r="T39" s="22"/>
      <c r="U39" s="23"/>
    </row>
    <row r="40" ht="22.5" hidden="1" customHeight="1">
      <c r="A40" s="9">
        <f>VLOOKUP(B40,FVM_astainv!A:B,2,0)</f>
        <v>5835</v>
      </c>
      <c r="B40" s="25" t="s">
        <v>632</v>
      </c>
      <c r="C40" s="11" t="s">
        <v>99</v>
      </c>
      <c r="D40" s="12" t="str">
        <f>VLOOKUP(B40,FVM_astainv!A:F,6,0)</f>
        <v>Lecce</v>
      </c>
      <c r="E40" s="13" t="str">
        <f>VLOOKUP(B40,FVM_astainv!A:D,4,0)</f>
        <v>Dd;Dc</v>
      </c>
      <c r="F40" s="11" t="s">
        <v>45</v>
      </c>
      <c r="G40" s="14">
        <v>45474.0</v>
      </c>
      <c r="H40" s="144">
        <f t="shared" si="1"/>
        <v>45839</v>
      </c>
      <c r="I40" s="11" t="s">
        <v>48</v>
      </c>
      <c r="J40" s="16" t="str">
        <f>VLOOKUP(A40,Asteriscati25!B:N,13,0)</f>
        <v>#N/A</v>
      </c>
      <c r="K40" s="26">
        <v>0.0</v>
      </c>
      <c r="L40" s="19" t="str">
        <f t="shared" si="15"/>
        <v>#REF!</v>
      </c>
      <c r="M40" s="19">
        <f>VLOOKUP(B40,FVM_Asta2425!A:M,13,0)</f>
        <v>24</v>
      </c>
      <c r="N40" s="19" t="str">
        <f t="shared" si="6"/>
        <v>#REF!</v>
      </c>
      <c r="O40" s="20">
        <f>VLOOKUP(B40,'FVM_1luglio-31luglio25'!D:Q,14,0)</f>
        <v>20</v>
      </c>
      <c r="P40" s="20">
        <f t="shared" si="17"/>
        <v>20</v>
      </c>
      <c r="Q40" s="21">
        <f t="shared" si="18"/>
        <v>2.5</v>
      </c>
      <c r="R40" s="21">
        <f t="shared" si="8"/>
        <v>2.5</v>
      </c>
      <c r="S40" s="19"/>
      <c r="T40" s="22"/>
      <c r="U40" s="10"/>
    </row>
    <row r="41" ht="22.5" hidden="1" customHeight="1">
      <c r="A41" s="9">
        <f>VLOOKUP(B41,FVM_astainv!A:B,2,0)</f>
        <v>2724</v>
      </c>
      <c r="B41" s="25" t="s">
        <v>429</v>
      </c>
      <c r="C41" s="11" t="s">
        <v>99</v>
      </c>
      <c r="D41" s="12" t="str">
        <f>VLOOKUP(B41,FVM_astainv!A:F,6,0)</f>
        <v>Napoli</v>
      </c>
      <c r="E41" s="13" t="str">
        <f>VLOOKUP(B41,FVM_astainv!A:D,4,0)</f>
        <v>Dc</v>
      </c>
      <c r="F41" s="11" t="s">
        <v>59</v>
      </c>
      <c r="G41" s="14">
        <v>45108.0</v>
      </c>
      <c r="H41" s="144">
        <f t="shared" si="1"/>
        <v>46204</v>
      </c>
      <c r="I41" s="11" t="s">
        <v>122</v>
      </c>
      <c r="J41" s="16" t="str">
        <f>VLOOKUP(A41,Asteriscati25!B:N,13,0)</f>
        <v>#N/A</v>
      </c>
      <c r="K41" s="26">
        <v>0.6</v>
      </c>
      <c r="L41" s="19" t="str">
        <f t="shared" si="15"/>
        <v>#REF!</v>
      </c>
      <c r="M41" s="19">
        <v>23.0</v>
      </c>
      <c r="N41" s="19" t="str">
        <f t="shared" si="6"/>
        <v>#REF!</v>
      </c>
      <c r="O41" s="20">
        <f>VLOOKUP(B41,'FVM_1luglio-31luglio25'!D:Q,14,0)</f>
        <v>53</v>
      </c>
      <c r="P41" s="20">
        <f t="shared" si="17"/>
        <v>53</v>
      </c>
      <c r="Q41" s="21">
        <v>3.0</v>
      </c>
      <c r="R41" s="21">
        <f t="shared" si="8"/>
        <v>2</v>
      </c>
      <c r="S41" s="19"/>
      <c r="T41" s="11" t="s">
        <v>99</v>
      </c>
      <c r="U41" s="10"/>
    </row>
    <row r="42" ht="22.5" hidden="1" customHeight="1">
      <c r="A42" s="9">
        <f>VLOOKUP(B42,FVM_astainv!A:B,2,0)</f>
        <v>4292</v>
      </c>
      <c r="B42" s="25" t="s">
        <v>633</v>
      </c>
      <c r="C42" s="11" t="s">
        <v>99</v>
      </c>
      <c r="D42" s="12" t="str">
        <f>VLOOKUP(B42,FVM_astainv!A:F,6,0)</f>
        <v>Milan</v>
      </c>
      <c r="E42" s="13" t="str">
        <f>VLOOKUP(B42,FVM_astainv!A:D,4,0)</f>
        <v>Ds;E</v>
      </c>
      <c r="F42" s="17" t="str">
        <f>VLOOKUP(B42,'situazione contratti estate 24'!A:I,9,0)</f>
        <v>Obbligo 1+2</v>
      </c>
      <c r="G42" s="14">
        <v>45108.0</v>
      </c>
      <c r="H42" s="144">
        <f t="shared" si="1"/>
        <v>46204</v>
      </c>
      <c r="I42" s="11" t="s">
        <v>605</v>
      </c>
      <c r="J42" s="16" t="str">
        <f>VLOOKUP(A42,Asteriscati25!B:N,13,0)</f>
        <v>#N/A</v>
      </c>
      <c r="K42" s="26">
        <v>0.0</v>
      </c>
      <c r="L42" s="19" t="str">
        <f t="shared" si="15"/>
        <v>#REF!</v>
      </c>
      <c r="M42" s="19">
        <v>88.0</v>
      </c>
      <c r="N42" s="19" t="str">
        <f t="shared" si="6"/>
        <v>#REF!</v>
      </c>
      <c r="O42" s="20">
        <f>VLOOKUP(B42,'FVM_1luglio-31luglio25'!D:Q,14,0)</f>
        <v>63</v>
      </c>
      <c r="P42" s="20">
        <f t="shared" si="17"/>
        <v>63</v>
      </c>
      <c r="Q42" s="21">
        <v>10.5</v>
      </c>
      <c r="R42" s="21" t="str">
        <f t="shared" si="8"/>
        <v/>
      </c>
      <c r="S42" s="19"/>
      <c r="T42" s="22"/>
      <c r="U42" s="10"/>
    </row>
    <row r="43" ht="22.5" hidden="1" customHeight="1">
      <c r="A43" s="9">
        <f>VLOOKUP(B43,FVM_astainv!A:B,2,0)</f>
        <v>572</v>
      </c>
      <c r="B43" s="25" t="s">
        <v>634</v>
      </c>
      <c r="C43" s="11" t="s">
        <v>99</v>
      </c>
      <c r="D43" s="12" t="str">
        <f>VLOOKUP(B43,FVM_astainv!A:F,6,0)</f>
        <v>Napoli</v>
      </c>
      <c r="E43" s="13" t="str">
        <f>VLOOKUP(B43,FVM_astainv!A:D,4,0)</f>
        <v>Por</v>
      </c>
      <c r="F43" s="17" t="str">
        <f>VLOOKUP(B43,'situazione contratti estate 24'!A:I,9,0)</f>
        <v>Obbligo 1+1</v>
      </c>
      <c r="G43" s="14">
        <v>45108.0</v>
      </c>
      <c r="H43" s="144">
        <f t="shared" si="1"/>
        <v>45839</v>
      </c>
      <c r="I43" s="11" t="s">
        <v>605</v>
      </c>
      <c r="J43" s="16" t="str">
        <f>VLOOKUP(A43,Asteriscati25!B:N,13,0)</f>
        <v>#N/A</v>
      </c>
      <c r="K43" s="26">
        <v>0.0</v>
      </c>
      <c r="L43" s="19" t="str">
        <f t="shared" si="15"/>
        <v>#REF!</v>
      </c>
      <c r="M43" s="19">
        <v>80.0</v>
      </c>
      <c r="N43" s="19" t="str">
        <f t="shared" si="6"/>
        <v>#REF!</v>
      </c>
      <c r="O43" s="20">
        <f>VLOOKUP(B43,'FVM_1luglio-31luglio25'!D:Q,14,0)</f>
        <v>88</v>
      </c>
      <c r="P43" s="20">
        <f t="shared" si="17"/>
        <v>88</v>
      </c>
      <c r="Q43" s="21">
        <v>9.5</v>
      </c>
      <c r="R43" s="21" t="str">
        <f t="shared" si="8"/>
        <v/>
      </c>
      <c r="S43" s="19"/>
      <c r="T43" s="22"/>
      <c r="U43" s="10"/>
    </row>
    <row r="44" ht="22.5" hidden="1" customHeight="1">
      <c r="A44" s="9">
        <f>VLOOKUP(B44,FVM_astainv!A:B,2,0)</f>
        <v>5449</v>
      </c>
      <c r="B44" s="25" t="s">
        <v>635</v>
      </c>
      <c r="C44" s="11" t="s">
        <v>99</v>
      </c>
      <c r="D44" s="12" t="str">
        <f>VLOOKUP(B44,FVM_astainv!A:F,6,0)</f>
        <v>Fiorentina</v>
      </c>
      <c r="E44" s="13" t="str">
        <f>VLOOKUP(B44,FVM_astainv!A:D,4,0)</f>
        <v>Ds;E</v>
      </c>
      <c r="F44" s="17" t="str">
        <f>VLOOKUP(B44,'situazione contratti estate 24'!A:I,9,0)</f>
        <v>Obbligo 1+1</v>
      </c>
      <c r="G44" s="14">
        <v>45108.0</v>
      </c>
      <c r="H44" s="144">
        <f t="shared" si="1"/>
        <v>45839</v>
      </c>
      <c r="I44" s="11" t="s">
        <v>605</v>
      </c>
      <c r="J44" s="16" t="str">
        <f>VLOOKUP(A44,Asteriscati25!B:N,13,0)</f>
        <v>#N/A</v>
      </c>
      <c r="K44" s="26">
        <v>0.0</v>
      </c>
      <c r="L44" s="19" t="str">
        <f t="shared" si="15"/>
        <v>#REF!</v>
      </c>
      <c r="M44" s="19">
        <v>20.0</v>
      </c>
      <c r="N44" s="19" t="str">
        <f t="shared" si="6"/>
        <v>#REF!</v>
      </c>
      <c r="O44" s="20">
        <f>VLOOKUP(B44,'FVM_1luglio-31luglio25'!D:Q,14,0)</f>
        <v>16</v>
      </c>
      <c r="P44" s="20">
        <f t="shared" si="17"/>
        <v>16</v>
      </c>
      <c r="Q44" s="21">
        <v>2.5</v>
      </c>
      <c r="R44" s="21" t="str">
        <f t="shared" si="8"/>
        <v/>
      </c>
      <c r="S44" s="19"/>
      <c r="T44" s="22"/>
      <c r="U44" s="10"/>
    </row>
    <row r="45" ht="22.5" hidden="1" customHeight="1">
      <c r="A45" s="9">
        <f>VLOOKUP(B45,FVM_astainv!A:B,2,0)</f>
        <v>6224</v>
      </c>
      <c r="B45" s="25" t="s">
        <v>636</v>
      </c>
      <c r="C45" s="11" t="s">
        <v>99</v>
      </c>
      <c r="D45" s="12" t="str">
        <f>VLOOKUP(B45,FVM_astainv!A:F,6,0)</f>
        <v>Milan</v>
      </c>
      <c r="E45" s="13" t="str">
        <f>VLOOKUP(B45,FVM_astainv!A:D,4,0)</f>
        <v>C</v>
      </c>
      <c r="F45" s="17" t="str">
        <f>VLOOKUP(B45,'situazione contratti estate 24'!A:I,9,0)</f>
        <v>Obbligo 1+2</v>
      </c>
      <c r="G45" s="14">
        <v>45108.0</v>
      </c>
      <c r="H45" s="144">
        <f t="shared" si="1"/>
        <v>46204</v>
      </c>
      <c r="I45" s="11" t="s">
        <v>605</v>
      </c>
      <c r="J45" s="16" t="str">
        <f>VLOOKUP(A45,Asteriscati25!B:N,13,0)</f>
        <v>#N/A</v>
      </c>
      <c r="K45" s="26">
        <v>0.0</v>
      </c>
      <c r="L45" s="19" t="str">
        <f t="shared" si="15"/>
        <v>#REF!</v>
      </c>
      <c r="M45" s="19">
        <v>50.0</v>
      </c>
      <c r="N45" s="19" t="str">
        <f t="shared" si="6"/>
        <v>#REF!</v>
      </c>
      <c r="O45" s="20">
        <f>VLOOKUP(B45,'FVM_1luglio-31luglio25'!D:Q,14,0)</f>
        <v>96</v>
      </c>
      <c r="P45" s="20">
        <f t="shared" si="17"/>
        <v>96</v>
      </c>
      <c r="Q45" s="21">
        <v>6.0</v>
      </c>
      <c r="R45" s="21" t="str">
        <f t="shared" si="8"/>
        <v/>
      </c>
      <c r="S45" s="19"/>
      <c r="T45" s="22"/>
      <c r="U45" s="10"/>
    </row>
    <row r="46" ht="22.5" hidden="1" customHeight="1">
      <c r="A46" s="9">
        <f>VLOOKUP(B46,FVM_astainv!A:B,2,0)</f>
        <v>4459</v>
      </c>
      <c r="B46" s="25" t="s">
        <v>637</v>
      </c>
      <c r="C46" s="11" t="s">
        <v>99</v>
      </c>
      <c r="D46" s="12" t="str">
        <f>VLOOKUP(B46,FVM_astainv!A:F,6,0)</f>
        <v>Lazio</v>
      </c>
      <c r="E46" s="13" t="str">
        <f>VLOOKUP(B46,FVM_astainv!A:D,4,0)</f>
        <v>M;C</v>
      </c>
      <c r="F46" s="17" t="str">
        <f>VLOOKUP(B46,'situazione contratti estate 24'!A:I,9,0)</f>
        <v>Obbligo 1+1</v>
      </c>
      <c r="G46" s="14">
        <v>45108.0</v>
      </c>
      <c r="H46" s="144">
        <f t="shared" si="1"/>
        <v>45839</v>
      </c>
      <c r="I46" s="11" t="s">
        <v>605</v>
      </c>
      <c r="J46" s="16" t="str">
        <f>VLOOKUP(A46,Asteriscati25!B:N,13,0)</f>
        <v>#N/A</v>
      </c>
      <c r="K46" s="26">
        <v>0.0</v>
      </c>
      <c r="L46" s="19" t="str">
        <f t="shared" si="15"/>
        <v>#REF!</v>
      </c>
      <c r="M46" s="19">
        <v>12.0</v>
      </c>
      <c r="N46" s="19" t="str">
        <f t="shared" si="6"/>
        <v>#REF!</v>
      </c>
      <c r="O46" s="20">
        <f>VLOOKUP(B46,'FVM_1luglio-31luglio25'!D:Q,14,0)</f>
        <v>18</v>
      </c>
      <c r="P46" s="20">
        <f t="shared" si="17"/>
        <v>18</v>
      </c>
      <c r="Q46" s="21">
        <v>1.5</v>
      </c>
      <c r="R46" s="21" t="str">
        <f t="shared" si="8"/>
        <v/>
      </c>
      <c r="S46" s="19"/>
      <c r="T46" s="22"/>
      <c r="U46" s="10"/>
    </row>
    <row r="47" ht="22.5" hidden="1" customHeight="1">
      <c r="A47" s="9">
        <f>VLOOKUP(B47,FVM_astainv!A:B,2,0)</f>
        <v>6434</v>
      </c>
      <c r="B47" s="25" t="s">
        <v>453</v>
      </c>
      <c r="C47" s="11" t="s">
        <v>99</v>
      </c>
      <c r="D47" s="12" t="str">
        <f>VLOOKUP(B47,FVM_astainv!A:F,6,0)</f>
        <v>Juventus</v>
      </c>
      <c r="E47" s="13" t="str">
        <f>VLOOKUP(B47,FVM_astainv!A:D,4,0)</f>
        <v>A</v>
      </c>
      <c r="F47" s="11" t="s">
        <v>59</v>
      </c>
      <c r="G47" s="14">
        <v>45474.0</v>
      </c>
      <c r="H47" s="144">
        <f t="shared" si="1"/>
        <v>46569</v>
      </c>
      <c r="I47" s="11" t="s">
        <v>122</v>
      </c>
      <c r="J47" s="16" t="str">
        <f>VLOOKUP(A47,Asteriscati25!B:N,13,0)</f>
        <v>#N/A</v>
      </c>
      <c r="K47" s="26">
        <v>0.6</v>
      </c>
      <c r="L47" s="19" t="str">
        <f t="shared" si="15"/>
        <v>#REF!</v>
      </c>
      <c r="M47" s="19">
        <f>VLOOKUP(B47,FVM_Asta2425!A:M,13,0)</f>
        <v>84</v>
      </c>
      <c r="N47" s="19" t="str">
        <f t="shared" si="6"/>
        <v>#REF!</v>
      </c>
      <c r="O47" s="20">
        <f>VLOOKUP(B47,'FVM_1luglio-31luglio25'!D:Q,14,0)</f>
        <v>78</v>
      </c>
      <c r="P47" s="20">
        <f t="shared" si="17"/>
        <v>78</v>
      </c>
      <c r="Q47" s="21">
        <f t="shared" ref="Q47:Q50" si="19">IF(F47="Standard",CEILING((M47/10),0.5),
IF(OR(F47="Diritto 1+1",M47="Inverno Diritto 0,5 + 1"),CEILING((M47/10)*1.3,0.5),
CEILING((M47/10)*1.15,0.5)))</f>
        <v>10</v>
      </c>
      <c r="R47" s="21">
        <f t="shared" si="8"/>
        <v>6</v>
      </c>
      <c r="S47" s="19"/>
      <c r="T47" s="11" t="s">
        <v>99</v>
      </c>
      <c r="U47" s="10"/>
    </row>
    <row r="48" ht="22.5" hidden="1" customHeight="1">
      <c r="A48" s="9" t="str">
        <f>VLOOKUP(B48,FVM_astainv!A:B,2,0)</f>
        <v>#N/A</v>
      </c>
      <c r="B48" s="25" t="s">
        <v>638</v>
      </c>
      <c r="C48" s="11" t="s">
        <v>99</v>
      </c>
      <c r="D48" s="12" t="str">
        <f>VLOOKUP(B48,FVM_astainv!A:F,6,0)</f>
        <v>#N/A</v>
      </c>
      <c r="E48" s="13" t="str">
        <f>VLOOKUP(B48,FVM_astainv!A:D,4,0)</f>
        <v>#N/A</v>
      </c>
      <c r="F48" s="11" t="s">
        <v>45</v>
      </c>
      <c r="G48" s="14">
        <v>45474.0</v>
      </c>
      <c r="H48" s="144">
        <f t="shared" si="1"/>
        <v>45839</v>
      </c>
      <c r="I48" s="11" t="s">
        <v>639</v>
      </c>
      <c r="J48" s="16" t="str">
        <f>VLOOKUP(A48,Asteriscati25!B:N,13,0)</f>
        <v>#N/A</v>
      </c>
      <c r="K48" s="26">
        <v>0.0</v>
      </c>
      <c r="L48" s="19" t="str">
        <f t="shared" si="15"/>
        <v>#REF!</v>
      </c>
      <c r="M48" s="19">
        <f>VLOOKUP(B48,FVM_Asta2425!A:M,13,0)</f>
        <v>32</v>
      </c>
      <c r="N48" s="19" t="str">
        <f t="shared" si="6"/>
        <v>#REF!</v>
      </c>
      <c r="O48" s="20" t="str">
        <f>VLOOKUP(B48,'FVM_1luglio-31luglio25'!D:Q,14,0)</f>
        <v>#N/A</v>
      </c>
      <c r="P48" s="9">
        <v>0.0</v>
      </c>
      <c r="Q48" s="21">
        <f t="shared" si="19"/>
        <v>3.5</v>
      </c>
      <c r="R48" s="101">
        <v>2.0</v>
      </c>
      <c r="S48" s="19"/>
      <c r="T48" s="22"/>
      <c r="U48" s="10"/>
    </row>
    <row r="49" ht="22.5" hidden="1" customHeight="1">
      <c r="A49" s="9" t="str">
        <f>VLOOKUP(B49,FVM_astainv!A:B,2,0)</f>
        <v>#N/A</v>
      </c>
      <c r="B49" s="25" t="s">
        <v>640</v>
      </c>
      <c r="C49" s="11" t="s">
        <v>99</v>
      </c>
      <c r="D49" s="12" t="str">
        <f>VLOOKUP(B49,FVM_astainv!A:F,6,0)</f>
        <v>#N/A</v>
      </c>
      <c r="E49" s="13" t="str">
        <f>VLOOKUP(B49,FVM_astainv!A:D,4,0)</f>
        <v>#N/A</v>
      </c>
      <c r="F49" s="11" t="s">
        <v>45</v>
      </c>
      <c r="G49" s="14">
        <v>45474.0</v>
      </c>
      <c r="H49" s="144">
        <f t="shared" si="1"/>
        <v>45839</v>
      </c>
      <c r="I49" s="11" t="s">
        <v>639</v>
      </c>
      <c r="J49" s="16" t="str">
        <f>VLOOKUP(A49,Asteriscati25!B:N,13,0)</f>
        <v>#N/A</v>
      </c>
      <c r="K49" s="26">
        <v>0.8</v>
      </c>
      <c r="L49" s="19" t="str">
        <f t="shared" si="15"/>
        <v>#REF!</v>
      </c>
      <c r="M49" s="19">
        <f>VLOOKUP(B49,FVM_Asta2425!A:M,13,0)</f>
        <v>10</v>
      </c>
      <c r="N49" s="19" t="str">
        <f t="shared" si="6"/>
        <v>#REF!</v>
      </c>
      <c r="O49" s="20" t="str">
        <f>VLOOKUP(B49,'FVM_1luglio-31luglio25'!D:Q,14,0)</f>
        <v>#N/A</v>
      </c>
      <c r="P49" s="9">
        <v>0.0</v>
      </c>
      <c r="Q49" s="21">
        <f t="shared" si="19"/>
        <v>1</v>
      </c>
      <c r="R49" s="101">
        <v>0.5</v>
      </c>
      <c r="S49" s="20"/>
      <c r="T49" s="11" t="s">
        <v>172</v>
      </c>
      <c r="U49" s="23"/>
    </row>
    <row r="50" ht="22.5" hidden="1" customHeight="1">
      <c r="A50" s="9">
        <f>VLOOKUP(B50,FVM_astainv!A:B,2,0)</f>
        <v>5678</v>
      </c>
      <c r="B50" s="25" t="s">
        <v>641</v>
      </c>
      <c r="C50" s="11" t="s">
        <v>99</v>
      </c>
      <c r="D50" s="12" t="str">
        <f>VLOOKUP(B50,FVM_astainv!A:F,6,0)</f>
        <v>Bologna</v>
      </c>
      <c r="E50" s="13" t="str">
        <f>VLOOKUP(B50,FVM_astainv!A:D,4,0)</f>
        <v>Dd;E</v>
      </c>
      <c r="F50" s="11" t="s">
        <v>45</v>
      </c>
      <c r="G50" s="14">
        <v>45474.0</v>
      </c>
      <c r="H50" s="144">
        <f t="shared" si="1"/>
        <v>45839</v>
      </c>
      <c r="I50" s="11" t="s">
        <v>122</v>
      </c>
      <c r="J50" s="16" t="str">
        <f>VLOOKUP(A50,Asteriscati25!B:N,13,0)</f>
        <v>#N/A</v>
      </c>
      <c r="K50" s="26">
        <v>0.2</v>
      </c>
      <c r="L50" s="19" t="str">
        <f t="shared" si="15"/>
        <v>#REF!</v>
      </c>
      <c r="M50" s="19">
        <f>VLOOKUP(B50,FVM_Asta2425!A:M,13,0)</f>
        <v>24</v>
      </c>
      <c r="N50" s="19" t="str">
        <f t="shared" si="6"/>
        <v>#REF!</v>
      </c>
      <c r="O50" s="20">
        <f>VLOOKUP(B50,'FVM_1luglio-31luglio25'!D:Q,14,0)</f>
        <v>17</v>
      </c>
      <c r="P50" s="20">
        <f>IFERROR(N50,O50)</f>
        <v>17</v>
      </c>
      <c r="Q50" s="21">
        <f t="shared" si="19"/>
        <v>2.5</v>
      </c>
      <c r="R50" s="21">
        <f>IF(OR(I50="asta", I50="Svincolato riconferma anno corrente", I50="vivaio"), Q50,
IF(OR(I50="asta riparazione", I50="Svincolato obbligo anno precedente", I50="Svincolo pausa invernale"), MAX(0.5, CEILING(Q50 / 2, 0.5)),
IF(OR(I50="ceduto in prestito", I50="acquisito in prestito", I50="acquistato tit definitivo", I50="Ceduto tit definitivo"),CEILING(Q50 * K50, 0.5),
IF(I50="asteriscato", "inserire a mano", ""))))
</f>
        <v>0.5</v>
      </c>
      <c r="S50" s="19"/>
      <c r="T50" s="11" t="s">
        <v>99</v>
      </c>
      <c r="U50" s="10"/>
    </row>
    <row r="51" ht="22.5" hidden="1" customHeight="1">
      <c r="A51" s="9" t="str">
        <f>VLOOKUP(B51,FVM_astainv!A:B,2,0)</f>
        <v>#N/A</v>
      </c>
      <c r="B51" s="25" t="s">
        <v>607</v>
      </c>
      <c r="C51" s="11" t="s">
        <v>99</v>
      </c>
      <c r="D51" s="12" t="str">
        <f>VLOOKUP(B51,FVM_astainv!A:F,6,0)</f>
        <v>#N/A</v>
      </c>
      <c r="E51" s="13" t="str">
        <f>VLOOKUP(B51,FVM_astainv!A:D,4,0)</f>
        <v>#N/A</v>
      </c>
      <c r="F51" s="17" t="str">
        <f>VLOOKUP(B51,'situazione contratti estate 24'!A:I,9,0)</f>
        <v>Diritto 1+1</v>
      </c>
      <c r="G51" s="14">
        <v>45108.0</v>
      </c>
      <c r="H51" s="144">
        <f t="shared" si="1"/>
        <v>45839</v>
      </c>
      <c r="I51" s="11" t="s">
        <v>605</v>
      </c>
      <c r="J51" s="16" t="str">
        <f>VLOOKUP(A51,Asteriscati25!B:N,13,0)</f>
        <v>#N/A</v>
      </c>
      <c r="K51" s="26">
        <v>0.8</v>
      </c>
      <c r="L51" s="19" t="str">
        <f t="shared" si="15"/>
        <v>#REF!</v>
      </c>
      <c r="M51" s="19">
        <f>VLOOKUP(B51,FVM_Asta2324!C:M,11,0)</f>
        <v>48</v>
      </c>
      <c r="N51" s="19" t="str">
        <f t="shared" si="6"/>
        <v>#REF!</v>
      </c>
      <c r="O51" s="20" t="str">
        <f>VLOOKUP(B51,'FVM_1luglio-31luglio25'!D:Q,14,0)</f>
        <v>#N/A</v>
      </c>
      <c r="P51" s="9">
        <v>0.0</v>
      </c>
      <c r="Q51" s="21">
        <f>VLOOKUP(B51,'situazione contratti estate 24'!A:K,11,0)</f>
        <v>6.5</v>
      </c>
      <c r="R51" s="101" t="str">
        <f>3.5-#REF!</f>
        <v>#REF!</v>
      </c>
      <c r="S51" s="20"/>
      <c r="T51" s="11" t="s">
        <v>42</v>
      </c>
      <c r="U51" s="10" t="s">
        <v>642</v>
      </c>
    </row>
    <row r="52" ht="22.5" hidden="1" customHeight="1">
      <c r="A52" s="9">
        <f>VLOOKUP(B52,FVM_astainv!A:B,2,0)</f>
        <v>4360</v>
      </c>
      <c r="B52" s="25" t="s">
        <v>183</v>
      </c>
      <c r="C52" s="11" t="s">
        <v>99</v>
      </c>
      <c r="D52" s="12" t="str">
        <f>VLOOKUP(B52,FVM_astainv!A:F,6,0)</f>
        <v>Cagliari</v>
      </c>
      <c r="E52" s="13" t="str">
        <f>VLOOKUP(B52,FVM_astainv!A:D,4,0)</f>
        <v>Por</v>
      </c>
      <c r="F52" s="11" t="s">
        <v>45</v>
      </c>
      <c r="G52" s="14">
        <v>45474.0</v>
      </c>
      <c r="H52" s="144">
        <f t="shared" si="1"/>
        <v>45839</v>
      </c>
      <c r="I52" s="11" t="s">
        <v>48</v>
      </c>
      <c r="J52" s="16" t="str">
        <f>VLOOKUP(A52,Asteriscati25!B:N,13,0)</f>
        <v>#N/A</v>
      </c>
      <c r="K52" s="26">
        <v>0.0</v>
      </c>
      <c r="L52" s="19" t="str">
        <f t="shared" si="15"/>
        <v>#REF!</v>
      </c>
      <c r="M52" s="19">
        <f>VLOOKUP(B52,FVM_Asta2425!A:M,13,0)</f>
        <v>4</v>
      </c>
      <c r="N52" s="19" t="str">
        <f t="shared" si="6"/>
        <v>#REF!</v>
      </c>
      <c r="O52" s="20">
        <f>VLOOKUP(B52,'FVM_1luglio-31luglio25'!D:Q,14,0)</f>
        <v>14</v>
      </c>
      <c r="P52" s="20">
        <f t="shared" ref="P52:P53" si="20">IFERROR(N52,O52)</f>
        <v>14</v>
      </c>
      <c r="Q52" s="21">
        <f>IF(F52="Standard",CEILING((M52/10),0.5),
IF(OR(F52="Diritto 1+1",M52="Inverno Diritto 0,5 + 1"),CEILING((M52/10)*1.3,0.5),
CEILING((M52/10)*1.15,0.5)))</f>
        <v>0.5</v>
      </c>
      <c r="R52" s="21">
        <f t="shared" ref="R52:R53" si="21">IF(OR(I52="asta", I52="Svincolato riconferma anno corrente", I52="vivaio"), Q52,
IF(OR(I52="asta riparazione", I52="Svincolato obbligo anno precedente", I52="Svincolo pausa invernale"), MAX(0.5, CEILING(Q52 / 2, 0.5)),
IF(OR(I52="ceduto in prestito", I52="acquisito in prestito", I52="acquistato tit definitivo", I52="Ceduto tit definitivo"),CEILING(Q52 * K52, 0.5),
IF(I52="asteriscato", "inserire a mano", ""))))
</f>
        <v>0.5</v>
      </c>
      <c r="S52" s="19"/>
      <c r="T52" s="22"/>
      <c r="U52" s="10"/>
    </row>
    <row r="53" ht="22.5" hidden="1" customHeight="1">
      <c r="A53" s="9">
        <f>VLOOKUP(B53,FVM_astainv!A:B,2,0)</f>
        <v>6424</v>
      </c>
      <c r="B53" s="25" t="s">
        <v>643</v>
      </c>
      <c r="C53" s="11" t="s">
        <v>99</v>
      </c>
      <c r="D53" s="12" t="str">
        <f>VLOOKUP(B53,FVM_astainv!A:F,6,0)</f>
        <v>Cagliari</v>
      </c>
      <c r="E53" s="13" t="str">
        <f>VLOOKUP(B53,FVM_astainv!A:D,4,0)</f>
        <v>M;C</v>
      </c>
      <c r="F53" s="17" t="str">
        <f>VLOOKUP(B53,'situazione contratti estate 24'!A:I,9,0)</f>
        <v>Diritto 1+1</v>
      </c>
      <c r="G53" s="14">
        <v>45108.0</v>
      </c>
      <c r="H53" s="144">
        <f t="shared" si="1"/>
        <v>45839</v>
      </c>
      <c r="I53" s="11" t="s">
        <v>605</v>
      </c>
      <c r="J53" s="16" t="str">
        <f>VLOOKUP(A53,Asteriscati25!B:N,13,0)</f>
        <v>#N/A</v>
      </c>
      <c r="K53" s="26">
        <v>0.4</v>
      </c>
      <c r="L53" s="19" t="str">
        <f t="shared" si="15"/>
        <v>#REF!</v>
      </c>
      <c r="M53" s="19">
        <f>VLOOKUP(B53,FVM_Asta2324!C:M,11,0)</f>
        <v>5</v>
      </c>
      <c r="N53" s="19" t="str">
        <f t="shared" si="6"/>
        <v>#REF!</v>
      </c>
      <c r="O53" s="20">
        <f>VLOOKUP(B53,'FVM_1luglio-31luglio25'!D:Q,14,0)</f>
        <v>14</v>
      </c>
      <c r="P53" s="20">
        <f t="shared" si="20"/>
        <v>14</v>
      </c>
      <c r="Q53" s="21">
        <f>VLOOKUP(B53,'situazione contratti estate 24'!A:K,11,0)</f>
        <v>1</v>
      </c>
      <c r="R53" s="21" t="str">
        <f t="shared" si="21"/>
        <v/>
      </c>
      <c r="S53" s="20"/>
      <c r="T53" s="11" t="s">
        <v>127</v>
      </c>
      <c r="U53" s="23"/>
    </row>
    <row r="54" ht="22.5" hidden="1" customHeight="1">
      <c r="A54" s="9" t="str">
        <f>VLOOKUP(B54,FVM_astainv!A:B,2,0)</f>
        <v>#N/A</v>
      </c>
      <c r="B54" s="25" t="s">
        <v>644</v>
      </c>
      <c r="C54" s="11" t="s">
        <v>99</v>
      </c>
      <c r="D54" s="12" t="str">
        <f>VLOOKUP(B54,FVM_astainv!A:F,6,0)</f>
        <v>#N/A</v>
      </c>
      <c r="E54" s="13" t="str">
        <f>VLOOKUP(B54,FVM_astainv!A:D,4,0)</f>
        <v>#N/A</v>
      </c>
      <c r="F54" s="11" t="s">
        <v>45</v>
      </c>
      <c r="G54" s="14">
        <v>45474.0</v>
      </c>
      <c r="H54" s="144">
        <f t="shared" si="1"/>
        <v>45839</v>
      </c>
      <c r="I54" s="11" t="s">
        <v>639</v>
      </c>
      <c r="J54" s="16" t="str">
        <f>VLOOKUP(A54,Asteriscati25!B:N,13,0)</f>
        <v>#N/A</v>
      </c>
      <c r="K54" s="26">
        <v>0.0</v>
      </c>
      <c r="L54" s="19" t="str">
        <f t="shared" si="15"/>
        <v>#REF!</v>
      </c>
      <c r="M54" s="19">
        <f>VLOOKUP(B54,FVM_Asta2425!A:M,13,0)</f>
        <v>21</v>
      </c>
      <c r="N54" s="19" t="str">
        <f t="shared" si="6"/>
        <v>#REF!</v>
      </c>
      <c r="O54" s="20" t="str">
        <f>VLOOKUP(B54,'FVM_1luglio-31luglio25'!D:Q,14,0)</f>
        <v>#N/A</v>
      </c>
      <c r="P54" s="9">
        <v>0.0</v>
      </c>
      <c r="Q54" s="21">
        <f t="shared" ref="Q54:Q59" si="22">IF(F54="Standard",CEILING((M54/10),0.5),
IF(OR(F54="Diritto 1+1",M54="Inverno Diritto 0,5 + 1"),CEILING((M54/10)*1.3,0.5),
CEILING((M54/10)*1.15,0.5)))</f>
        <v>2.5</v>
      </c>
      <c r="R54" s="101">
        <v>1.5</v>
      </c>
      <c r="S54" s="19"/>
      <c r="T54" s="22"/>
      <c r="U54" s="10"/>
    </row>
    <row r="55" ht="22.5" hidden="1" customHeight="1">
      <c r="A55" s="9">
        <f>VLOOKUP(B55,FVM_astainv!A:B,2,0)</f>
        <v>4896</v>
      </c>
      <c r="B55" s="25" t="s">
        <v>645</v>
      </c>
      <c r="C55" s="11" t="s">
        <v>99</v>
      </c>
      <c r="D55" s="12" t="str">
        <f>VLOOKUP(B55,FVM_astainv!A:F,6,0)</f>
        <v>Atalanta</v>
      </c>
      <c r="E55" s="13" t="str">
        <f>VLOOKUP(B55,FVM_astainv!A:D,4,0)</f>
        <v>T;A</v>
      </c>
      <c r="F55" s="11" t="s">
        <v>45</v>
      </c>
      <c r="G55" s="14">
        <v>45474.0</v>
      </c>
      <c r="H55" s="144">
        <f t="shared" si="1"/>
        <v>45839</v>
      </c>
      <c r="I55" s="11" t="s">
        <v>122</v>
      </c>
      <c r="J55" s="16" t="str">
        <f>VLOOKUP(A55,Asteriscati25!B:N,13,0)</f>
        <v>#N/A</v>
      </c>
      <c r="K55" s="26">
        <v>0.2</v>
      </c>
      <c r="L55" s="19" t="str">
        <f t="shared" si="15"/>
        <v>#REF!</v>
      </c>
      <c r="M55" s="19">
        <f>VLOOKUP(B55,FVM_Asta2425!A:M,13,0)</f>
        <v>23</v>
      </c>
      <c r="N55" s="19" t="str">
        <f t="shared" si="6"/>
        <v>#REF!</v>
      </c>
      <c r="O55" s="20">
        <f>VLOOKUP(B55,'FVM_1luglio-31luglio25'!D:Q,14,0)</f>
        <v>26</v>
      </c>
      <c r="P55" s="20">
        <f t="shared" ref="P55:P91" si="23">IFERROR(N55,O55)</f>
        <v>26</v>
      </c>
      <c r="Q55" s="21">
        <f t="shared" si="22"/>
        <v>2.5</v>
      </c>
      <c r="R55" s="21">
        <f t="shared" ref="R55:R58" si="24">IF(OR(I55="asta", I55="Svincolato riconferma anno corrente", I55="vivaio"), Q55,
IF(OR(I55="asta riparazione", I55="Svincolato obbligo anno precedente", I55="Svincolo pausa invernale"), MAX(0.5, CEILING(Q55 / 2, 0.5)),
IF(OR(I55="ceduto in prestito", I55="acquisito in prestito", I55="acquistato tit definitivo", I55="Ceduto tit definitivo"),CEILING(Q55 * K55, 0.5),
IF(I55="asteriscato", "inserire a mano", ""))))
</f>
        <v>0.5</v>
      </c>
      <c r="S55" s="19"/>
      <c r="T55" s="11" t="s">
        <v>99</v>
      </c>
      <c r="U55" s="10"/>
    </row>
    <row r="56" ht="22.5" hidden="1" customHeight="1">
      <c r="A56" s="9">
        <f>VLOOKUP(B56,FVM_astainv!A:B,2,0)</f>
        <v>6801</v>
      </c>
      <c r="B56" s="25" t="s">
        <v>646</v>
      </c>
      <c r="C56" s="11" t="s">
        <v>99</v>
      </c>
      <c r="D56" s="12" t="str">
        <f>VLOOKUP(B56,FVM_astainv!A:F,6,0)</f>
        <v>Verona</v>
      </c>
      <c r="E56" s="13" t="str">
        <f>VLOOKUP(B56,FVM_astainv!A:D,4,0)</f>
        <v>Pc</v>
      </c>
      <c r="F56" s="11" t="s">
        <v>45</v>
      </c>
      <c r="G56" s="14">
        <v>45474.0</v>
      </c>
      <c r="H56" s="144">
        <f t="shared" si="1"/>
        <v>45839</v>
      </c>
      <c r="I56" s="11" t="s">
        <v>89</v>
      </c>
      <c r="J56" s="16" t="str">
        <f>VLOOKUP(A56,Asteriscati25!B:N,13,0)</f>
        <v>#N/A</v>
      </c>
      <c r="K56" s="26">
        <v>1.0</v>
      </c>
      <c r="L56" s="19" t="str">
        <f t="shared" si="15"/>
        <v>#REF!</v>
      </c>
      <c r="M56" s="19">
        <f>VLOOKUP(B56,FVM_Asta2425!A:M,13,0)</f>
        <v>17</v>
      </c>
      <c r="N56" s="19" t="str">
        <f t="shared" si="6"/>
        <v>#REF!</v>
      </c>
      <c r="O56" s="20">
        <f>VLOOKUP(B56,'FVM_1luglio-31luglio25'!D:Q,14,0)</f>
        <v>16</v>
      </c>
      <c r="P56" s="20">
        <f t="shared" si="23"/>
        <v>16</v>
      </c>
      <c r="Q56" s="21">
        <f t="shared" si="22"/>
        <v>2</v>
      </c>
      <c r="R56" s="21">
        <f t="shared" si="24"/>
        <v>2</v>
      </c>
      <c r="S56" s="19"/>
      <c r="T56" s="11" t="s">
        <v>148</v>
      </c>
      <c r="U56" s="10"/>
    </row>
    <row r="57" ht="22.5" hidden="1" customHeight="1">
      <c r="A57" s="9">
        <f>VLOOKUP(B57,FVM_astainv!A:B,2,0)</f>
        <v>6678</v>
      </c>
      <c r="B57" s="78" t="s">
        <v>647</v>
      </c>
      <c r="C57" s="11" t="s">
        <v>99</v>
      </c>
      <c r="D57" s="12" t="str">
        <f>VLOOKUP(B57,FVM_astainv!A:F,6,0)</f>
        <v>Milan</v>
      </c>
      <c r="E57" s="13" t="str">
        <f>VLOOKUP(B57,FVM_astainv!A:D,4,0)</f>
        <v>W;T</v>
      </c>
      <c r="F57" s="11" t="s">
        <v>43</v>
      </c>
      <c r="G57" s="14">
        <v>45474.0</v>
      </c>
      <c r="H57" s="144">
        <f t="shared" si="1"/>
        <v>401768</v>
      </c>
      <c r="I57" s="11" t="s">
        <v>43</v>
      </c>
      <c r="J57" s="16" t="str">
        <f>VLOOKUP(A57,Asteriscati25!B:N,13,0)</f>
        <v>#N/A</v>
      </c>
      <c r="K57" s="26">
        <v>0.0</v>
      </c>
      <c r="L57" s="27">
        <v>1.0</v>
      </c>
      <c r="M57" s="19">
        <f>VLOOKUP(B57,FVM_Asta2425!A:M,13,0)</f>
        <v>1</v>
      </c>
      <c r="N57" s="19" t="str">
        <f t="shared" si="6"/>
        <v>#REF!</v>
      </c>
      <c r="O57" s="20">
        <f>VLOOKUP(B57,'FVM_1luglio-31luglio25'!D:Q,14,0)</f>
        <v>3</v>
      </c>
      <c r="P57" s="20">
        <f t="shared" si="23"/>
        <v>3</v>
      </c>
      <c r="Q57" s="21">
        <f t="shared" si="22"/>
        <v>0.5</v>
      </c>
      <c r="R57" s="21">
        <f t="shared" si="24"/>
        <v>0.5</v>
      </c>
      <c r="S57" s="19"/>
      <c r="T57" s="17"/>
      <c r="U57" s="10"/>
    </row>
    <row r="58" ht="22.5" hidden="1" customHeight="1">
      <c r="A58" s="9">
        <f>VLOOKUP(B58,FVM_astainv!A:B,2,0)</f>
        <v>6524</v>
      </c>
      <c r="B58" s="78" t="s">
        <v>648</v>
      </c>
      <c r="C58" s="11" t="s">
        <v>99</v>
      </c>
      <c r="D58" s="12" t="str">
        <f>VLOOKUP(B58,FVM_astainv!A:F,6,0)</f>
        <v>Milan</v>
      </c>
      <c r="E58" s="13" t="str">
        <f>VLOOKUP(B58,FVM_astainv!A:D,4,0)</f>
        <v>C;T</v>
      </c>
      <c r="F58" s="11" t="s">
        <v>43</v>
      </c>
      <c r="G58" s="14">
        <v>45474.0</v>
      </c>
      <c r="H58" s="144">
        <f t="shared" si="1"/>
        <v>401768</v>
      </c>
      <c r="I58" s="11" t="s">
        <v>43</v>
      </c>
      <c r="J58" s="16" t="str">
        <f>VLOOKUP(A58,Asteriscati25!B:N,13,0)</f>
        <v>#N/A</v>
      </c>
      <c r="K58" s="26">
        <v>0.0</v>
      </c>
      <c r="L58" s="27">
        <v>1.0</v>
      </c>
      <c r="M58" s="19">
        <f>VLOOKUP(B58,FVM_Asta2425!A:M,13,0)</f>
        <v>1</v>
      </c>
      <c r="N58" s="19" t="str">
        <f t="shared" si="6"/>
        <v>#REF!</v>
      </c>
      <c r="O58" s="20">
        <f>VLOOKUP(B58,'FVM_1luglio-31luglio25'!D:Q,14,0)</f>
        <v>5</v>
      </c>
      <c r="P58" s="20">
        <f t="shared" si="23"/>
        <v>5</v>
      </c>
      <c r="Q58" s="21">
        <f t="shared" si="22"/>
        <v>0.5</v>
      </c>
      <c r="R58" s="21">
        <f t="shared" si="24"/>
        <v>0.5</v>
      </c>
      <c r="S58" s="27">
        <v>22.0</v>
      </c>
      <c r="T58" s="11" t="s">
        <v>148</v>
      </c>
      <c r="U58" s="10"/>
    </row>
    <row r="59" ht="22.5" hidden="1" customHeight="1">
      <c r="A59" s="9">
        <f>VLOOKUP(B59,FVM_astainv!A:B,2,0)</f>
        <v>5812</v>
      </c>
      <c r="B59" s="77" t="s">
        <v>649</v>
      </c>
      <c r="C59" s="11" t="s">
        <v>99</v>
      </c>
      <c r="D59" s="12" t="str">
        <f>VLOOKUP(B59,FVM_astainv!A:F,6,0)</f>
        <v>Milan</v>
      </c>
      <c r="E59" s="13" t="str">
        <f>VLOOKUP(B59,FVM_astainv!A:D,4,0)</f>
        <v>Dd;E</v>
      </c>
      <c r="F59" s="11" t="s">
        <v>43</v>
      </c>
      <c r="G59" s="14">
        <v>45474.0</v>
      </c>
      <c r="H59" s="144">
        <f t="shared" si="1"/>
        <v>401768</v>
      </c>
      <c r="I59" s="11" t="s">
        <v>46</v>
      </c>
      <c r="J59" s="16" t="str">
        <f>VLOOKUP(A59,Asteriscati25!B:N,13,0)</f>
        <v>#N/A</v>
      </c>
      <c r="K59" s="26">
        <v>0.0</v>
      </c>
      <c r="L59" s="27">
        <v>1.0</v>
      </c>
      <c r="M59" s="19">
        <f>VLOOKUP(B59,FVM_Asta2425!A:M,13,0)</f>
        <v>1</v>
      </c>
      <c r="N59" s="19" t="str">
        <f t="shared" si="6"/>
        <v>#REF!</v>
      </c>
      <c r="O59" s="20">
        <f>VLOOKUP(B59,'FVM_1luglio-31luglio25'!D:Q,14,0)</f>
        <v>5</v>
      </c>
      <c r="P59" s="20">
        <f t="shared" si="23"/>
        <v>5</v>
      </c>
      <c r="Q59" s="21">
        <f t="shared" si="22"/>
        <v>0.5</v>
      </c>
      <c r="R59" s="21">
        <v>0.5</v>
      </c>
      <c r="S59" s="19"/>
      <c r="T59" s="17"/>
      <c r="U59" s="10" t="s">
        <v>650</v>
      </c>
    </row>
    <row r="60" ht="22.5" hidden="1" customHeight="1">
      <c r="A60" s="9">
        <f>VLOOKUP(B60,FVM_astainv!A:B,2,0)</f>
        <v>574</v>
      </c>
      <c r="B60" s="77" t="s">
        <v>651</v>
      </c>
      <c r="C60" s="11" t="s">
        <v>99</v>
      </c>
      <c r="D60" s="12" t="str">
        <f>VLOOKUP(B60,FVM_astainv!A:F,6,0)</f>
        <v>Napoli</v>
      </c>
      <c r="E60" s="13" t="str">
        <f>VLOOKUP(B60,FVM_astainv!A:D,4,0)</f>
        <v>Por</v>
      </c>
      <c r="F60" s="11" t="s">
        <v>92</v>
      </c>
      <c r="G60" s="14">
        <v>45689.0</v>
      </c>
      <c r="H60" s="144">
        <f t="shared" si="1"/>
        <v>45839</v>
      </c>
      <c r="I60" s="11" t="s">
        <v>93</v>
      </c>
      <c r="J60" s="16" t="str">
        <f>VLOOKUP(A60,Asteriscati25!B:N,13,0)</f>
        <v>#N/A</v>
      </c>
      <c r="K60" s="26">
        <v>0.0</v>
      </c>
      <c r="L60" s="27">
        <v>1.0</v>
      </c>
      <c r="M60" s="19">
        <f>VLOOKUP(B60,FVM_astainv!A:N,14,0)</f>
        <v>1</v>
      </c>
      <c r="N60" s="19" t="str">
        <f t="shared" si="6"/>
        <v>#REF!</v>
      </c>
      <c r="O60" s="20">
        <f>VLOOKUP(B60,'FVM_1luglio-31luglio25'!D:Q,14,0)</f>
        <v>15</v>
      </c>
      <c r="P60" s="20">
        <f t="shared" si="23"/>
        <v>15</v>
      </c>
      <c r="Q60" s="21">
        <f t="shared" ref="Q60:Q68" si="25">IF(OR(F60="Standard",F60="Standard Inverno"),CEILING((M60/10),0.5),
IF(OR(F60="Diritto 1+1",F60="Inverno Diritto 0,5 + 1"),CEILING((M60/10)*1.3,0.5),
CEILING((M60/10)*1.15,0.5)))</f>
        <v>0.5</v>
      </c>
      <c r="R60" s="21">
        <f t="shared" ref="R60:R64" si="26">IF(OR(I60="asta", I60="Svincolato riconferma anno corrente", I60="vivaio"), Q60,
IF(OR(I60="asta riparazione", I60="Svincolato obbligo anno precedente", I60="Svincolo pausa invernale"), MAX(0.5, CEILING(Q60 / 2, 0.5)),
IF(OR(I60="ceduto in prestito", I60="acquisito in prestito", I60="acquistato tit definitivo", I60="Ceduto tit definitivo"),CEILING(Q60 * K60, 0.5),
IF(I60="asteriscato", "inserire a mano", ""))))
</f>
        <v>0.5</v>
      </c>
      <c r="S60" s="19"/>
      <c r="T60" s="17"/>
      <c r="U60" s="10"/>
    </row>
    <row r="61" ht="22.5" hidden="1" customHeight="1">
      <c r="A61" s="9">
        <f>VLOOKUP(B61,FVM_astainv!A:B,2,0)</f>
        <v>5718</v>
      </c>
      <c r="B61" s="77" t="s">
        <v>652</v>
      </c>
      <c r="C61" s="11" t="s">
        <v>99</v>
      </c>
      <c r="D61" s="12" t="str">
        <f>VLOOKUP(B61,FVM_astainv!A:F,6,0)</f>
        <v>Empoli</v>
      </c>
      <c r="E61" s="13" t="str">
        <f>VLOOKUP(B61,FVM_astainv!A:D,4,0)</f>
        <v>Dc</v>
      </c>
      <c r="F61" s="11" t="s">
        <v>92</v>
      </c>
      <c r="G61" s="14">
        <v>45689.0</v>
      </c>
      <c r="H61" s="144">
        <f t="shared" si="1"/>
        <v>45839</v>
      </c>
      <c r="I61" s="11" t="s">
        <v>93</v>
      </c>
      <c r="J61" s="16" t="str">
        <f>VLOOKUP(A61,Asteriscati25!B:N,13,0)</f>
        <v>#N/A</v>
      </c>
      <c r="K61" s="26">
        <v>0.0</v>
      </c>
      <c r="L61" s="27">
        <v>24.0</v>
      </c>
      <c r="M61" s="19">
        <f>VLOOKUP(B61,FVM_astainv!A:N,14,0)</f>
        <v>17</v>
      </c>
      <c r="N61" s="19" t="str">
        <f t="shared" si="6"/>
        <v>#REF!</v>
      </c>
      <c r="O61" s="20">
        <f>VLOOKUP(B61,'FVM_1luglio-31luglio25'!D:Q,14,0)</f>
        <v>8</v>
      </c>
      <c r="P61" s="20">
        <f t="shared" si="23"/>
        <v>8</v>
      </c>
      <c r="Q61" s="21">
        <f t="shared" si="25"/>
        <v>2</v>
      </c>
      <c r="R61" s="21">
        <f t="shared" si="26"/>
        <v>1</v>
      </c>
      <c r="S61" s="19"/>
      <c r="T61" s="17"/>
      <c r="U61" s="10"/>
    </row>
    <row r="62" ht="22.5" hidden="1" customHeight="1">
      <c r="A62" s="9">
        <f>VLOOKUP(B62,FVM_astainv!A:B,2,0)</f>
        <v>5307</v>
      </c>
      <c r="B62" s="77" t="s">
        <v>653</v>
      </c>
      <c r="C62" s="11" t="s">
        <v>99</v>
      </c>
      <c r="D62" s="12" t="str">
        <f>VLOOKUP(B62,FVM_astainv!A:F,6,0)</f>
        <v>Parma</v>
      </c>
      <c r="E62" s="13" t="str">
        <f>VLOOKUP(B62,FVM_astainv!A:D,4,0)</f>
        <v>Dc</v>
      </c>
      <c r="F62" s="11" t="s">
        <v>92</v>
      </c>
      <c r="G62" s="14">
        <v>45689.0</v>
      </c>
      <c r="H62" s="144">
        <f t="shared" si="1"/>
        <v>45839</v>
      </c>
      <c r="I62" s="11" t="s">
        <v>93</v>
      </c>
      <c r="J62" s="16" t="str">
        <f>VLOOKUP(A62,Asteriscati25!B:N,13,0)</f>
        <v>#N/A</v>
      </c>
      <c r="K62" s="26">
        <v>0.0</v>
      </c>
      <c r="L62" s="27">
        <v>12.0</v>
      </c>
      <c r="M62" s="19">
        <f>VLOOKUP(B62,FVM_astainv!A:N,14,0)</f>
        <v>12</v>
      </c>
      <c r="N62" s="19" t="str">
        <f t="shared" si="6"/>
        <v>#REF!</v>
      </c>
      <c r="O62" s="20">
        <f>VLOOKUP(B62,'FVM_1luglio-31luglio25'!D:Q,14,0)</f>
        <v>8</v>
      </c>
      <c r="P62" s="20">
        <f t="shared" si="23"/>
        <v>8</v>
      </c>
      <c r="Q62" s="21">
        <f t="shared" si="25"/>
        <v>1.5</v>
      </c>
      <c r="R62" s="21">
        <f t="shared" si="26"/>
        <v>1</v>
      </c>
      <c r="S62" s="19"/>
      <c r="T62" s="17"/>
      <c r="U62" s="10"/>
    </row>
    <row r="63" ht="22.5" hidden="1" customHeight="1">
      <c r="A63" s="9">
        <f>VLOOKUP(B63,FVM_astainv!A:B,2,0)</f>
        <v>252</v>
      </c>
      <c r="B63" s="77" t="s">
        <v>358</v>
      </c>
      <c r="C63" s="11" t="s">
        <v>99</v>
      </c>
      <c r="D63" s="12" t="str">
        <f>VLOOKUP(B63,FVM_astainv!A:F,6,0)</f>
        <v>Fiorentina</v>
      </c>
      <c r="E63" s="13" t="str">
        <f>VLOOKUP(B63,FVM_astainv!A:D,4,0)</f>
        <v>B;Ds;E</v>
      </c>
      <c r="F63" s="11" t="s">
        <v>92</v>
      </c>
      <c r="G63" s="14">
        <v>45689.0</v>
      </c>
      <c r="H63" s="144">
        <f t="shared" si="1"/>
        <v>45839</v>
      </c>
      <c r="I63" s="11" t="s">
        <v>93</v>
      </c>
      <c r="J63" s="16" t="str">
        <f>VLOOKUP(A63,Asteriscati25!B:N,13,0)</f>
        <v>#N/A</v>
      </c>
      <c r="K63" s="26">
        <v>0.0</v>
      </c>
      <c r="L63" s="27">
        <v>14.0</v>
      </c>
      <c r="M63" s="19">
        <f>VLOOKUP(B63,FVM_astainv!A:N,14,0)</f>
        <v>8</v>
      </c>
      <c r="N63" s="19" t="str">
        <f t="shared" si="6"/>
        <v>#REF!</v>
      </c>
      <c r="O63" s="20">
        <f>VLOOKUP(B63,'FVM_1luglio-31luglio25'!D:Q,14,0)</f>
        <v>31</v>
      </c>
      <c r="P63" s="20">
        <f t="shared" si="23"/>
        <v>31</v>
      </c>
      <c r="Q63" s="21">
        <f t="shared" si="25"/>
        <v>1</v>
      </c>
      <c r="R63" s="21">
        <f t="shared" si="26"/>
        <v>0.5</v>
      </c>
      <c r="S63" s="19"/>
      <c r="T63" s="17"/>
      <c r="U63" s="10"/>
    </row>
    <row r="64" ht="22.5" hidden="1" customHeight="1">
      <c r="A64" s="9">
        <f>VLOOKUP(B64,FVM_astainv!A:B,2,0)</f>
        <v>6986</v>
      </c>
      <c r="B64" s="77" t="s">
        <v>654</v>
      </c>
      <c r="C64" s="11" t="s">
        <v>99</v>
      </c>
      <c r="D64" s="12" t="str">
        <f>VLOOKUP(B64,FVM_astainv!A:F,6,0)</f>
        <v>Roma</v>
      </c>
      <c r="E64" s="13" t="str">
        <f>VLOOKUP(B64,FVM_astainv!A:D,4,0)</f>
        <v>B;Dd;E</v>
      </c>
      <c r="F64" s="11" t="s">
        <v>92</v>
      </c>
      <c r="G64" s="14">
        <v>45689.0</v>
      </c>
      <c r="H64" s="144">
        <f t="shared" si="1"/>
        <v>45839</v>
      </c>
      <c r="I64" s="11" t="s">
        <v>93</v>
      </c>
      <c r="J64" s="16" t="str">
        <f>VLOOKUP(A64,Asteriscati25!B:N,13,0)</f>
        <v>#N/A</v>
      </c>
      <c r="K64" s="26">
        <v>0.0</v>
      </c>
      <c r="L64" s="27">
        <v>49.0</v>
      </c>
      <c r="M64" s="19">
        <f>VLOOKUP(B64,FVM_astainv!A:N,14,0)</f>
        <v>18</v>
      </c>
      <c r="N64" s="19" t="str">
        <f t="shared" si="6"/>
        <v>#REF!</v>
      </c>
      <c r="O64" s="20">
        <f>VLOOKUP(B64,'FVM_1luglio-31luglio25'!D:Q,14,0)</f>
        <v>15</v>
      </c>
      <c r="P64" s="20">
        <f t="shared" si="23"/>
        <v>15</v>
      </c>
      <c r="Q64" s="21">
        <f t="shared" si="25"/>
        <v>2</v>
      </c>
      <c r="R64" s="21">
        <f t="shared" si="26"/>
        <v>1</v>
      </c>
      <c r="S64" s="19"/>
      <c r="T64" s="17"/>
      <c r="U64" s="10"/>
    </row>
    <row r="65" ht="22.5" hidden="1" customHeight="1">
      <c r="A65" s="9">
        <f>VLOOKUP(B65,FVM_astainv!A:B,2,0)</f>
        <v>6531</v>
      </c>
      <c r="B65" s="77" t="s">
        <v>655</v>
      </c>
      <c r="C65" s="11" t="s">
        <v>99</v>
      </c>
      <c r="D65" s="12" t="str">
        <f>VLOOKUP(B65,FVM_astainv!A:F,6,0)</f>
        <v>Milan</v>
      </c>
      <c r="E65" s="13" t="str">
        <f>VLOOKUP(B65,FVM_astainv!A:D,4,0)</f>
        <v>Dd;Ds;E</v>
      </c>
      <c r="F65" s="11" t="s">
        <v>141</v>
      </c>
      <c r="G65" s="14">
        <v>45689.0</v>
      </c>
      <c r="H65" s="144">
        <f t="shared" si="1"/>
        <v>46235</v>
      </c>
      <c r="I65" s="11" t="s">
        <v>605</v>
      </c>
      <c r="J65" s="16" t="str">
        <f>VLOOKUP(A65,Asteriscati25!B:N,13,0)</f>
        <v>#N/A</v>
      </c>
      <c r="K65" s="26">
        <v>0.0</v>
      </c>
      <c r="L65" s="27">
        <v>21.0</v>
      </c>
      <c r="M65" s="19">
        <f>VLOOKUP(B65,FVM_astainv!A:N,14,0)</f>
        <v>15</v>
      </c>
      <c r="N65" s="19" t="str">
        <f t="shared" si="6"/>
        <v>#REF!</v>
      </c>
      <c r="O65" s="20" t="str">
        <f>VLOOKUP(B65,'FVM_1luglio-31luglio25'!D:Q,14,0)</f>
        <v>#N/A</v>
      </c>
      <c r="P65" s="20" t="str">
        <f t="shared" si="23"/>
        <v>#N/A</v>
      </c>
      <c r="Q65" s="21">
        <f t="shared" si="25"/>
        <v>2</v>
      </c>
      <c r="R65" s="101">
        <v>0.0</v>
      </c>
      <c r="S65" s="19"/>
      <c r="T65" s="17"/>
      <c r="U65" s="10"/>
    </row>
    <row r="66" ht="22.5" hidden="1" customHeight="1">
      <c r="A66" s="9">
        <f>VLOOKUP(B66,FVM_astainv!A:B,2,0)</f>
        <v>5422</v>
      </c>
      <c r="B66" s="77" t="s">
        <v>656</v>
      </c>
      <c r="C66" s="11" t="s">
        <v>99</v>
      </c>
      <c r="D66" s="12" t="str">
        <f>VLOOKUP(B66,FVM_astainv!A:F,6,0)</f>
        <v>Inter</v>
      </c>
      <c r="E66" s="13" t="str">
        <f>VLOOKUP(B66,FVM_astainv!A:D,4,0)</f>
        <v>W</v>
      </c>
      <c r="F66" s="11" t="s">
        <v>92</v>
      </c>
      <c r="G66" s="14">
        <v>45689.0</v>
      </c>
      <c r="H66" s="144">
        <f t="shared" si="1"/>
        <v>45839</v>
      </c>
      <c r="I66" s="11" t="s">
        <v>93</v>
      </c>
      <c r="J66" s="16" t="str">
        <f>VLOOKUP(A66,Asteriscati25!B:N,13,0)</f>
        <v>#N/A</v>
      </c>
      <c r="K66" s="26">
        <v>0.0</v>
      </c>
      <c r="L66" s="27">
        <v>13.0</v>
      </c>
      <c r="M66" s="19">
        <f>VLOOKUP(B66,FVM_astainv!A:N,14,0)</f>
        <v>8</v>
      </c>
      <c r="N66" s="19" t="str">
        <f t="shared" si="6"/>
        <v>#REF!</v>
      </c>
      <c r="O66" s="20">
        <f>VLOOKUP(B66,'FVM_1luglio-31luglio25'!D:Q,14,0)</f>
        <v>9</v>
      </c>
      <c r="P66" s="20">
        <f t="shared" si="23"/>
        <v>9</v>
      </c>
      <c r="Q66" s="21">
        <f t="shared" si="25"/>
        <v>1</v>
      </c>
      <c r="R66" s="21">
        <f t="shared" ref="R66:R74" si="27">IF(OR(I66="asta", I66="Svincolato riconferma anno corrente", I66="vivaio"), Q66,
IF(OR(I66="asta riparazione", I66="Svincolato obbligo anno precedente", I66="Svincolo pausa invernale"), MAX(0.5, CEILING(Q66 / 2, 0.5)),
IF(OR(I66="ceduto in prestito", I66="acquisito in prestito", I66="acquistato tit definitivo", I66="Ceduto tit definitivo"),CEILING(Q66 * K66, 0.5),
IF(I66="asteriscato", "inserire a mano", ""))))
</f>
        <v>0.5</v>
      </c>
      <c r="S66" s="19"/>
      <c r="T66" s="17"/>
      <c r="U66" s="10"/>
    </row>
    <row r="67" ht="22.5" hidden="1" customHeight="1">
      <c r="A67" s="9">
        <f>VLOOKUP(B67,FVM_astainv!A:B,2,0)</f>
        <v>6159</v>
      </c>
      <c r="B67" s="77" t="s">
        <v>657</v>
      </c>
      <c r="C67" s="11" t="s">
        <v>99</v>
      </c>
      <c r="D67" s="12" t="str">
        <f>VLOOKUP(B67,FVM_astainv!A:F,6,0)</f>
        <v>Verona</v>
      </c>
      <c r="E67" s="13" t="str">
        <f>VLOOKUP(B67,FVM_astainv!A:D,4,0)</f>
        <v>A</v>
      </c>
      <c r="F67" s="11" t="s">
        <v>92</v>
      </c>
      <c r="G67" s="14">
        <v>45689.0</v>
      </c>
      <c r="H67" s="144">
        <f t="shared" si="1"/>
        <v>45839</v>
      </c>
      <c r="I67" s="11" t="s">
        <v>93</v>
      </c>
      <c r="J67" s="16" t="str">
        <f>VLOOKUP(A67,Asteriscati25!B:N,13,0)</f>
        <v>#N/A</v>
      </c>
      <c r="K67" s="26">
        <v>0.0</v>
      </c>
      <c r="L67" s="27">
        <v>25.0</v>
      </c>
      <c r="M67" s="19">
        <f>VLOOKUP(B67,FVM_astainv!A:N,14,0)</f>
        <v>25</v>
      </c>
      <c r="N67" s="19" t="str">
        <f t="shared" si="6"/>
        <v>#REF!</v>
      </c>
      <c r="O67" s="20">
        <f>VLOOKUP(B67,'FVM_1luglio-31luglio25'!D:Q,14,0)</f>
        <v>12</v>
      </c>
      <c r="P67" s="20">
        <f t="shared" si="23"/>
        <v>12</v>
      </c>
      <c r="Q67" s="21">
        <f t="shared" si="25"/>
        <v>2.5</v>
      </c>
      <c r="R67" s="21">
        <f t="shared" si="27"/>
        <v>1.5</v>
      </c>
      <c r="S67" s="19"/>
      <c r="T67" s="17"/>
      <c r="U67" s="10"/>
    </row>
    <row r="68" ht="22.5" hidden="1" customHeight="1">
      <c r="A68" s="9">
        <v>7017.0</v>
      </c>
      <c r="B68" s="77" t="s">
        <v>105</v>
      </c>
      <c r="C68" s="11" t="s">
        <v>99</v>
      </c>
      <c r="D68" s="12" t="str">
        <f>VLOOKUP(B68,FVM_astainv!A:F,6,0)</f>
        <v>Como</v>
      </c>
      <c r="E68" s="13" t="str">
        <f>VLOOKUP(B68,FVM_astainv!A:D,4,0)</f>
        <v>Pc</v>
      </c>
      <c r="F68" s="11" t="s">
        <v>74</v>
      </c>
      <c r="G68" s="14">
        <v>45689.0</v>
      </c>
      <c r="H68" s="144">
        <f t="shared" si="1"/>
        <v>46600</v>
      </c>
      <c r="I68" s="11" t="s">
        <v>93</v>
      </c>
      <c r="J68" s="16" t="str">
        <f>VLOOKUP(A68,Asteriscati25!B:N,13,0)</f>
        <v>#N/A</v>
      </c>
      <c r="K68" s="26">
        <v>0.0</v>
      </c>
      <c r="L68" s="27">
        <v>20.0</v>
      </c>
      <c r="M68" s="19">
        <f>VLOOKUP(B68,FVM_astainv!A:N,14,0)</f>
        <v>20</v>
      </c>
      <c r="N68" s="19" t="str">
        <f t="shared" si="6"/>
        <v>#REF!</v>
      </c>
      <c r="O68" s="20">
        <f>VLOOKUP(B68,'FVM_1luglio-31luglio25'!D:Q,14,0)</f>
        <v>20</v>
      </c>
      <c r="P68" s="20">
        <f t="shared" si="23"/>
        <v>20</v>
      </c>
      <c r="Q68" s="21">
        <f t="shared" si="25"/>
        <v>2.5</v>
      </c>
      <c r="R68" s="21">
        <f t="shared" si="27"/>
        <v>1.5</v>
      </c>
      <c r="S68" s="19"/>
      <c r="T68" s="17"/>
      <c r="U68" s="10"/>
    </row>
    <row r="69" ht="22.5" hidden="1" customHeight="1">
      <c r="A69" s="9">
        <f>VLOOKUP(B69,FVM_astainv!A:B,2,0)</f>
        <v>4342</v>
      </c>
      <c r="B69" s="25" t="s">
        <v>658</v>
      </c>
      <c r="C69" s="11" t="s">
        <v>99</v>
      </c>
      <c r="D69" s="12" t="str">
        <f>VLOOKUP(B69,FVM_astainv!A:F,6,0)</f>
        <v>Verona</v>
      </c>
      <c r="E69" s="13" t="str">
        <f>VLOOKUP(B69,FVM_astainv!A:D,4,0)</f>
        <v>M;C</v>
      </c>
      <c r="F69" s="11" t="s">
        <v>45</v>
      </c>
      <c r="G69" s="14">
        <v>45474.0</v>
      </c>
      <c r="H69" s="144">
        <f t="shared" si="1"/>
        <v>45839</v>
      </c>
      <c r="I69" s="11" t="s">
        <v>48</v>
      </c>
      <c r="J69" s="16" t="str">
        <f>VLOOKUP(A69,Asteriscati25!B:N,13,0)</f>
        <v>#N/A</v>
      </c>
      <c r="K69" s="26">
        <v>0.0</v>
      </c>
      <c r="L69" s="19" t="str">
        <f t="shared" ref="L69:L94" si="28">VLOOKUP(B69,Rose!B:D,3,0)</f>
        <v>#REF!</v>
      </c>
      <c r="M69" s="19">
        <f>VLOOKUP(B69,FVM_Asta2425!A:M,13,0)</f>
        <v>20</v>
      </c>
      <c r="N69" s="19" t="str">
        <f t="shared" si="6"/>
        <v>#REF!</v>
      </c>
      <c r="O69" s="20">
        <f>VLOOKUP(B69,'FVM_1luglio-31luglio25'!D:Q,14,0)</f>
        <v>20</v>
      </c>
      <c r="P69" s="20">
        <f t="shared" si="23"/>
        <v>20</v>
      </c>
      <c r="Q69" s="21">
        <f t="shared" ref="Q69:Q74" si="29">IF(F69="Standard",CEILING((M69/10),0.5),
IF(OR(F69="Diritto 1+1",M69="Inverno Diritto 0,5 + 1"),CEILING((M69/10)*1.3,0.5),
CEILING((M69/10)*1.15,0.5)))</f>
        <v>2</v>
      </c>
      <c r="R69" s="21">
        <f t="shared" si="27"/>
        <v>2</v>
      </c>
      <c r="S69" s="19"/>
      <c r="T69" s="22"/>
      <c r="U69" s="10"/>
    </row>
    <row r="70" ht="22.5" hidden="1" customHeight="1">
      <c r="A70" s="9">
        <f>VLOOKUP(B70,FVM_astainv!A:B,2,0)</f>
        <v>6225</v>
      </c>
      <c r="B70" s="25" t="s">
        <v>659</v>
      </c>
      <c r="C70" s="11" t="s">
        <v>99</v>
      </c>
      <c r="D70" s="12" t="str">
        <f>VLOOKUP(B70,FVM_astainv!A:F,6,0)</f>
        <v>Bologna</v>
      </c>
      <c r="E70" s="13" t="str">
        <f>VLOOKUP(B70,FVM_astainv!A:D,4,0)</f>
        <v>M;C</v>
      </c>
      <c r="F70" s="11" t="s">
        <v>45</v>
      </c>
      <c r="G70" s="14">
        <v>45474.0</v>
      </c>
      <c r="H70" s="144">
        <f t="shared" si="1"/>
        <v>45839</v>
      </c>
      <c r="I70" s="11" t="s">
        <v>46</v>
      </c>
      <c r="J70" s="16" t="str">
        <f>VLOOKUP(A70,Asteriscati25!B:N,13,0)</f>
        <v>#N/A</v>
      </c>
      <c r="K70" s="26">
        <v>0.0</v>
      </c>
      <c r="L70" s="19" t="str">
        <f t="shared" si="28"/>
        <v>#REF!</v>
      </c>
      <c r="M70" s="19">
        <f>VLOOKUP(B70,FVM_Asta2425!A:M,13,0)</f>
        <v>8</v>
      </c>
      <c r="N70" s="19" t="str">
        <f t="shared" si="6"/>
        <v>#REF!</v>
      </c>
      <c r="O70" s="20">
        <f>VLOOKUP(B70,'FVM_1luglio-31luglio25'!D:Q,14,0)</f>
        <v>8</v>
      </c>
      <c r="P70" s="20">
        <f t="shared" si="23"/>
        <v>8</v>
      </c>
      <c r="Q70" s="21">
        <f t="shared" si="29"/>
        <v>1</v>
      </c>
      <c r="R70" s="21">
        <f t="shared" si="27"/>
        <v>0.5</v>
      </c>
      <c r="S70" s="19"/>
      <c r="T70" s="22"/>
      <c r="U70" s="10"/>
    </row>
    <row r="71" ht="22.5" hidden="1" customHeight="1">
      <c r="A71" s="9">
        <f>VLOOKUP(B71,FVM_astainv!A:B,2,0)</f>
        <v>6533</v>
      </c>
      <c r="B71" s="25" t="s">
        <v>660</v>
      </c>
      <c r="C71" s="11" t="s">
        <v>99</v>
      </c>
      <c r="D71" s="12" t="str">
        <f>VLOOKUP(B71,FVM_astainv!A:F,6,0)</f>
        <v>Udinese</v>
      </c>
      <c r="E71" s="13" t="str">
        <f>VLOOKUP(B71,FVM_astainv!A:D,4,0)</f>
        <v>Dc</v>
      </c>
      <c r="F71" s="11" t="s">
        <v>45</v>
      </c>
      <c r="G71" s="14">
        <v>45474.0</v>
      </c>
      <c r="H71" s="144">
        <f t="shared" si="1"/>
        <v>45839</v>
      </c>
      <c r="I71" s="11" t="s">
        <v>46</v>
      </c>
      <c r="J71" s="16" t="str">
        <f>VLOOKUP(A71,Asteriscati25!B:N,13,0)</f>
        <v>#N/A</v>
      </c>
      <c r="K71" s="26">
        <v>0.0</v>
      </c>
      <c r="L71" s="19" t="str">
        <f t="shared" si="28"/>
        <v>#REF!</v>
      </c>
      <c r="M71" s="19">
        <f>VLOOKUP(B71,FVM_Asta2425!A:M,13,0)</f>
        <v>6</v>
      </c>
      <c r="N71" s="19" t="str">
        <f t="shared" si="6"/>
        <v>#REF!</v>
      </c>
      <c r="O71" s="20">
        <f>VLOOKUP(B71,'FVM_1luglio-31luglio25'!D:Q,14,0)</f>
        <v>6</v>
      </c>
      <c r="P71" s="20">
        <f t="shared" si="23"/>
        <v>6</v>
      </c>
      <c r="Q71" s="21">
        <f t="shared" si="29"/>
        <v>1</v>
      </c>
      <c r="R71" s="21">
        <f t="shared" si="27"/>
        <v>0.5</v>
      </c>
      <c r="S71" s="19"/>
      <c r="T71" s="22"/>
      <c r="U71" s="10"/>
    </row>
    <row r="72" ht="22.5" hidden="1" customHeight="1">
      <c r="A72" s="9">
        <f>VLOOKUP(B72,FVM_astainv!A:B,2,0)</f>
        <v>5899</v>
      </c>
      <c r="B72" s="25" t="s">
        <v>661</v>
      </c>
      <c r="C72" s="11" t="s">
        <v>99</v>
      </c>
      <c r="D72" s="12" t="str">
        <f>VLOOKUP(B72,FVM_astainv!A:F,6,0)</f>
        <v>Lazio</v>
      </c>
      <c r="E72" s="13" t="str">
        <f>VLOOKUP(B72,FVM_astainv!A:D,4,0)</f>
        <v>Dc</v>
      </c>
      <c r="F72" s="11" t="s">
        <v>45</v>
      </c>
      <c r="G72" s="14">
        <v>45474.0</v>
      </c>
      <c r="H72" s="144">
        <f t="shared" si="1"/>
        <v>45839</v>
      </c>
      <c r="I72" s="11" t="s">
        <v>71</v>
      </c>
      <c r="J72" s="16" t="str">
        <f>VLOOKUP(A72,Asteriscati25!B:N,13,0)</f>
        <v>#N/A</v>
      </c>
      <c r="K72" s="26">
        <v>0.0</v>
      </c>
      <c r="L72" s="19" t="str">
        <f t="shared" si="28"/>
        <v>#REF!</v>
      </c>
      <c r="M72" s="19">
        <f>VLOOKUP(B72,FVM_Asta2425!A:M,13,0)</f>
        <v>19</v>
      </c>
      <c r="N72" s="19" t="str">
        <f t="shared" si="6"/>
        <v>#REF!</v>
      </c>
      <c r="O72" s="20">
        <f>VLOOKUP(B72,'FVM_1luglio-31luglio25'!D:Q,14,0)</f>
        <v>15</v>
      </c>
      <c r="P72" s="20">
        <f t="shared" si="23"/>
        <v>15</v>
      </c>
      <c r="Q72" s="21">
        <f t="shared" si="29"/>
        <v>2</v>
      </c>
      <c r="R72" s="21">
        <f t="shared" si="27"/>
        <v>0</v>
      </c>
      <c r="S72" s="19"/>
      <c r="T72" s="22"/>
      <c r="U72" s="10"/>
    </row>
    <row r="73" ht="22.5" hidden="1" customHeight="1">
      <c r="A73" s="9">
        <f>VLOOKUP(B73,FVM_astainv!A:B,2,0)</f>
        <v>2160</v>
      </c>
      <c r="B73" s="25" t="s">
        <v>662</v>
      </c>
      <c r="C73" s="11" t="s">
        <v>99</v>
      </c>
      <c r="D73" s="12" t="str">
        <f>VLOOKUP(B73,FVM_astainv!A:F,6,0)</f>
        <v>Fiorentina</v>
      </c>
      <c r="E73" s="13" t="str">
        <f>VLOOKUP(B73,FVM_astainv!A:D,4,0)</f>
        <v>E</v>
      </c>
      <c r="F73" s="11" t="s">
        <v>45</v>
      </c>
      <c r="G73" s="14">
        <v>45474.0</v>
      </c>
      <c r="H73" s="144">
        <f t="shared" si="1"/>
        <v>45839</v>
      </c>
      <c r="I73" s="11" t="s">
        <v>48</v>
      </c>
      <c r="J73" s="16" t="str">
        <f>VLOOKUP(A73,Asteriscati25!B:N,13,0)</f>
        <v>#N/A</v>
      </c>
      <c r="K73" s="26">
        <v>0.0</v>
      </c>
      <c r="L73" s="19" t="str">
        <f t="shared" si="28"/>
        <v>#REF!</v>
      </c>
      <c r="M73" s="19">
        <f>VLOOKUP(B73,FVM_Asta2425!A:M,13,0)</f>
        <v>37</v>
      </c>
      <c r="N73" s="19" t="str">
        <f t="shared" si="6"/>
        <v>#REF!</v>
      </c>
      <c r="O73" s="20">
        <f>VLOOKUP(B73,'FVM_1luglio-31luglio25'!D:Q,14,0)</f>
        <v>51</v>
      </c>
      <c r="P73" s="20">
        <f t="shared" si="23"/>
        <v>51</v>
      </c>
      <c r="Q73" s="21">
        <f t="shared" si="29"/>
        <v>4</v>
      </c>
      <c r="R73" s="21">
        <f t="shared" si="27"/>
        <v>4</v>
      </c>
      <c r="S73" s="19"/>
      <c r="T73" s="22"/>
      <c r="U73" s="10"/>
    </row>
    <row r="74" ht="22.5" hidden="1" customHeight="1">
      <c r="A74" s="9">
        <f>VLOOKUP(B74,FVM_astainv!A:B,2,0)</f>
        <v>6398</v>
      </c>
      <c r="B74" s="25" t="s">
        <v>663</v>
      </c>
      <c r="C74" s="11" t="s">
        <v>99</v>
      </c>
      <c r="D74" s="12" t="str">
        <f>VLOOKUP(B74,FVM_astainv!A:F,6,0)</f>
        <v>Lazio</v>
      </c>
      <c r="E74" s="13" t="str">
        <f>VLOOKUP(B74,FVM_astainv!A:D,4,0)</f>
        <v>W;A</v>
      </c>
      <c r="F74" s="11" t="s">
        <v>45</v>
      </c>
      <c r="G74" s="14">
        <v>45474.0</v>
      </c>
      <c r="H74" s="144">
        <f t="shared" si="1"/>
        <v>45839</v>
      </c>
      <c r="I74" s="11" t="s">
        <v>48</v>
      </c>
      <c r="J74" s="16" t="str">
        <f>VLOOKUP(A74,Asteriscati25!B:N,13,0)</f>
        <v>#N/A</v>
      </c>
      <c r="K74" s="26">
        <v>0.0</v>
      </c>
      <c r="L74" s="19" t="str">
        <f t="shared" si="28"/>
        <v>#REF!</v>
      </c>
      <c r="M74" s="19">
        <f>VLOOKUP(B74,FVM_Asta2425!A:M,13,0)</f>
        <v>27</v>
      </c>
      <c r="N74" s="19" t="str">
        <f t="shared" si="6"/>
        <v>#REF!</v>
      </c>
      <c r="O74" s="20">
        <f>VLOOKUP(B74,'FVM_1luglio-31luglio25'!D:Q,14,0)</f>
        <v>28</v>
      </c>
      <c r="P74" s="20">
        <f t="shared" si="23"/>
        <v>28</v>
      </c>
      <c r="Q74" s="21">
        <f t="shared" si="29"/>
        <v>3</v>
      </c>
      <c r="R74" s="21">
        <f t="shared" si="27"/>
        <v>3</v>
      </c>
      <c r="S74" s="19"/>
      <c r="T74" s="22"/>
      <c r="U74" s="10"/>
      <c r="V74" s="153"/>
      <c r="W74" s="153"/>
      <c r="X74" s="153"/>
      <c r="Y74" s="153"/>
      <c r="Z74" s="153"/>
      <c r="AA74" s="153"/>
      <c r="AB74" s="153"/>
      <c r="AC74" s="153"/>
      <c r="AD74" s="153"/>
      <c r="AE74" s="153"/>
      <c r="AF74" s="153"/>
      <c r="AG74" s="153"/>
      <c r="AH74" s="153"/>
      <c r="AI74" s="153"/>
      <c r="AJ74" s="153"/>
      <c r="AK74" s="153"/>
      <c r="AL74" s="153"/>
      <c r="AM74" s="153"/>
    </row>
    <row r="75" ht="22.5" hidden="1" customHeight="1">
      <c r="A75" s="9">
        <f>VLOOKUP(B75,FVM_astainv!A:B,2,0)</f>
        <v>6883</v>
      </c>
      <c r="B75" s="25" t="s">
        <v>664</v>
      </c>
      <c r="C75" s="11" t="s">
        <v>99</v>
      </c>
      <c r="D75" s="12" t="str">
        <f>VLOOKUP(B75,FVM_astainv!A:F,6,0)</f>
        <v>Lecce</v>
      </c>
      <c r="E75" s="13" t="str">
        <f>VLOOKUP(B75,FVM_astainv!A:D,4,0)</f>
        <v>Dc</v>
      </c>
      <c r="F75" s="11" t="s">
        <v>45</v>
      </c>
      <c r="G75" s="14">
        <v>45474.0</v>
      </c>
      <c r="H75" s="144">
        <f t="shared" si="1"/>
        <v>45839</v>
      </c>
      <c r="I75" s="11" t="s">
        <v>665</v>
      </c>
      <c r="J75" s="16" t="str">
        <f>VLOOKUP(A75,Asteriscati25!B:N,13,0)</f>
        <v>#N/A</v>
      </c>
      <c r="K75" s="17"/>
      <c r="L75" s="19" t="str">
        <f t="shared" si="28"/>
        <v>#REF!</v>
      </c>
      <c r="M75" s="19">
        <f>VLOOKUP(B75,FVM_Asta2425!A:M,13,0)</f>
        <v>3</v>
      </c>
      <c r="N75" s="19" t="str">
        <f t="shared" si="6"/>
        <v>#REF!</v>
      </c>
      <c r="O75" s="20">
        <f>VLOOKUP(B75,'FVM_1luglio-31luglio25'!D:Q,14,0)</f>
        <v>6</v>
      </c>
      <c r="P75" s="9">
        <f t="shared" si="23"/>
        <v>6</v>
      </c>
      <c r="Q75" s="101">
        <v>0.0</v>
      </c>
      <c r="R75" s="101">
        <v>0.0</v>
      </c>
      <c r="S75" s="19"/>
      <c r="T75" s="22"/>
      <c r="U75" s="10" t="s">
        <v>666</v>
      </c>
    </row>
    <row r="76" ht="22.5" hidden="1" customHeight="1">
      <c r="A76" s="9">
        <f>VLOOKUP(B76,FVM_astainv!A:B,2,0)</f>
        <v>4976</v>
      </c>
      <c r="B76" s="138" t="s">
        <v>667</v>
      </c>
      <c r="C76" s="88" t="s">
        <v>99</v>
      </c>
      <c r="D76" s="12" t="str">
        <f>VLOOKUP(B76,FVM_astainv!A:F,6,0)</f>
        <v>Juventus</v>
      </c>
      <c r="E76" s="13" t="str">
        <f>VLOOKUP(B76,FVM_astainv!A:D,4,0)</f>
        <v>Dd;Dc</v>
      </c>
      <c r="F76" s="88" t="s">
        <v>45</v>
      </c>
      <c r="G76" s="154">
        <v>45474.0</v>
      </c>
      <c r="H76" s="155">
        <f t="shared" si="1"/>
        <v>45839</v>
      </c>
      <c r="I76" s="88" t="s">
        <v>48</v>
      </c>
      <c r="J76" s="92" t="str">
        <f>VLOOKUP(A76,Asteriscati25!B:N,13,0)</f>
        <v>#N/A</v>
      </c>
      <c r="K76" s="152">
        <v>0.0</v>
      </c>
      <c r="L76" s="94" t="str">
        <f t="shared" si="28"/>
        <v>#REF!</v>
      </c>
      <c r="M76" s="94">
        <f>VLOOKUP(B76,FVM_Asta2425!A:M,13,0)</f>
        <v>15</v>
      </c>
      <c r="N76" s="19" t="str">
        <f t="shared" si="6"/>
        <v>#REF!</v>
      </c>
      <c r="O76" s="20">
        <f>VLOOKUP(B76,'FVM_1luglio-31luglio25'!D:Q,14,0)</f>
        <v>19</v>
      </c>
      <c r="P76" s="20">
        <f t="shared" si="23"/>
        <v>19</v>
      </c>
      <c r="Q76" s="95">
        <f t="shared" ref="Q76:Q83" si="30">IF(F76="Standard",CEILING((M76/10),0.5),
IF(OR(F76="Diritto 1+1",M76="Inverno Diritto 0,5 + 1"),CEILING((M76/10)*1.3,0.5),
CEILING((M76/10)*1.15,0.5)))</f>
        <v>1.5</v>
      </c>
      <c r="R76" s="95">
        <f t="shared" ref="R76:R85" si="31">IF(OR(I76="asta", I76="Svincolato riconferma anno corrente", I76="vivaio"), Q76,
IF(OR(I76="asta riparazione", I76="Svincolato obbligo anno precedente", I76="Svincolo pausa invernale"), MAX(0.5, CEILING(Q76 / 2, 0.5)),
IF(OR(I76="ceduto in prestito", I76="acquisito in prestito", I76="acquistato tit definitivo", I76="Ceduto tit definitivo"),CEILING(Q76 * K76, 0.5),
IF(I76="asteriscato", "inserire a mano", ""))))
</f>
        <v>1.5</v>
      </c>
      <c r="S76" s="94"/>
      <c r="T76" s="96"/>
      <c r="U76" s="156"/>
    </row>
    <row r="77" ht="22.5" hidden="1" customHeight="1">
      <c r="A77" s="9">
        <f>VLOOKUP(B77,FVM_astainv!A:B,2,0)</f>
        <v>2097</v>
      </c>
      <c r="B77" s="25" t="s">
        <v>108</v>
      </c>
      <c r="C77" s="11" t="s">
        <v>99</v>
      </c>
      <c r="D77" s="12" t="str">
        <f>VLOOKUP(B77,FVM_astainv!A:F,6,0)</f>
        <v>Fiorentina</v>
      </c>
      <c r="E77" s="13" t="str">
        <f>VLOOKUP(B77,FVM_astainv!A:D,4,0)</f>
        <v>Pc</v>
      </c>
      <c r="F77" s="11" t="s">
        <v>55</v>
      </c>
      <c r="G77" s="14">
        <v>45474.0</v>
      </c>
      <c r="H77" s="144">
        <f t="shared" si="1"/>
        <v>46204</v>
      </c>
      <c r="I77" s="11" t="s">
        <v>48</v>
      </c>
      <c r="J77" s="16" t="str">
        <f>VLOOKUP(A77,Asteriscati25!B:N,13,0)</f>
        <v>#N/A</v>
      </c>
      <c r="K77" s="26">
        <v>0.0</v>
      </c>
      <c r="L77" s="19" t="str">
        <f t="shared" si="28"/>
        <v>#REF!</v>
      </c>
      <c r="M77" s="19">
        <f>VLOOKUP(B77,FVM_Asta2425!A:M,13,0)</f>
        <v>97</v>
      </c>
      <c r="N77" s="19" t="str">
        <f t="shared" si="6"/>
        <v>#REF!</v>
      </c>
      <c r="O77" s="20">
        <f>VLOOKUP(B77,'FVM_1luglio-31luglio25'!D:Q,14,0)</f>
        <v>241</v>
      </c>
      <c r="P77" s="20">
        <f t="shared" si="23"/>
        <v>241</v>
      </c>
      <c r="Q77" s="21">
        <f t="shared" si="30"/>
        <v>13</v>
      </c>
      <c r="R77" s="21">
        <f t="shared" si="31"/>
        <v>13</v>
      </c>
      <c r="S77" s="19"/>
      <c r="T77" s="22"/>
      <c r="U77" s="10"/>
    </row>
    <row r="78" ht="22.5" hidden="1" customHeight="1">
      <c r="A78" s="9">
        <f>VLOOKUP(B78,FVM_astainv!A:B,2,0)</f>
        <v>393</v>
      </c>
      <c r="B78" s="25" t="s">
        <v>668</v>
      </c>
      <c r="C78" s="11" t="s">
        <v>99</v>
      </c>
      <c r="D78" s="12" t="str">
        <f>VLOOKUP(B78,FVM_astainv!A:F,6,0)</f>
        <v>Cagliari</v>
      </c>
      <c r="E78" s="13" t="str">
        <f>VLOOKUP(B78,FVM_astainv!A:D,4,0)</f>
        <v>Dc</v>
      </c>
      <c r="F78" s="11" t="s">
        <v>45</v>
      </c>
      <c r="G78" s="14">
        <v>45474.0</v>
      </c>
      <c r="H78" s="144">
        <f t="shared" si="1"/>
        <v>45839</v>
      </c>
      <c r="I78" s="11" t="s">
        <v>48</v>
      </c>
      <c r="J78" s="16" t="str">
        <f>VLOOKUP(A78,Asteriscati25!B:N,13,0)</f>
        <v>#N/A</v>
      </c>
      <c r="K78" s="26">
        <v>0.0</v>
      </c>
      <c r="L78" s="19" t="str">
        <f t="shared" si="28"/>
        <v>#REF!</v>
      </c>
      <c r="M78" s="19">
        <f>VLOOKUP(B78,FVM_Asta2425!A:M,13,0)</f>
        <v>14</v>
      </c>
      <c r="N78" s="19" t="str">
        <f t="shared" si="6"/>
        <v>#REF!</v>
      </c>
      <c r="O78" s="20">
        <f>VLOOKUP(B78,'FVM_1luglio-31luglio25'!D:Q,14,0)</f>
        <v>16</v>
      </c>
      <c r="P78" s="20">
        <f t="shared" si="23"/>
        <v>16</v>
      </c>
      <c r="Q78" s="21">
        <f t="shared" si="30"/>
        <v>1.5</v>
      </c>
      <c r="R78" s="21">
        <f t="shared" si="31"/>
        <v>1.5</v>
      </c>
      <c r="S78" s="19"/>
      <c r="T78" s="22"/>
      <c r="U78" s="10"/>
    </row>
    <row r="79" ht="22.5" hidden="1" customHeight="1">
      <c r="A79" s="9">
        <f>VLOOKUP(B79,FVM_astainv!A:B,2,0)</f>
        <v>6630</v>
      </c>
      <c r="B79" s="25" t="s">
        <v>669</v>
      </c>
      <c r="C79" s="11" t="s">
        <v>99</v>
      </c>
      <c r="D79" s="12" t="str">
        <f>VLOOKUP(B79,FVM_astainv!A:F,6,0)</f>
        <v>Verona</v>
      </c>
      <c r="E79" s="13" t="str">
        <f>VLOOKUP(B79,FVM_astainv!A:D,4,0)</f>
        <v>Pc</v>
      </c>
      <c r="F79" s="11" t="s">
        <v>45</v>
      </c>
      <c r="G79" s="14">
        <v>45474.0</v>
      </c>
      <c r="H79" s="144">
        <f t="shared" si="1"/>
        <v>45839</v>
      </c>
      <c r="I79" s="11" t="s">
        <v>46</v>
      </c>
      <c r="J79" s="16" t="str">
        <f>VLOOKUP(A79,Asteriscati25!B:N,13,0)</f>
        <v>#N/A</v>
      </c>
      <c r="K79" s="26">
        <v>0.0</v>
      </c>
      <c r="L79" s="19" t="str">
        <f t="shared" si="28"/>
        <v>#REF!</v>
      </c>
      <c r="M79" s="19">
        <f>VLOOKUP(B79,FVM_Asta2425!A:M,13,0)</f>
        <v>20</v>
      </c>
      <c r="N79" s="19" t="str">
        <f t="shared" si="6"/>
        <v>#REF!</v>
      </c>
      <c r="O79" s="20">
        <f>VLOOKUP(B79,'FVM_1luglio-31luglio25'!D:Q,14,0)</f>
        <v>14</v>
      </c>
      <c r="P79" s="20">
        <f t="shared" si="23"/>
        <v>14</v>
      </c>
      <c r="Q79" s="21">
        <f t="shared" si="30"/>
        <v>2</v>
      </c>
      <c r="R79" s="21">
        <f t="shared" si="31"/>
        <v>1</v>
      </c>
      <c r="S79" s="19"/>
      <c r="T79" s="22"/>
      <c r="U79" s="10"/>
    </row>
    <row r="80" ht="22.5" hidden="1" customHeight="1">
      <c r="A80" s="9">
        <f>VLOOKUP(B80,FVM_astainv!A:B,2,0)</f>
        <v>5564</v>
      </c>
      <c r="B80" s="25" t="s">
        <v>614</v>
      </c>
      <c r="C80" s="11" t="s">
        <v>99</v>
      </c>
      <c r="D80" s="12" t="str">
        <f>VLOOKUP(B80,FVM_astainv!A:F,6,0)</f>
        <v>Bologna</v>
      </c>
      <c r="E80" s="13" t="str">
        <f>VLOOKUP(B80,FVM_astainv!A:D,4,0)</f>
        <v>W</v>
      </c>
      <c r="F80" s="11" t="s">
        <v>45</v>
      </c>
      <c r="G80" s="14">
        <v>45474.0</v>
      </c>
      <c r="H80" s="144">
        <f t="shared" si="1"/>
        <v>45839</v>
      </c>
      <c r="I80" s="11" t="s">
        <v>71</v>
      </c>
      <c r="J80" s="16" t="str">
        <f>VLOOKUP(A80,Asteriscati25!B:N,13,0)</f>
        <v>#N/A</v>
      </c>
      <c r="K80" s="26">
        <v>0.2</v>
      </c>
      <c r="L80" s="19" t="str">
        <f t="shared" si="28"/>
        <v>#REF!</v>
      </c>
      <c r="M80" s="19">
        <f>VLOOKUP(B80,FVM_Asta2425!A:M,13,0)</f>
        <v>22</v>
      </c>
      <c r="N80" s="19" t="str">
        <f t="shared" si="6"/>
        <v>#REF!</v>
      </c>
      <c r="O80" s="20">
        <f>VLOOKUP(B80,'FVM_1luglio-31luglio25'!D:Q,14,0)</f>
        <v>54</v>
      </c>
      <c r="P80" s="20">
        <f t="shared" si="23"/>
        <v>54</v>
      </c>
      <c r="Q80" s="21">
        <f t="shared" si="30"/>
        <v>2.5</v>
      </c>
      <c r="R80" s="21">
        <f t="shared" si="31"/>
        <v>0.5</v>
      </c>
      <c r="S80" s="19"/>
      <c r="T80" s="11" t="s">
        <v>99</v>
      </c>
      <c r="U80" s="10"/>
    </row>
    <row r="81" ht="22.5" hidden="1" customHeight="1">
      <c r="A81" s="9">
        <f>VLOOKUP(B81,FVM_astainv!A:B,2,0)</f>
        <v>2167</v>
      </c>
      <c r="B81" s="25" t="s">
        <v>670</v>
      </c>
      <c r="C81" s="11" t="s">
        <v>99</v>
      </c>
      <c r="D81" s="12" t="str">
        <f>VLOOKUP(B81,FVM_astainv!A:F,6,0)</f>
        <v>Bologna</v>
      </c>
      <c r="E81" s="13" t="str">
        <f>VLOOKUP(B81,FVM_astainv!A:D,4,0)</f>
        <v>W</v>
      </c>
      <c r="F81" s="11" t="s">
        <v>45</v>
      </c>
      <c r="G81" s="14">
        <v>45474.0</v>
      </c>
      <c r="H81" s="144">
        <f t="shared" si="1"/>
        <v>45839</v>
      </c>
      <c r="I81" s="11" t="s">
        <v>48</v>
      </c>
      <c r="J81" s="16" t="str">
        <f>VLOOKUP(A81,Asteriscati25!B:N,13,0)</f>
        <v>#N/A</v>
      </c>
      <c r="K81" s="26">
        <v>0.0</v>
      </c>
      <c r="L81" s="19" t="str">
        <f t="shared" si="28"/>
        <v>#REF!</v>
      </c>
      <c r="M81" s="19">
        <f>VLOOKUP(B81,FVM_Asta2425!A:M,13,0)</f>
        <v>88</v>
      </c>
      <c r="N81" s="19" t="str">
        <f t="shared" si="6"/>
        <v>#REF!</v>
      </c>
      <c r="O81" s="20">
        <f>VLOOKUP(B81,'FVM_1luglio-31luglio25'!D:Q,14,0)</f>
        <v>152</v>
      </c>
      <c r="P81" s="20">
        <f t="shared" si="23"/>
        <v>152</v>
      </c>
      <c r="Q81" s="21">
        <f t="shared" si="30"/>
        <v>9</v>
      </c>
      <c r="R81" s="21">
        <f t="shared" si="31"/>
        <v>9</v>
      </c>
      <c r="S81" s="19"/>
      <c r="T81" s="22"/>
      <c r="U81" s="10"/>
    </row>
    <row r="82" ht="22.5" hidden="1" customHeight="1">
      <c r="A82" s="9">
        <f>VLOOKUP(B82,FVM_astainv!A:B,2,0)</f>
        <v>6875</v>
      </c>
      <c r="B82" s="25" t="s">
        <v>671</v>
      </c>
      <c r="C82" s="11" t="s">
        <v>99</v>
      </c>
      <c r="D82" s="12" t="str">
        <f>VLOOKUP(B82,FVM_astainv!A:F,6,0)</f>
        <v>Como</v>
      </c>
      <c r="E82" s="13" t="str">
        <f>VLOOKUP(B82,FVM_astainv!A:D,4,0)</f>
        <v>T;A</v>
      </c>
      <c r="F82" s="11" t="s">
        <v>45</v>
      </c>
      <c r="G82" s="14">
        <v>45474.0</v>
      </c>
      <c r="H82" s="144">
        <f t="shared" si="1"/>
        <v>45839</v>
      </c>
      <c r="I82" s="11" t="s">
        <v>126</v>
      </c>
      <c r="J82" s="16" t="str">
        <f>VLOOKUP(A82,Asteriscati25!B:N,13,0)</f>
        <v>#N/A</v>
      </c>
      <c r="K82" s="26">
        <v>0.8</v>
      </c>
      <c r="L82" s="19" t="str">
        <f t="shared" si="28"/>
        <v>#REF!</v>
      </c>
      <c r="M82" s="19">
        <f>VLOOKUP(B82,FVM_Asta2425!A:M,13,0)</f>
        <v>17</v>
      </c>
      <c r="N82" s="19" t="str">
        <f t="shared" si="6"/>
        <v>#REF!</v>
      </c>
      <c r="O82" s="20">
        <f>VLOOKUP(B82,'FVM_1luglio-31luglio25'!D:Q,14,0)</f>
        <v>53</v>
      </c>
      <c r="P82" s="20">
        <f t="shared" si="23"/>
        <v>53</v>
      </c>
      <c r="Q82" s="21">
        <f t="shared" si="30"/>
        <v>2</v>
      </c>
      <c r="R82" s="21">
        <f t="shared" si="31"/>
        <v>2</v>
      </c>
      <c r="S82" s="20"/>
      <c r="T82" s="11" t="s">
        <v>172</v>
      </c>
      <c r="U82" s="23"/>
    </row>
    <row r="83" ht="22.5" hidden="1" customHeight="1">
      <c r="A83" s="9">
        <f>VLOOKUP(B83,FVM_astainv!A:B,2,0)</f>
        <v>6633</v>
      </c>
      <c r="B83" s="25" t="s">
        <v>672</v>
      </c>
      <c r="C83" s="11" t="s">
        <v>99</v>
      </c>
      <c r="D83" s="12" t="str">
        <f>VLOOKUP(B83,FVM_astainv!A:F,6,0)</f>
        <v>Lecce</v>
      </c>
      <c r="E83" s="13" t="str">
        <f>VLOOKUP(B83,FVM_astainv!A:D,4,0)</f>
        <v>M;C</v>
      </c>
      <c r="F83" s="11" t="s">
        <v>45</v>
      </c>
      <c r="G83" s="14">
        <v>45474.0</v>
      </c>
      <c r="H83" s="144">
        <f t="shared" si="1"/>
        <v>45839</v>
      </c>
      <c r="I83" s="11" t="s">
        <v>48</v>
      </c>
      <c r="J83" s="16" t="str">
        <f>VLOOKUP(A83,Asteriscati25!B:N,13,0)</f>
        <v>#N/A</v>
      </c>
      <c r="K83" s="26">
        <v>0.0</v>
      </c>
      <c r="L83" s="19" t="str">
        <f t="shared" si="28"/>
        <v>#REF!</v>
      </c>
      <c r="M83" s="19">
        <f>VLOOKUP(B83,FVM_Asta2425!A:M,13,0)</f>
        <v>9</v>
      </c>
      <c r="N83" s="19" t="str">
        <f t="shared" si="6"/>
        <v>#REF!</v>
      </c>
      <c r="O83" s="20">
        <f>VLOOKUP(B83,'FVM_1luglio-31luglio25'!D:Q,14,0)</f>
        <v>11</v>
      </c>
      <c r="P83" s="20">
        <f t="shared" si="23"/>
        <v>11</v>
      </c>
      <c r="Q83" s="21">
        <f t="shared" si="30"/>
        <v>1</v>
      </c>
      <c r="R83" s="21">
        <f t="shared" si="31"/>
        <v>1</v>
      </c>
      <c r="S83" s="19"/>
      <c r="T83" s="22"/>
      <c r="U83" s="10"/>
    </row>
    <row r="84" ht="22.5" hidden="1" customHeight="1">
      <c r="A84" s="9">
        <f>VLOOKUP(B84,FVM_astainv!A:B,2,0)</f>
        <v>2423</v>
      </c>
      <c r="B84" s="43" t="s">
        <v>125</v>
      </c>
      <c r="C84" s="42" t="s">
        <v>99</v>
      </c>
      <c r="D84" s="12" t="str">
        <f>VLOOKUP(B84,FVM_astainv!A:F,6,0)</f>
        <v>Milan</v>
      </c>
      <c r="E84" s="13" t="str">
        <f>VLOOKUP(B84,FVM_astainv!A:D,4,0)</f>
        <v>T;A</v>
      </c>
      <c r="F84" s="65" t="str">
        <f>VLOOKUP(B84,'situazione contratti estate 24'!A:I,9,0)</f>
        <v>Obbligo 1+2</v>
      </c>
      <c r="G84" s="66">
        <v>45108.0</v>
      </c>
      <c r="H84" s="15">
        <f t="shared" si="1"/>
        <v>46204</v>
      </c>
      <c r="I84" s="33" t="s">
        <v>126</v>
      </c>
      <c r="J84" s="34" t="str">
        <f>VLOOKUP(A84,Asteriscati25!B:N,13,0)</f>
        <v>#N/A</v>
      </c>
      <c r="K84" s="67">
        <v>0.4</v>
      </c>
      <c r="L84" s="47" t="str">
        <f t="shared" si="28"/>
        <v>#REF!</v>
      </c>
      <c r="M84" s="47">
        <f>VLOOKUP(B84,FVM_Asta2324!C:M,11,0)</f>
        <v>120</v>
      </c>
      <c r="N84" s="19" t="str">
        <f t="shared" si="6"/>
        <v>#REF!</v>
      </c>
      <c r="O84" s="20">
        <f>VLOOKUP(B84,'FVM_1luglio-31luglio25'!D:Q,14,0)</f>
        <v>191</v>
      </c>
      <c r="P84" s="36">
        <f t="shared" si="23"/>
        <v>191</v>
      </c>
      <c r="Q84" s="119">
        <f>VLOOKUP(B84,'situazione contratti estate 24'!A:K,11,0)</f>
        <v>14</v>
      </c>
      <c r="R84" s="119">
        <f t="shared" si="31"/>
        <v>6</v>
      </c>
      <c r="S84" s="37"/>
      <c r="T84" s="38" t="s">
        <v>127</v>
      </c>
      <c r="U84" s="39"/>
    </row>
    <row r="85" ht="22.5" hidden="1" customHeight="1">
      <c r="A85" s="9">
        <f>VLOOKUP(B85,FVM_astainv!A:B,2,0)</f>
        <v>6394</v>
      </c>
      <c r="B85" s="25" t="s">
        <v>673</v>
      </c>
      <c r="C85" s="11" t="s">
        <v>99</v>
      </c>
      <c r="D85" s="12" t="str">
        <f>VLOOKUP(B85,FVM_astainv!A:F,6,0)</f>
        <v>Lecce</v>
      </c>
      <c r="E85" s="13" t="str">
        <f>VLOOKUP(B85,FVM_astainv!A:D,4,0)</f>
        <v>M;C</v>
      </c>
      <c r="F85" s="11" t="s">
        <v>45</v>
      </c>
      <c r="G85" s="14">
        <v>45474.0</v>
      </c>
      <c r="H85" s="144">
        <f t="shared" si="1"/>
        <v>45839</v>
      </c>
      <c r="I85" s="11" t="s">
        <v>46</v>
      </c>
      <c r="J85" s="16" t="str">
        <f>VLOOKUP(A85,Asteriscati25!B:N,13,0)</f>
        <v>#N/A</v>
      </c>
      <c r="K85" s="26">
        <v>0.0</v>
      </c>
      <c r="L85" s="19" t="str">
        <f t="shared" si="28"/>
        <v>#REF!</v>
      </c>
      <c r="M85" s="19">
        <f>VLOOKUP(B85,FVM_Asta2425!A:M,13,0)</f>
        <v>12</v>
      </c>
      <c r="N85" s="19" t="str">
        <f t="shared" si="6"/>
        <v>#REF!</v>
      </c>
      <c r="O85" s="20">
        <f>VLOOKUP(B85,'FVM_1luglio-31luglio25'!D:Q,14,0)</f>
        <v>12</v>
      </c>
      <c r="P85" s="20">
        <f t="shared" si="23"/>
        <v>12</v>
      </c>
      <c r="Q85" s="21">
        <f>IF(F85="Standard",CEILING((M85/10),0.5),
IF(OR(F85="Diritto 1+1",M85="Inverno Diritto 0,5 + 1"),CEILING((M85/10)*1.3,0.5),
CEILING((M85/10)*1.15,0.5)))</f>
        <v>1.5</v>
      </c>
      <c r="R85" s="21">
        <f t="shared" si="31"/>
        <v>1</v>
      </c>
      <c r="S85" s="19"/>
      <c r="T85" s="22"/>
      <c r="U85" s="10"/>
    </row>
    <row r="86" ht="22.5" hidden="1" customHeight="1">
      <c r="A86" s="9">
        <f>VLOOKUP(B86,FVM_astainv!A:B,2,0)</f>
        <v>574</v>
      </c>
      <c r="B86" s="25" t="s">
        <v>651</v>
      </c>
      <c r="C86" s="11" t="s">
        <v>99</v>
      </c>
      <c r="D86" s="12" t="str">
        <f>VLOOKUP(B86,FVM_astainv!A:F,6,0)</f>
        <v>Napoli</v>
      </c>
      <c r="E86" s="13" t="str">
        <f>VLOOKUP(B86,FVM_astainv!A:D,4,0)</f>
        <v>Por</v>
      </c>
      <c r="F86" s="11" t="s">
        <v>45</v>
      </c>
      <c r="G86" s="14"/>
      <c r="H86" s="144">
        <f t="shared" si="1"/>
        <v>365</v>
      </c>
      <c r="I86" s="11" t="s">
        <v>665</v>
      </c>
      <c r="J86" s="16" t="str">
        <f>VLOOKUP(A86,Asteriscati25!B:N,13,0)</f>
        <v>#N/A</v>
      </c>
      <c r="K86" s="17"/>
      <c r="L86" s="19" t="str">
        <f t="shared" si="28"/>
        <v>#REF!</v>
      </c>
      <c r="M86" s="19">
        <f>VLOOKUP(B86,FVM_Asta2425!A:M,13,0)</f>
        <v>29</v>
      </c>
      <c r="N86" s="19" t="str">
        <f t="shared" si="6"/>
        <v>#REF!</v>
      </c>
      <c r="O86" s="20">
        <f>VLOOKUP(B86,'FVM_1luglio-31luglio25'!D:Q,14,0)</f>
        <v>15</v>
      </c>
      <c r="P86" s="9">
        <f t="shared" si="23"/>
        <v>15</v>
      </c>
      <c r="Q86" s="101">
        <v>0.0</v>
      </c>
      <c r="R86" s="101">
        <v>0.0</v>
      </c>
      <c r="S86" s="19"/>
      <c r="T86" s="22"/>
      <c r="U86" s="10" t="s">
        <v>674</v>
      </c>
    </row>
    <row r="87" ht="22.5" hidden="1" customHeight="1">
      <c r="A87" s="9">
        <f>VLOOKUP(B87,FVM_astainv!A:B,2,0)</f>
        <v>5319</v>
      </c>
      <c r="B87" s="25" t="s">
        <v>675</v>
      </c>
      <c r="C87" s="11" t="s">
        <v>99</v>
      </c>
      <c r="D87" s="12" t="str">
        <f>VLOOKUP(B87,FVM_astainv!A:F,6,0)</f>
        <v>Parma</v>
      </c>
      <c r="E87" s="13" t="str">
        <f>VLOOKUP(B87,FVM_astainv!A:D,4,0)</f>
        <v>C</v>
      </c>
      <c r="F87" s="11" t="s">
        <v>45</v>
      </c>
      <c r="G87" s="14">
        <v>45474.0</v>
      </c>
      <c r="H87" s="144">
        <f t="shared" si="1"/>
        <v>45839</v>
      </c>
      <c r="I87" s="11" t="s">
        <v>48</v>
      </c>
      <c r="J87" s="16" t="str">
        <f>VLOOKUP(A87,Asteriscati25!B:N,13,0)</f>
        <v>#N/A</v>
      </c>
      <c r="K87" s="26">
        <v>0.0</v>
      </c>
      <c r="L87" s="19" t="str">
        <f t="shared" si="28"/>
        <v>#REF!</v>
      </c>
      <c r="M87" s="19">
        <f>VLOOKUP(B87,FVM_Asta2425!A:M,13,0)</f>
        <v>13</v>
      </c>
      <c r="N87" s="19" t="str">
        <f t="shared" si="6"/>
        <v>#REF!</v>
      </c>
      <c r="O87" s="20">
        <f>VLOOKUP(B87,'FVM_1luglio-31luglio25'!D:Q,14,0)</f>
        <v>19</v>
      </c>
      <c r="P87" s="20">
        <f t="shared" si="23"/>
        <v>19</v>
      </c>
      <c r="Q87" s="21">
        <f>IF(F87="Standard",CEILING((M87/10),0.5),
IF(OR(F87="Diritto 1+1",M87="Inverno Diritto 0,5 + 1"),CEILING((M87/10)*1.3,0.5),
CEILING((M87/10)*1.15,0.5)))</f>
        <v>1.5</v>
      </c>
      <c r="R87" s="21">
        <f>IF(OR(I87="asta", I87="Svincolato riconferma anno corrente", I87="vivaio"), Q87,
IF(OR(I87="asta riparazione", I87="Svincolato obbligo anno precedente", I87="Svincolo pausa invernale"), MAX(0.5, CEILING(Q87 / 2, 0.5)),
IF(OR(I87="ceduto in prestito", I87="acquisito in prestito", I87="acquistato tit definitivo", I87="Ceduto tit definitivo"),CEILING(Q87 * K87, 0.5),
IF(I87="asteriscato", "inserire a mano", ""))))
</f>
        <v>1.5</v>
      </c>
      <c r="S87" s="19"/>
      <c r="T87" s="22"/>
      <c r="U87" s="10"/>
    </row>
    <row r="88" ht="22.5" hidden="1" customHeight="1">
      <c r="A88" s="9">
        <f>VLOOKUP(B88,FVM_astainv!A:B,2,0)</f>
        <v>6956</v>
      </c>
      <c r="B88" s="25" t="s">
        <v>676</v>
      </c>
      <c r="C88" s="11" t="s">
        <v>99</v>
      </c>
      <c r="D88" s="12" t="str">
        <f>VLOOKUP(B88,FVM_astainv!A:F,6,0)</f>
        <v>Udinese</v>
      </c>
      <c r="E88" s="13" t="str">
        <f>VLOOKUP(B88,FVM_astainv!A:D,4,0)</f>
        <v>Dc</v>
      </c>
      <c r="F88" s="11" t="s">
        <v>45</v>
      </c>
      <c r="G88" s="14">
        <v>45474.0</v>
      </c>
      <c r="H88" s="144">
        <f t="shared" si="1"/>
        <v>45839</v>
      </c>
      <c r="I88" s="11" t="s">
        <v>665</v>
      </c>
      <c r="J88" s="16" t="str">
        <f>VLOOKUP(A88,Asteriscati25!B:N,13,0)</f>
        <v>#N/A</v>
      </c>
      <c r="K88" s="26">
        <v>0.0</v>
      </c>
      <c r="L88" s="19" t="str">
        <f t="shared" si="28"/>
        <v>#REF!</v>
      </c>
      <c r="M88" s="19" t="str">
        <f>VLOOKUP(B88,FVM_Asta2425!A:M,13,0)</f>
        <v>#N/A</v>
      </c>
      <c r="N88" s="19" t="str">
        <f t="shared" si="6"/>
        <v>#REF!</v>
      </c>
      <c r="O88" s="20">
        <f>VLOOKUP(B88,'FVM_1luglio-31luglio25'!D:Q,14,0)</f>
        <v>25</v>
      </c>
      <c r="P88" s="9">
        <f t="shared" si="23"/>
        <v>25</v>
      </c>
      <c r="Q88" s="101">
        <v>0.0</v>
      </c>
      <c r="R88" s="101">
        <v>0.0</v>
      </c>
      <c r="S88" s="19"/>
      <c r="T88" s="22"/>
      <c r="U88" s="10" t="s">
        <v>677</v>
      </c>
    </row>
    <row r="89" ht="22.5" hidden="1" customHeight="1">
      <c r="A89" s="9">
        <f>VLOOKUP(B89,FVM_astainv!A:B,2,0)</f>
        <v>1852</v>
      </c>
      <c r="B89" s="25" t="s">
        <v>678</v>
      </c>
      <c r="C89" s="11" t="s">
        <v>99</v>
      </c>
      <c r="D89" s="12" t="str">
        <f>VLOOKUP(B89,FVM_astainv!A:F,6,0)</f>
        <v>Napoli</v>
      </c>
      <c r="E89" s="13" t="str">
        <f>VLOOKUP(B89,FVM_astainv!A:D,4,0)</f>
        <v>E</v>
      </c>
      <c r="F89" s="11" t="s">
        <v>45</v>
      </c>
      <c r="G89" s="14">
        <v>45474.0</v>
      </c>
      <c r="H89" s="144">
        <f t="shared" si="1"/>
        <v>45839</v>
      </c>
      <c r="I89" s="11" t="s">
        <v>48</v>
      </c>
      <c r="J89" s="16" t="str">
        <f>VLOOKUP(A89,Asteriscati25!B:N,13,0)</f>
        <v>#N/A</v>
      </c>
      <c r="K89" s="26">
        <v>0.0</v>
      </c>
      <c r="L89" s="19" t="str">
        <f t="shared" si="28"/>
        <v>#REF!</v>
      </c>
      <c r="M89" s="19">
        <f>VLOOKUP(B89,FVM_Asta2425!A:M,13,0)</f>
        <v>41</v>
      </c>
      <c r="N89" s="19" t="str">
        <f t="shared" si="6"/>
        <v>#REF!</v>
      </c>
      <c r="O89" s="20">
        <f>VLOOKUP(B89,'FVM_1luglio-31luglio25'!D:Q,14,0)</f>
        <v>30</v>
      </c>
      <c r="P89" s="20">
        <f t="shared" si="23"/>
        <v>30</v>
      </c>
      <c r="Q89" s="21">
        <f t="shared" ref="Q89:Q93" si="32">IF(F89="Standard",CEILING((M89/10),0.5),
IF(OR(F89="Diritto 1+1",M89="Inverno Diritto 0,5 + 1"),CEILING((M89/10)*1.3,0.5),
CEILING((M89/10)*1.15,0.5)))</f>
        <v>4.5</v>
      </c>
      <c r="R89" s="21">
        <f t="shared" ref="R89:R93" si="33">IF(OR(I89="asta", I89="Svincolato riconferma anno corrente", I89="vivaio"), Q89,
IF(OR(I89="asta riparazione", I89="Svincolato obbligo anno precedente", I89="Svincolo pausa invernale"), MAX(0.5, CEILING(Q89 / 2, 0.5)),
IF(OR(I89="ceduto in prestito", I89="acquisito in prestito", I89="acquistato tit definitivo", I89="Ceduto tit definitivo"),CEILING(Q89 * K89, 0.5),
IF(I89="asteriscato", "inserire a mano", ""))))
</f>
        <v>4.5</v>
      </c>
      <c r="S89" s="19"/>
      <c r="T89" s="22"/>
      <c r="U89" s="10"/>
    </row>
    <row r="90" ht="22.5" hidden="1" customHeight="1">
      <c r="A90" s="9">
        <f>VLOOKUP(B90,FVM_astainv!A:B,2,0)</f>
        <v>6486</v>
      </c>
      <c r="B90" s="25" t="s">
        <v>616</v>
      </c>
      <c r="C90" s="11" t="s">
        <v>99</v>
      </c>
      <c r="D90" s="12" t="str">
        <f>VLOOKUP(B90,FVM_astainv!A:F,6,0)</f>
        <v>Verona</v>
      </c>
      <c r="E90" s="13" t="str">
        <f>VLOOKUP(B90,FVM_astainv!A:D,4,0)</f>
        <v>W;T</v>
      </c>
      <c r="F90" s="11" t="s">
        <v>45</v>
      </c>
      <c r="G90" s="14">
        <v>45474.0</v>
      </c>
      <c r="H90" s="144">
        <f t="shared" si="1"/>
        <v>45839</v>
      </c>
      <c r="I90" s="11" t="s">
        <v>46</v>
      </c>
      <c r="J90" s="16" t="str">
        <f>VLOOKUP(A90,Asteriscati25!B:N,13,0)</f>
        <v>#N/A</v>
      </c>
      <c r="K90" s="26">
        <v>0.0</v>
      </c>
      <c r="L90" s="19" t="str">
        <f t="shared" si="28"/>
        <v>#REF!</v>
      </c>
      <c r="M90" s="19">
        <f>VLOOKUP(B90,FVM_Asta2425!A:M,13,0)</f>
        <v>37</v>
      </c>
      <c r="N90" s="19" t="str">
        <f t="shared" si="6"/>
        <v>#REF!</v>
      </c>
      <c r="O90" s="20">
        <f>VLOOKUP(B90,'FVM_1luglio-31luglio25'!D:Q,14,0)</f>
        <v>28</v>
      </c>
      <c r="P90" s="20">
        <f t="shared" si="23"/>
        <v>28</v>
      </c>
      <c r="Q90" s="21">
        <f t="shared" si="32"/>
        <v>4</v>
      </c>
      <c r="R90" s="21">
        <f t="shared" si="33"/>
        <v>2</v>
      </c>
      <c r="S90" s="19"/>
      <c r="T90" s="22"/>
      <c r="U90" s="10"/>
    </row>
    <row r="91" ht="22.5" hidden="1" customHeight="1">
      <c r="A91" s="9">
        <f>VLOOKUP(B91,FVM_astainv!A:B,2,0)</f>
        <v>5875</v>
      </c>
      <c r="B91" s="102" t="s">
        <v>679</v>
      </c>
      <c r="C91" s="157" t="s">
        <v>148</v>
      </c>
      <c r="D91" s="12" t="str">
        <f>VLOOKUP(B91,FVM_astainv!A:F,6,0)</f>
        <v>Fiorentina</v>
      </c>
      <c r="E91" s="13" t="str">
        <f>VLOOKUP(B91,FVM_astainv!A:D,4,0)</f>
        <v>M;C</v>
      </c>
      <c r="F91" s="133" t="s">
        <v>45</v>
      </c>
      <c r="G91" s="82">
        <v>45474.0</v>
      </c>
      <c r="H91" s="146">
        <f t="shared" si="1"/>
        <v>45839</v>
      </c>
      <c r="I91" s="157" t="s">
        <v>126</v>
      </c>
      <c r="J91" s="104" t="str">
        <f>VLOOKUP(A91,Asteriscati25!B:N,13,0)</f>
        <v>#N/A</v>
      </c>
      <c r="K91" s="158">
        <v>0.4</v>
      </c>
      <c r="L91" s="106" t="str">
        <f t="shared" si="28"/>
        <v>#REF!</v>
      </c>
      <c r="M91" s="106">
        <f>VLOOKUP(B91,FVM_Asta2425!A:M,13,0)</f>
        <v>17</v>
      </c>
      <c r="N91" s="19" t="str">
        <f t="shared" si="6"/>
        <v>#REF!</v>
      </c>
      <c r="O91" s="20">
        <f>VLOOKUP(B91,'FVM_1luglio-31luglio25'!D:Q,14,0)</f>
        <v>27</v>
      </c>
      <c r="P91" s="159">
        <f t="shared" si="23"/>
        <v>27</v>
      </c>
      <c r="Q91" s="160">
        <f t="shared" si="32"/>
        <v>2</v>
      </c>
      <c r="R91" s="160">
        <f t="shared" si="33"/>
        <v>1</v>
      </c>
      <c r="S91" s="108"/>
      <c r="T91" s="134" t="s">
        <v>172</v>
      </c>
      <c r="U91" s="161"/>
    </row>
    <row r="92" ht="22.5" hidden="1" customHeight="1">
      <c r="A92" s="9">
        <f>VLOOKUP(B92,FVM_astainv!A:B,2,0)</f>
        <v>441</v>
      </c>
      <c r="B92" s="25" t="s">
        <v>680</v>
      </c>
      <c r="C92" s="11" t="s">
        <v>148</v>
      </c>
      <c r="D92" s="12" t="str">
        <f>VLOOKUP(B92,FVM_astainv!A:F,6,0)</f>
        <v>Como</v>
      </c>
      <c r="E92" s="13" t="str">
        <f>VLOOKUP(B92,FVM_astainv!A:D,4,0)</f>
        <v>Pc</v>
      </c>
      <c r="F92" s="11" t="s">
        <v>45</v>
      </c>
      <c r="G92" s="14">
        <v>45474.0</v>
      </c>
      <c r="H92" s="144">
        <f t="shared" si="1"/>
        <v>45839</v>
      </c>
      <c r="I92" s="11" t="s">
        <v>46</v>
      </c>
      <c r="J92" s="16" t="str">
        <f>VLOOKUP(A92,Asteriscati25!B:N,13,0)</f>
        <v>#N/A</v>
      </c>
      <c r="K92" s="17"/>
      <c r="L92" s="19" t="str">
        <f t="shared" si="28"/>
        <v>#REF!</v>
      </c>
      <c r="M92" s="19">
        <f>VLOOKUP(B92,FVM_Asta2425!A:M,13,0)</f>
        <v>72</v>
      </c>
      <c r="N92" s="19" t="str">
        <f t="shared" si="6"/>
        <v>#REF!</v>
      </c>
      <c r="O92" s="20" t="str">
        <f>VLOOKUP(B92,'FVM_1luglio-31luglio25'!D:Q,14,0)</f>
        <v>#N/A</v>
      </c>
      <c r="P92" s="9">
        <v>0.0</v>
      </c>
      <c r="Q92" s="21">
        <f t="shared" si="32"/>
        <v>7.5</v>
      </c>
      <c r="R92" s="21">
        <f t="shared" si="33"/>
        <v>4</v>
      </c>
      <c r="S92" s="20"/>
      <c r="T92" s="22"/>
      <c r="U92" s="23"/>
    </row>
    <row r="93" ht="22.5" hidden="1" customHeight="1">
      <c r="A93" s="9">
        <f>VLOOKUP(B93,FVM_astainv!A:B,2,0)</f>
        <v>4947</v>
      </c>
      <c r="B93" s="102" t="s">
        <v>139</v>
      </c>
      <c r="C93" s="103" t="s">
        <v>148</v>
      </c>
      <c r="D93" s="12" t="str">
        <f>VLOOKUP(B93,FVM_astainv!A:F,6,0)</f>
        <v>Atalanta</v>
      </c>
      <c r="E93" s="13" t="str">
        <f>VLOOKUP(B93,FVM_astainv!A:D,4,0)</f>
        <v>M;C</v>
      </c>
      <c r="F93" s="133" t="s">
        <v>45</v>
      </c>
      <c r="G93" s="82">
        <v>45474.0</v>
      </c>
      <c r="H93" s="146">
        <f t="shared" si="1"/>
        <v>45839</v>
      </c>
      <c r="I93" s="157" t="s">
        <v>126</v>
      </c>
      <c r="J93" s="104" t="str">
        <f>VLOOKUP(A93,Asteriscati25!B:N,13,0)</f>
        <v>#N/A</v>
      </c>
      <c r="K93" s="158">
        <v>0.4</v>
      </c>
      <c r="L93" s="106" t="str">
        <f t="shared" si="28"/>
        <v>#REF!</v>
      </c>
      <c r="M93" s="106">
        <f>VLOOKUP(B93,FVM_Asta2425!A:M,13,0)</f>
        <v>48</v>
      </c>
      <c r="N93" s="19" t="str">
        <f t="shared" si="6"/>
        <v>#REF!</v>
      </c>
      <c r="O93" s="20">
        <f>VLOOKUP(B93,'FVM_1luglio-31luglio25'!D:Q,14,0)</f>
        <v>36</v>
      </c>
      <c r="P93" s="159">
        <f t="shared" ref="P93:P109" si="34">IFERROR(N93,O93)</f>
        <v>36</v>
      </c>
      <c r="Q93" s="160">
        <f t="shared" si="32"/>
        <v>5</v>
      </c>
      <c r="R93" s="160">
        <f t="shared" si="33"/>
        <v>2</v>
      </c>
      <c r="S93" s="108"/>
      <c r="T93" s="134" t="s">
        <v>90</v>
      </c>
      <c r="U93" s="162"/>
    </row>
    <row r="94" ht="22.5" hidden="1" customHeight="1">
      <c r="A94" s="9">
        <f>VLOOKUP(B94,FVM_astainv!A:B,2,0)</f>
        <v>5036</v>
      </c>
      <c r="B94" s="25" t="s">
        <v>95</v>
      </c>
      <c r="C94" s="11" t="s">
        <v>148</v>
      </c>
      <c r="D94" s="12" t="str">
        <f>VLOOKUP(B94,FVM_astainv!A:F,6,0)</f>
        <v>Como</v>
      </c>
      <c r="E94" s="13" t="str">
        <f>VLOOKUP(B94,FVM_astainv!A:D,4,0)</f>
        <v>C</v>
      </c>
      <c r="F94" s="11" t="s">
        <v>45</v>
      </c>
      <c r="G94" s="14">
        <v>45474.0</v>
      </c>
      <c r="H94" s="144">
        <f t="shared" si="1"/>
        <v>45839</v>
      </c>
      <c r="I94" s="11" t="s">
        <v>665</v>
      </c>
      <c r="J94" s="16" t="str">
        <f>VLOOKUP(A94,Asteriscati25!B:N,13,0)</f>
        <v>#N/A</v>
      </c>
      <c r="K94" s="26">
        <v>0.0</v>
      </c>
      <c r="L94" s="19" t="str">
        <f t="shared" si="28"/>
        <v>#REF!</v>
      </c>
      <c r="M94" s="19" t="str">
        <f>VLOOKUP(B94,FVM_Asta2425!A:M,13,0)</f>
        <v>#N/A</v>
      </c>
      <c r="N94" s="19" t="str">
        <f t="shared" si="6"/>
        <v>#REF!</v>
      </c>
      <c r="O94" s="20" t="str">
        <f>VLOOKUP(B94,'FVM_1luglio-31luglio25'!D:Q,14,0)</f>
        <v>#N/A</v>
      </c>
      <c r="P94" s="9" t="str">
        <f t="shared" si="34"/>
        <v>#N/A</v>
      </c>
      <c r="Q94" s="101">
        <v>0.0</v>
      </c>
      <c r="R94" s="101">
        <v>0.0</v>
      </c>
      <c r="S94" s="19"/>
      <c r="T94" s="22"/>
      <c r="U94" s="10" t="s">
        <v>681</v>
      </c>
    </row>
    <row r="95" ht="22.5" hidden="1" customHeight="1">
      <c r="A95" s="9">
        <f>VLOOKUP(B95,FVM_astainv!A:B,2,0)</f>
        <v>5888</v>
      </c>
      <c r="B95" s="25" t="s">
        <v>150</v>
      </c>
      <c r="C95" s="11" t="s">
        <v>148</v>
      </c>
      <c r="D95" s="12" t="str">
        <f>VLOOKUP(B95,FVM_astainv!A:F,6,0)</f>
        <v>Torino</v>
      </c>
      <c r="E95" s="13" t="str">
        <f>VLOOKUP(B95,FVM_astainv!A:D,4,0)</f>
        <v>C;T</v>
      </c>
      <c r="F95" s="11" t="s">
        <v>141</v>
      </c>
      <c r="G95" s="14">
        <v>45689.0</v>
      </c>
      <c r="H95" s="144">
        <f t="shared" si="1"/>
        <v>46235</v>
      </c>
      <c r="I95" s="11" t="s">
        <v>93</v>
      </c>
      <c r="J95" s="16" t="str">
        <f>VLOOKUP(A95,Asteriscati25!B:N,13,0)</f>
        <v>#N/A</v>
      </c>
      <c r="K95" s="29">
        <v>0.0</v>
      </c>
      <c r="L95" s="27">
        <v>60.0</v>
      </c>
      <c r="M95" s="19">
        <f>VLOOKUP(B95,FVM_astainv!A:N,14,0)</f>
        <v>26</v>
      </c>
      <c r="N95" s="19" t="str">
        <f t="shared" si="6"/>
        <v>#REF!</v>
      </c>
      <c r="O95" s="20" t="str">
        <f>VLOOKUP(B95,'FVM_1luglio-31luglio25'!D:Q,14,0)</f>
        <v>#N/A</v>
      </c>
      <c r="P95" s="20" t="str">
        <f t="shared" si="34"/>
        <v>#N/A</v>
      </c>
      <c r="Q95" s="21">
        <f>IF(OR(F95="Standard",F95="Standard Inverno"),CEILING((M95/10),0.5),
IF(OR(F95="Diritto 1+1",F95="Inverno Diritto 0,5 + 1"),CEILING((M95/10)*1.3,0.5),
CEILING((M95/10)*1.15,0.5)))</f>
        <v>3</v>
      </c>
      <c r="R95" s="21">
        <f t="shared" ref="R95:R109" si="35">IF(OR(I95="asta", I95="Svincolato riconferma anno corrente", I95="vivaio"), Q95,
IF(OR(I95="asta riparazione", I95="Svincolato obbligo anno precedente", I95="Svincolo pausa invernale"), MAX(0.5, CEILING(Q95 / 2, 0.5)),
IF(OR(I95="ceduto in prestito", I95="acquisito in prestito", I95="acquistato tit definitivo", I95="Ceduto tit definitivo"),CEILING(Q95 * K95, 0.5),
IF(I95="asteriscato", "inserire a mano", ""))))
</f>
        <v>1.5</v>
      </c>
      <c r="S95" s="20"/>
      <c r="T95" s="22"/>
      <c r="U95" s="23"/>
    </row>
    <row r="96" ht="22.5" hidden="1" customHeight="1">
      <c r="A96" s="9">
        <f>VLOOKUP(B96,FVM_astainv!A:B,2,0)</f>
        <v>6642</v>
      </c>
      <c r="B96" s="25" t="s">
        <v>152</v>
      </c>
      <c r="C96" s="11" t="s">
        <v>148</v>
      </c>
      <c r="D96" s="12" t="str">
        <f>VLOOKUP(B96,FVM_astainv!A:F,6,0)</f>
        <v>Torino</v>
      </c>
      <c r="E96" s="13" t="str">
        <f>VLOOKUP(B96,FVM_astainv!A:D,4,0)</f>
        <v>Dc</v>
      </c>
      <c r="F96" s="11" t="s">
        <v>55</v>
      </c>
      <c r="G96" s="14">
        <v>45474.0</v>
      </c>
      <c r="H96" s="144">
        <f t="shared" si="1"/>
        <v>46204</v>
      </c>
      <c r="I96" s="11" t="s">
        <v>48</v>
      </c>
      <c r="J96" s="16" t="str">
        <f>VLOOKUP(A96,Asteriscati25!B:N,13,0)</f>
        <v>#N/A</v>
      </c>
      <c r="K96" s="17"/>
      <c r="L96" s="19" t="str">
        <f t="shared" ref="L96:L111" si="36">VLOOKUP(B96,Rose!B:D,3,0)</f>
        <v>#REF!</v>
      </c>
      <c r="M96" s="19">
        <f>VLOOKUP(B96,FVM_Asta2425!A:M,13,0)</f>
        <v>22</v>
      </c>
      <c r="N96" s="19" t="str">
        <f t="shared" si="6"/>
        <v>#REF!</v>
      </c>
      <c r="O96" s="20">
        <f>VLOOKUP(B96,'FVM_1luglio-31luglio25'!D:Q,14,0)</f>
        <v>20</v>
      </c>
      <c r="P96" s="20">
        <f t="shared" si="34"/>
        <v>20</v>
      </c>
      <c r="Q96" s="21">
        <f>IF(F96="Standard",CEILING((M96/10),0.5),
IF(OR(F96="Diritto 1+1",M96="Inverno Diritto 0,5 + 1"),CEILING((M96/10)*1.3,0.5),
CEILING((M96/10)*1.15,0.5)))</f>
        <v>3</v>
      </c>
      <c r="R96" s="21">
        <f t="shared" si="35"/>
        <v>3</v>
      </c>
      <c r="S96" s="20"/>
      <c r="T96" s="22"/>
      <c r="U96" s="23"/>
    </row>
    <row r="97" ht="22.5" hidden="1" customHeight="1">
      <c r="A97" s="9">
        <f>VLOOKUP(B97,FVM_astainv!A:B,2,0)</f>
        <v>5555</v>
      </c>
      <c r="B97" s="25" t="s">
        <v>682</v>
      </c>
      <c r="C97" s="11" t="s">
        <v>148</v>
      </c>
      <c r="D97" s="12" t="str">
        <f>VLOOKUP(B97,FVM_astainv!A:F,6,0)</f>
        <v>Udinese</v>
      </c>
      <c r="E97" s="13" t="str">
        <f>VLOOKUP(B97,FVM_astainv!A:D,4,0)</f>
        <v>Ds;E</v>
      </c>
      <c r="F97" s="17" t="str">
        <f>VLOOKUP(B97,'situazione contratti estate 24'!A:I,9,0)</f>
        <v>Diritto 1+1</v>
      </c>
      <c r="G97" s="14">
        <v>45108.0</v>
      </c>
      <c r="H97" s="144">
        <f t="shared" si="1"/>
        <v>45839</v>
      </c>
      <c r="I97" s="11" t="s">
        <v>605</v>
      </c>
      <c r="J97" s="16" t="str">
        <f>VLOOKUP(A97,Asteriscati25!B:N,13,0)</f>
        <v>#N/A</v>
      </c>
      <c r="K97" s="26">
        <v>0.0</v>
      </c>
      <c r="L97" s="19" t="str">
        <f t="shared" si="36"/>
        <v>#REF!</v>
      </c>
      <c r="M97" s="19">
        <f>VLOOKUP(B97,FVM_Asta2324!C:M,11,0)</f>
        <v>10</v>
      </c>
      <c r="N97" s="19" t="str">
        <f t="shared" si="6"/>
        <v>#REF!</v>
      </c>
      <c r="O97" s="20">
        <f>VLOOKUP(B97,'FVM_1luglio-31luglio25'!D:Q,14,0)</f>
        <v>13</v>
      </c>
      <c r="P97" s="20">
        <f t="shared" si="34"/>
        <v>13</v>
      </c>
      <c r="Q97" s="21">
        <f>VLOOKUP(B97,'situazione contratti estate 24'!A:K,11,0)</f>
        <v>1.5</v>
      </c>
      <c r="R97" s="21" t="str">
        <f t="shared" si="35"/>
        <v/>
      </c>
      <c r="S97" s="20"/>
      <c r="T97" s="22"/>
      <c r="U97" s="23"/>
    </row>
    <row r="98" ht="22.5" hidden="1" customHeight="1">
      <c r="A98" s="9">
        <f>VLOOKUP(B98,FVM_astainv!A:B,2,0)</f>
        <v>6211</v>
      </c>
      <c r="B98" s="25" t="s">
        <v>683</v>
      </c>
      <c r="C98" s="11" t="s">
        <v>148</v>
      </c>
      <c r="D98" s="12" t="str">
        <f>VLOOKUP(B98,FVM_astainv!A:F,6,0)</f>
        <v>Udinese</v>
      </c>
      <c r="E98" s="13" t="str">
        <f>VLOOKUP(B98,FVM_astainv!A:D,4,0)</f>
        <v>Ds;E</v>
      </c>
      <c r="F98" s="17" t="str">
        <f>VLOOKUP(B98,'situazione contratti estate 24'!A:I,9,0)</f>
        <v>Diritto 1+1</v>
      </c>
      <c r="G98" s="14">
        <v>45108.0</v>
      </c>
      <c r="H98" s="144">
        <f t="shared" si="1"/>
        <v>45839</v>
      </c>
      <c r="I98" s="11" t="s">
        <v>605</v>
      </c>
      <c r="J98" s="16" t="str">
        <f>VLOOKUP(A98,Asteriscati25!B:N,13,0)</f>
        <v>#N/A</v>
      </c>
      <c r="K98" s="26">
        <v>0.0</v>
      </c>
      <c r="L98" s="19" t="str">
        <f t="shared" si="36"/>
        <v>#REF!</v>
      </c>
      <c r="M98" s="19">
        <f>VLOOKUP(B98,FVM_Asta2324!C:M,11,0)</f>
        <v>7</v>
      </c>
      <c r="N98" s="19" t="str">
        <f t="shared" si="6"/>
        <v>#REF!</v>
      </c>
      <c r="O98" s="20">
        <f>VLOOKUP(B98,'FVM_1luglio-31luglio25'!D:Q,14,0)</f>
        <v>7</v>
      </c>
      <c r="P98" s="20">
        <f t="shared" si="34"/>
        <v>7</v>
      </c>
      <c r="Q98" s="21">
        <f>VLOOKUP(B98,'situazione contratti estate 24'!A:K,11,0)</f>
        <v>1</v>
      </c>
      <c r="R98" s="21" t="str">
        <f t="shared" si="35"/>
        <v/>
      </c>
      <c r="S98" s="20"/>
      <c r="T98" s="22"/>
      <c r="U98" s="23"/>
    </row>
    <row r="99" ht="22.5" hidden="1" customHeight="1">
      <c r="A99" s="9">
        <f>VLOOKUP(B99,FVM_astainv!A:B,2,0)</f>
        <v>4856</v>
      </c>
      <c r="B99" s="25" t="s">
        <v>151</v>
      </c>
      <c r="C99" s="11" t="s">
        <v>148</v>
      </c>
      <c r="D99" s="12" t="str">
        <f>VLOOKUP(B99,FVM_astainv!A:F,6,0)</f>
        <v>Milan</v>
      </c>
      <c r="E99" s="13" t="str">
        <f>VLOOKUP(B99,FVM_astainv!A:D,4,0)</f>
        <v>W;A</v>
      </c>
      <c r="F99" s="17" t="str">
        <f>VLOOKUP(B99,'situazione contratti estate 24'!A:I,9,0)</f>
        <v>Obbligo 1+2</v>
      </c>
      <c r="G99" s="14">
        <v>45108.0</v>
      </c>
      <c r="H99" s="144">
        <f t="shared" si="1"/>
        <v>46204</v>
      </c>
      <c r="I99" s="11" t="s">
        <v>65</v>
      </c>
      <c r="J99" s="16" t="str">
        <f>VLOOKUP(A99,Asteriscati25!B:N,13,0)</f>
        <v>#N/A</v>
      </c>
      <c r="K99" s="26">
        <v>0.0</v>
      </c>
      <c r="L99" s="19" t="str">
        <f t="shared" si="36"/>
        <v>#REF!</v>
      </c>
      <c r="M99" s="19">
        <f>VLOOKUP(B99,FVM_Asta2324!C:M,11,0)</f>
        <v>75</v>
      </c>
      <c r="N99" s="19" t="str">
        <f t="shared" si="6"/>
        <v>#REF!</v>
      </c>
      <c r="O99" s="20">
        <f>VLOOKUP(B99,'FVM_1luglio-31luglio25'!D:Q,14,0)</f>
        <v>22</v>
      </c>
      <c r="P99" s="20">
        <f t="shared" si="34"/>
        <v>22</v>
      </c>
      <c r="Q99" s="21">
        <f>VLOOKUP(B99,'situazione contratti estate 24'!A:K,11,0)</f>
        <v>9</v>
      </c>
      <c r="R99" s="21">
        <f t="shared" si="35"/>
        <v>9</v>
      </c>
      <c r="S99" s="20"/>
      <c r="T99" s="22"/>
      <c r="U99" s="23"/>
    </row>
    <row r="100" ht="22.5" hidden="1" customHeight="1">
      <c r="A100" s="9">
        <f>VLOOKUP(B100,FVM_astainv!A:B,2,0)</f>
        <v>5297</v>
      </c>
      <c r="B100" s="25" t="s">
        <v>684</v>
      </c>
      <c r="C100" s="11" t="s">
        <v>148</v>
      </c>
      <c r="D100" s="12" t="str">
        <f>VLOOKUP(B100,FVM_astainv!A:F,6,0)</f>
        <v>Cagliari</v>
      </c>
      <c r="E100" s="13" t="str">
        <f>VLOOKUP(B100,FVM_astainv!A:D,4,0)</f>
        <v>A</v>
      </c>
      <c r="F100" s="17" t="str">
        <f>VLOOKUP(B100,'situazione contratti estate 24'!A:I,9,0)</f>
        <v>Diritto 1+1</v>
      </c>
      <c r="G100" s="14">
        <v>45108.0</v>
      </c>
      <c r="H100" s="144">
        <f t="shared" si="1"/>
        <v>45839</v>
      </c>
      <c r="I100" s="11" t="s">
        <v>605</v>
      </c>
      <c r="J100" s="16" t="str">
        <f>VLOOKUP(A100,Asteriscati25!B:N,13,0)</f>
        <v>#N/A</v>
      </c>
      <c r="K100" s="26">
        <v>0.0</v>
      </c>
      <c r="L100" s="19" t="str">
        <f t="shared" si="36"/>
        <v>#REF!</v>
      </c>
      <c r="M100" s="19">
        <f>VLOOKUP(B100,FVM_Asta2324!C:M,11,0)</f>
        <v>9</v>
      </c>
      <c r="N100" s="19" t="str">
        <f t="shared" si="6"/>
        <v>#REF!</v>
      </c>
      <c r="O100" s="20">
        <f>VLOOKUP(B100,'FVM_1luglio-31luglio25'!D:Q,14,0)</f>
        <v>27</v>
      </c>
      <c r="P100" s="20">
        <f t="shared" si="34"/>
        <v>27</v>
      </c>
      <c r="Q100" s="21">
        <f>VLOOKUP(B100,'situazione contratti estate 24'!A:K,11,0)</f>
        <v>1.5</v>
      </c>
      <c r="R100" s="21" t="str">
        <f t="shared" si="35"/>
        <v/>
      </c>
      <c r="S100" s="20"/>
      <c r="T100" s="22"/>
      <c r="U100" s="23"/>
    </row>
    <row r="101" ht="22.5" hidden="1" customHeight="1">
      <c r="A101" s="9">
        <f>VLOOKUP(B101,FVM_astainv!A:B,2,0)</f>
        <v>2531</v>
      </c>
      <c r="B101" s="25" t="s">
        <v>685</v>
      </c>
      <c r="C101" s="11" t="s">
        <v>148</v>
      </c>
      <c r="D101" s="12" t="str">
        <f>VLOOKUP(B101,FVM_astainv!A:F,6,0)</f>
        <v>Napoli</v>
      </c>
      <c r="E101" s="13" t="str">
        <f>VLOOKUP(B101,FVM_astainv!A:D,4,0)</f>
        <v>Pc</v>
      </c>
      <c r="F101" s="17" t="str">
        <f>VLOOKUP(B101,'situazione contratti estate 24'!A:I,9,0)</f>
        <v>Diritto 1+1</v>
      </c>
      <c r="G101" s="14">
        <v>45108.0</v>
      </c>
      <c r="H101" s="144">
        <f t="shared" si="1"/>
        <v>45839</v>
      </c>
      <c r="I101" s="11" t="s">
        <v>605</v>
      </c>
      <c r="J101" s="16" t="str">
        <f>VLOOKUP(A101,Asteriscati25!B:N,13,0)</f>
        <v>#N/A</v>
      </c>
      <c r="K101" s="26">
        <v>0.2</v>
      </c>
      <c r="L101" s="19" t="str">
        <f t="shared" si="36"/>
        <v>#REF!</v>
      </c>
      <c r="M101" s="19">
        <f>VLOOKUP(B101,FVM_Asta2324!C:M,11,0)</f>
        <v>303</v>
      </c>
      <c r="N101" s="19" t="str">
        <f t="shared" si="6"/>
        <v>#REF!</v>
      </c>
      <c r="O101" s="20">
        <f>VLOOKUP(B101,'FVM_1luglio-31luglio25'!D:Q,14,0)</f>
        <v>356</v>
      </c>
      <c r="P101" s="20">
        <f t="shared" si="34"/>
        <v>356</v>
      </c>
      <c r="Q101" s="21">
        <f>VLOOKUP(B101,'situazione contratti estate 24'!A:K,11,0)</f>
        <v>39.5</v>
      </c>
      <c r="R101" s="21" t="str">
        <f t="shared" si="35"/>
        <v/>
      </c>
      <c r="S101" s="20"/>
      <c r="T101" s="11" t="s">
        <v>148</v>
      </c>
      <c r="U101" s="23"/>
    </row>
    <row r="102" ht="22.5" hidden="1" customHeight="1">
      <c r="A102" s="9">
        <f>VLOOKUP(B102,FVM_astainv!A:B,2,0)</f>
        <v>6228</v>
      </c>
      <c r="B102" s="25" t="s">
        <v>686</v>
      </c>
      <c r="C102" s="11" t="s">
        <v>148</v>
      </c>
      <c r="D102" s="12" t="str">
        <f>VLOOKUP(B102,FVM_astainv!A:F,6,0)</f>
        <v>Atalanta</v>
      </c>
      <c r="E102" s="13" t="str">
        <f>VLOOKUP(B102,FVM_astainv!A:D,4,0)</f>
        <v>Pc</v>
      </c>
      <c r="F102" s="17" t="str">
        <f>VLOOKUP(B102,'situazione contratti estate 24'!A:I,9,0)</f>
        <v>Obbligo 1+2</v>
      </c>
      <c r="G102" s="14">
        <v>45108.0</v>
      </c>
      <c r="H102" s="144">
        <f t="shared" si="1"/>
        <v>46204</v>
      </c>
      <c r="I102" s="11" t="s">
        <v>605</v>
      </c>
      <c r="J102" s="16" t="str">
        <f>VLOOKUP(A102,Asteriscati25!B:N,13,0)</f>
        <v>#N/A</v>
      </c>
      <c r="K102" s="26">
        <v>0.0</v>
      </c>
      <c r="L102" s="19" t="str">
        <f t="shared" si="36"/>
        <v>#REF!</v>
      </c>
      <c r="M102" s="19">
        <f>VLOOKUP(B102,FVM_Asta2324!C:M,11,0)</f>
        <v>128</v>
      </c>
      <c r="N102" s="19" t="str">
        <f t="shared" si="6"/>
        <v>#REF!</v>
      </c>
      <c r="O102" s="20">
        <f>VLOOKUP(B102,'FVM_1luglio-31luglio25'!D:Q,14,0)</f>
        <v>315</v>
      </c>
      <c r="P102" s="20">
        <f t="shared" si="34"/>
        <v>315</v>
      </c>
      <c r="Q102" s="21">
        <f>VLOOKUP(B102,'situazione contratti estate 24'!A:K,11,0)</f>
        <v>15</v>
      </c>
      <c r="R102" s="21" t="str">
        <f t="shared" si="35"/>
        <v/>
      </c>
      <c r="S102" s="20"/>
      <c r="T102" s="22"/>
      <c r="U102" s="23"/>
    </row>
    <row r="103" ht="22.5" hidden="1" customHeight="1">
      <c r="A103" s="9">
        <f>VLOOKUP(B103,FVM_astainv!A:B,2,0)</f>
        <v>5685</v>
      </c>
      <c r="B103" s="25" t="s">
        <v>305</v>
      </c>
      <c r="C103" s="11" t="s">
        <v>148</v>
      </c>
      <c r="D103" s="12" t="str">
        <f>VLOOKUP(B103,FVM_astainv!A:F,6,0)</f>
        <v>Juventus</v>
      </c>
      <c r="E103" s="13" t="str">
        <f>VLOOKUP(B103,FVM_astainv!A:D,4,0)</f>
        <v>T</v>
      </c>
      <c r="F103" s="17" t="str">
        <f>VLOOKUP(B103,'situazione contratti estate 24'!A:I,9,0)</f>
        <v>Obbligo 1+2</v>
      </c>
      <c r="G103" s="14">
        <v>45108.0</v>
      </c>
      <c r="H103" s="144">
        <f t="shared" si="1"/>
        <v>46204</v>
      </c>
      <c r="I103" s="11" t="s">
        <v>89</v>
      </c>
      <c r="J103" s="16" t="str">
        <f>VLOOKUP(A103,Asteriscati25!B:N,13,0)</f>
        <v>#N/A</v>
      </c>
      <c r="K103" s="26">
        <v>1.0</v>
      </c>
      <c r="L103" s="19" t="str">
        <f t="shared" si="36"/>
        <v>#REF!</v>
      </c>
      <c r="M103" s="19">
        <f>VLOOKUP(B103,FVM_Asta2324!C:M,11,0)</f>
        <v>112</v>
      </c>
      <c r="N103" s="19" t="str">
        <f t="shared" si="6"/>
        <v>#REF!</v>
      </c>
      <c r="O103" s="20">
        <f>VLOOKUP(B103,'FVM_1luglio-31luglio25'!D:Q,14,0)</f>
        <v>90</v>
      </c>
      <c r="P103" s="20">
        <f t="shared" si="34"/>
        <v>90</v>
      </c>
      <c r="Q103" s="21">
        <f>VLOOKUP(B103,'situazione contratti estate 24'!A:K,11,0)</f>
        <v>13</v>
      </c>
      <c r="R103" s="21">
        <f t="shared" si="35"/>
        <v>13</v>
      </c>
      <c r="S103" s="20"/>
      <c r="T103" s="11" t="s">
        <v>245</v>
      </c>
      <c r="U103" s="10"/>
    </row>
    <row r="104" ht="22.5" hidden="1" customHeight="1">
      <c r="A104" s="9">
        <f>VLOOKUP(B104,FVM_astainv!A:B,2,0)</f>
        <v>4777</v>
      </c>
      <c r="B104" s="25" t="s">
        <v>405</v>
      </c>
      <c r="C104" s="11" t="s">
        <v>148</v>
      </c>
      <c r="D104" s="12" t="str">
        <f>VLOOKUP(B104,FVM_astainv!A:F,6,0)</f>
        <v>Napoli</v>
      </c>
      <c r="E104" s="13" t="str">
        <f>VLOOKUP(B104,FVM_astainv!A:D,4,0)</f>
        <v>M;C</v>
      </c>
      <c r="F104" s="11" t="s">
        <v>59</v>
      </c>
      <c r="G104" s="14">
        <v>45474.0</v>
      </c>
      <c r="H104" s="144">
        <f t="shared" si="1"/>
        <v>46569</v>
      </c>
      <c r="I104" s="11" t="s">
        <v>122</v>
      </c>
      <c r="J104" s="16" t="str">
        <f>VLOOKUP(A104,Asteriscati25!B:N,13,0)</f>
        <v>#N/A</v>
      </c>
      <c r="K104" s="29">
        <v>0.6</v>
      </c>
      <c r="L104" s="19" t="str">
        <f t="shared" si="36"/>
        <v>#REF!</v>
      </c>
      <c r="M104" s="19">
        <f>VLOOKUP(B104,FVM_Asta2425!A:M,13,0)</f>
        <v>70</v>
      </c>
      <c r="N104" s="19" t="str">
        <f t="shared" si="6"/>
        <v>#REF!</v>
      </c>
      <c r="O104" s="20">
        <f>VLOOKUP(B104,'FVM_1luglio-31luglio25'!D:Q,14,0)</f>
        <v>137</v>
      </c>
      <c r="P104" s="20">
        <f t="shared" si="34"/>
        <v>137</v>
      </c>
      <c r="Q104" s="21">
        <f t="shared" ref="Q104:Q111" si="37">IF(F104="Standard",CEILING((M104/10),0.5),
IF(OR(F104="Diritto 1+1",M104="Inverno Diritto 0,5 + 1"),CEILING((M104/10)*1.3,0.5),
CEILING((M104/10)*1.15,0.5)))</f>
        <v>8.5</v>
      </c>
      <c r="R104" s="21">
        <f t="shared" si="35"/>
        <v>5.5</v>
      </c>
      <c r="S104" s="20"/>
      <c r="T104" s="22"/>
      <c r="U104" s="23"/>
    </row>
    <row r="105" ht="22.5" hidden="1" customHeight="1">
      <c r="A105" s="9">
        <f>VLOOKUP(B105,FVM_astainv!A:B,2,0)</f>
        <v>5877</v>
      </c>
      <c r="B105" s="25" t="s">
        <v>330</v>
      </c>
      <c r="C105" s="11" t="s">
        <v>148</v>
      </c>
      <c r="D105" s="12" t="str">
        <f>VLOOKUP(B105,FVM_astainv!A:F,6,0)</f>
        <v>Inter</v>
      </c>
      <c r="E105" s="13" t="str">
        <f>VLOOKUP(B105,FVM_astainv!A:D,4,0)</f>
        <v>E</v>
      </c>
      <c r="F105" s="11" t="s">
        <v>55</v>
      </c>
      <c r="G105" s="14">
        <v>45474.0</v>
      </c>
      <c r="H105" s="144">
        <f t="shared" si="1"/>
        <v>46204</v>
      </c>
      <c r="I105" s="11" t="s">
        <v>122</v>
      </c>
      <c r="J105" s="16" t="str">
        <f>VLOOKUP(A105,Asteriscati25!B:N,13,0)</f>
        <v>#N/A</v>
      </c>
      <c r="K105" s="29">
        <v>0.6</v>
      </c>
      <c r="L105" s="19" t="str">
        <f t="shared" si="36"/>
        <v>#REF!</v>
      </c>
      <c r="M105" s="19">
        <f>VLOOKUP(B105,FVM_Asta2425!A:M,13,0)</f>
        <v>16</v>
      </c>
      <c r="N105" s="19" t="str">
        <f t="shared" si="6"/>
        <v>#REF!</v>
      </c>
      <c r="O105" s="20">
        <f>VLOOKUP(B105,'FVM_1luglio-31luglio25'!D:Q,14,0)</f>
        <v>23</v>
      </c>
      <c r="P105" s="20">
        <f t="shared" si="34"/>
        <v>23</v>
      </c>
      <c r="Q105" s="21">
        <f t="shared" si="37"/>
        <v>2.5</v>
      </c>
      <c r="R105" s="21">
        <f t="shared" si="35"/>
        <v>1.5</v>
      </c>
      <c r="S105" s="20"/>
      <c r="T105" s="22"/>
      <c r="U105" s="23"/>
    </row>
    <row r="106" ht="22.5" hidden="1" customHeight="1">
      <c r="A106" s="9">
        <f>VLOOKUP(B106,FVM_astainv!A:B,2,0)</f>
        <v>2521</v>
      </c>
      <c r="B106" s="25" t="s">
        <v>687</v>
      </c>
      <c r="C106" s="11" t="s">
        <v>148</v>
      </c>
      <c r="D106" s="12" t="str">
        <f>VLOOKUP(B106,FVM_astainv!A:F,6,0)</f>
        <v>Fiorentina</v>
      </c>
      <c r="E106" s="13" t="str">
        <f>VLOOKUP(B106,FVM_astainv!A:D,4,0)</f>
        <v>Por</v>
      </c>
      <c r="F106" s="11" t="s">
        <v>45</v>
      </c>
      <c r="G106" s="14">
        <v>45474.0</v>
      </c>
      <c r="H106" s="144">
        <f t="shared" si="1"/>
        <v>45839</v>
      </c>
      <c r="I106" s="11" t="s">
        <v>48</v>
      </c>
      <c r="J106" s="16" t="str">
        <f>VLOOKUP(A106,Asteriscati25!B:N,13,0)</f>
        <v>#N/A</v>
      </c>
      <c r="K106" s="17"/>
      <c r="L106" s="19" t="str">
        <f t="shared" si="36"/>
        <v>#REF!</v>
      </c>
      <c r="M106" s="19">
        <f>VLOOKUP(B106,FVM_Asta2425!A:M,13,0)</f>
        <v>39</v>
      </c>
      <c r="N106" s="19" t="str">
        <f t="shared" si="6"/>
        <v>#REF!</v>
      </c>
      <c r="O106" s="20">
        <f>VLOOKUP(B106,'FVM_1luglio-31luglio25'!D:Q,14,0)</f>
        <v>50</v>
      </c>
      <c r="P106" s="20">
        <f t="shared" si="34"/>
        <v>50</v>
      </c>
      <c r="Q106" s="21">
        <f t="shared" si="37"/>
        <v>4</v>
      </c>
      <c r="R106" s="21">
        <f t="shared" si="35"/>
        <v>4</v>
      </c>
      <c r="S106" s="20"/>
      <c r="T106" s="22"/>
      <c r="U106" s="23"/>
    </row>
    <row r="107" ht="22.5" hidden="1" customHeight="1">
      <c r="A107" s="9">
        <f>VLOOKUP(B107,FVM_astainv!A:B,2,0)</f>
        <v>5899</v>
      </c>
      <c r="B107" s="25" t="s">
        <v>661</v>
      </c>
      <c r="C107" s="11" t="s">
        <v>148</v>
      </c>
      <c r="D107" s="12" t="str">
        <f>VLOOKUP(B107,FVM_astainv!A:F,6,0)</f>
        <v>Lazio</v>
      </c>
      <c r="E107" s="13" t="str">
        <f>VLOOKUP(B107,FVM_astainv!A:D,4,0)</f>
        <v>Dc</v>
      </c>
      <c r="F107" s="11" t="s">
        <v>45</v>
      </c>
      <c r="G107" s="14">
        <v>45474.0</v>
      </c>
      <c r="H107" s="144">
        <f t="shared" si="1"/>
        <v>45839</v>
      </c>
      <c r="I107" s="11" t="s">
        <v>89</v>
      </c>
      <c r="J107" s="16" t="str">
        <f>VLOOKUP(A107,Asteriscati25!B:N,13,0)</f>
        <v>#N/A</v>
      </c>
      <c r="K107" s="26">
        <v>1.0</v>
      </c>
      <c r="L107" s="19" t="str">
        <f t="shared" si="36"/>
        <v>#REF!</v>
      </c>
      <c r="M107" s="19">
        <f>VLOOKUP(B107,FVM_Asta2425!A:M,13,0)</f>
        <v>19</v>
      </c>
      <c r="N107" s="19" t="str">
        <f t="shared" si="6"/>
        <v>#REF!</v>
      </c>
      <c r="O107" s="20">
        <f>VLOOKUP(B107,'FVM_1luglio-31luglio25'!D:Q,14,0)</f>
        <v>15</v>
      </c>
      <c r="P107" s="20">
        <f t="shared" si="34"/>
        <v>15</v>
      </c>
      <c r="Q107" s="21">
        <f t="shared" si="37"/>
        <v>2</v>
      </c>
      <c r="R107" s="21">
        <f t="shared" si="35"/>
        <v>2</v>
      </c>
      <c r="S107" s="20"/>
      <c r="T107" s="11" t="s">
        <v>99</v>
      </c>
      <c r="U107" s="10"/>
      <c r="V107" s="153"/>
      <c r="W107" s="153"/>
      <c r="X107" s="153"/>
      <c r="Y107" s="153"/>
      <c r="Z107" s="153"/>
      <c r="AA107" s="153"/>
      <c r="AB107" s="153"/>
      <c r="AC107" s="153"/>
      <c r="AD107" s="153"/>
      <c r="AE107" s="153"/>
      <c r="AF107" s="153"/>
      <c r="AG107" s="153"/>
      <c r="AH107" s="153"/>
      <c r="AI107" s="153"/>
      <c r="AJ107" s="153"/>
      <c r="AK107" s="153"/>
      <c r="AL107" s="153"/>
      <c r="AM107" s="153"/>
    </row>
    <row r="108" ht="22.5" hidden="1" customHeight="1">
      <c r="A108" s="9">
        <f>VLOOKUP(B108,FVM_astainv!A:B,2,0)</f>
        <v>4816</v>
      </c>
      <c r="B108" s="25" t="s">
        <v>688</v>
      </c>
      <c r="C108" s="11" t="s">
        <v>148</v>
      </c>
      <c r="D108" s="12" t="str">
        <f>VLOOKUP(B108,FVM_astainv!A:F,6,0)</f>
        <v>Milan</v>
      </c>
      <c r="E108" s="13" t="str">
        <f>VLOOKUP(B108,FVM_astainv!A:D,4,0)</f>
        <v>B;Dd;Ds</v>
      </c>
      <c r="F108" s="11" t="s">
        <v>45</v>
      </c>
      <c r="G108" s="14">
        <v>45474.0</v>
      </c>
      <c r="H108" s="144">
        <f t="shared" si="1"/>
        <v>45839</v>
      </c>
      <c r="I108" s="11" t="s">
        <v>122</v>
      </c>
      <c r="J108" s="16" t="str">
        <f>VLOOKUP(A108,Asteriscati25!B:N,13,0)</f>
        <v>#N/A</v>
      </c>
      <c r="K108" s="29">
        <v>0.2</v>
      </c>
      <c r="L108" s="19" t="str">
        <f t="shared" si="36"/>
        <v>#REF!</v>
      </c>
      <c r="M108" s="19">
        <f>VLOOKUP(B108,FVM_Asta2425!A:M,13,0)</f>
        <v>39</v>
      </c>
      <c r="N108" s="19" t="str">
        <f t="shared" si="6"/>
        <v>#REF!</v>
      </c>
      <c r="O108" s="20">
        <f>VLOOKUP(B108,'FVM_1luglio-31luglio25'!D:Q,14,0)</f>
        <v>25</v>
      </c>
      <c r="P108" s="20">
        <f t="shared" si="34"/>
        <v>25</v>
      </c>
      <c r="Q108" s="21">
        <f t="shared" si="37"/>
        <v>4</v>
      </c>
      <c r="R108" s="21">
        <f t="shared" si="35"/>
        <v>1</v>
      </c>
      <c r="S108" s="20"/>
      <c r="T108" s="11" t="s">
        <v>148</v>
      </c>
      <c r="U108" s="23"/>
    </row>
    <row r="109" ht="22.5" hidden="1" customHeight="1">
      <c r="A109" s="9">
        <f>VLOOKUP(B109,FVM_astainv!A:B,2,0)</f>
        <v>6664</v>
      </c>
      <c r="B109" s="25" t="s">
        <v>612</v>
      </c>
      <c r="C109" s="11" t="s">
        <v>148</v>
      </c>
      <c r="D109" s="12" t="str">
        <f>VLOOKUP(B109,FVM_astainv!A:F,6,0)</f>
        <v>Parma</v>
      </c>
      <c r="E109" s="13" t="str">
        <f>VLOOKUP(B109,FVM_astainv!A:D,4,0)</f>
        <v>B;Dd;E</v>
      </c>
      <c r="F109" s="11" t="s">
        <v>45</v>
      </c>
      <c r="G109" s="14">
        <v>45474.0</v>
      </c>
      <c r="H109" s="144">
        <f t="shared" si="1"/>
        <v>45839</v>
      </c>
      <c r="I109" s="11" t="s">
        <v>126</v>
      </c>
      <c r="J109" s="16" t="str">
        <f>VLOOKUP(A109,Asteriscati25!B:N,13,0)</f>
        <v>#N/A</v>
      </c>
      <c r="K109" s="26">
        <v>0.4</v>
      </c>
      <c r="L109" s="19" t="str">
        <f t="shared" si="36"/>
        <v>#REF!</v>
      </c>
      <c r="M109" s="19">
        <f>VLOOKUP(B109,FVM_Asta2425!A:M,13,0)</f>
        <v>16</v>
      </c>
      <c r="N109" s="19" t="str">
        <f t="shared" si="6"/>
        <v>#REF!</v>
      </c>
      <c r="O109" s="20">
        <f>VLOOKUP(B109,'FVM_1luglio-31luglio25'!D:Q,14,0)</f>
        <v>20</v>
      </c>
      <c r="P109" s="20">
        <f t="shared" si="34"/>
        <v>20</v>
      </c>
      <c r="Q109" s="21">
        <f t="shared" si="37"/>
        <v>2</v>
      </c>
      <c r="R109" s="21">
        <f t="shared" si="35"/>
        <v>1</v>
      </c>
      <c r="S109" s="20"/>
      <c r="T109" s="11" t="s">
        <v>42</v>
      </c>
      <c r="U109" s="23"/>
      <c r="V109" s="153"/>
      <c r="W109" s="153"/>
      <c r="X109" s="153"/>
      <c r="Y109" s="153"/>
      <c r="Z109" s="153"/>
      <c r="AA109" s="153"/>
      <c r="AB109" s="153"/>
      <c r="AC109" s="153"/>
      <c r="AD109" s="153"/>
      <c r="AE109" s="153"/>
      <c r="AF109" s="153"/>
      <c r="AG109" s="153"/>
      <c r="AH109" s="153"/>
      <c r="AI109" s="153"/>
      <c r="AJ109" s="153"/>
      <c r="AK109" s="153"/>
      <c r="AL109" s="153"/>
      <c r="AM109" s="153"/>
    </row>
    <row r="110" ht="22.5" hidden="1" customHeight="1">
      <c r="A110" s="9" t="str">
        <f>VLOOKUP(B110,FVM_astainv!A:B,2,0)</f>
        <v>#N/A</v>
      </c>
      <c r="B110" s="25" t="s">
        <v>689</v>
      </c>
      <c r="C110" s="11" t="s">
        <v>148</v>
      </c>
      <c r="D110" s="12" t="str">
        <f>VLOOKUP(B110,FVM_astainv!A:F,6,0)</f>
        <v>#N/A</v>
      </c>
      <c r="E110" s="13" t="str">
        <f>VLOOKUP(B110,FVM_astainv!A:D,4,0)</f>
        <v>#N/A</v>
      </c>
      <c r="F110" s="11" t="s">
        <v>45</v>
      </c>
      <c r="G110" s="14">
        <v>45474.0</v>
      </c>
      <c r="H110" s="144">
        <f t="shared" si="1"/>
        <v>45839</v>
      </c>
      <c r="I110" s="11" t="s">
        <v>639</v>
      </c>
      <c r="J110" s="16" t="str">
        <f>VLOOKUP(A110,Asteriscati25!B:N,13,0)</f>
        <v>#N/A</v>
      </c>
      <c r="K110" s="17"/>
      <c r="L110" s="19" t="str">
        <f t="shared" si="36"/>
        <v>#REF!</v>
      </c>
      <c r="M110" s="19">
        <f>VLOOKUP(B110,FVM_Asta2425!A:M,13,0)</f>
        <v>18</v>
      </c>
      <c r="N110" s="19" t="str">
        <f t="shared" si="6"/>
        <v>#REF!</v>
      </c>
      <c r="O110" s="20" t="str">
        <f>VLOOKUP(B110,'FVM_1luglio-31luglio25'!D:Q,14,0)</f>
        <v>#N/A</v>
      </c>
      <c r="P110" s="9">
        <v>0.0</v>
      </c>
      <c r="Q110" s="21">
        <f t="shared" si="37"/>
        <v>2</v>
      </c>
      <c r="R110" s="101">
        <v>1.0</v>
      </c>
      <c r="S110" s="20"/>
      <c r="T110" s="22"/>
      <c r="U110" s="23"/>
    </row>
    <row r="111" ht="22.5" hidden="1" customHeight="1">
      <c r="A111" s="9" t="str">
        <f>VLOOKUP(B111,FVM_astainv!A:B,2,0)</f>
        <v>#N/A</v>
      </c>
      <c r="B111" s="25" t="s">
        <v>690</v>
      </c>
      <c r="C111" s="11" t="s">
        <v>148</v>
      </c>
      <c r="D111" s="12" t="str">
        <f>VLOOKUP(B111,FVM_astainv!A:F,6,0)</f>
        <v>#N/A</v>
      </c>
      <c r="E111" s="13" t="str">
        <f>VLOOKUP(B111,FVM_astainv!A:D,4,0)</f>
        <v>#N/A</v>
      </c>
      <c r="F111" s="11" t="s">
        <v>45</v>
      </c>
      <c r="G111" s="14">
        <v>45474.0</v>
      </c>
      <c r="H111" s="144">
        <f t="shared" si="1"/>
        <v>45839</v>
      </c>
      <c r="I111" s="11" t="s">
        <v>639</v>
      </c>
      <c r="J111" s="16" t="str">
        <f>VLOOKUP(A111,Asteriscati25!B:N,13,0)</f>
        <v>#N/A</v>
      </c>
      <c r="K111" s="26">
        <v>0.8</v>
      </c>
      <c r="L111" s="19" t="str">
        <f t="shared" si="36"/>
        <v>#REF!</v>
      </c>
      <c r="M111" s="19">
        <f>VLOOKUP(B111,FVM_Asta2425!A:M,13,0)</f>
        <v>14</v>
      </c>
      <c r="N111" s="19" t="str">
        <f t="shared" si="6"/>
        <v>#REF!</v>
      </c>
      <c r="O111" s="20" t="str">
        <f>VLOOKUP(B111,'FVM_1luglio-31luglio25'!D:Q,14,0)</f>
        <v>#N/A</v>
      </c>
      <c r="P111" s="9">
        <v>0.0</v>
      </c>
      <c r="Q111" s="21">
        <f t="shared" si="37"/>
        <v>1.5</v>
      </c>
      <c r="R111" s="101">
        <v>1.0</v>
      </c>
      <c r="S111" s="20"/>
      <c r="T111" s="11" t="s">
        <v>90</v>
      </c>
      <c r="U111" s="10"/>
    </row>
    <row r="112" ht="22.5" hidden="1" customHeight="1">
      <c r="A112" s="9">
        <f>VLOOKUP(B112,FVM_astainv!A:B,2,0)</f>
        <v>6967</v>
      </c>
      <c r="B112" s="163" t="s">
        <v>156</v>
      </c>
      <c r="C112" s="70" t="s">
        <v>148</v>
      </c>
      <c r="D112" s="12" t="str">
        <f>VLOOKUP(B112,FVM_astainv!A:F,6,0)</f>
        <v>Como</v>
      </c>
      <c r="E112" s="13" t="str">
        <f>VLOOKUP(B112,FVM_astainv!A:D,4,0)</f>
        <v>W;A</v>
      </c>
      <c r="F112" s="70" t="s">
        <v>141</v>
      </c>
      <c r="G112" s="85">
        <v>45689.0</v>
      </c>
      <c r="H112" s="151">
        <f t="shared" si="1"/>
        <v>46235</v>
      </c>
      <c r="I112" s="70" t="s">
        <v>93</v>
      </c>
      <c r="J112" s="71" t="str">
        <f>VLOOKUP(A112,Asteriscati25!B:N,13,0)</f>
        <v>#N/A</v>
      </c>
      <c r="K112" s="164">
        <v>0.0</v>
      </c>
      <c r="L112" s="165">
        <v>65.0</v>
      </c>
      <c r="M112" s="166">
        <f>VLOOKUP(B112,FVM_astainv!A:N,14,0)</f>
        <v>38</v>
      </c>
      <c r="N112" s="19" t="str">
        <f t="shared" si="6"/>
        <v>#REF!</v>
      </c>
      <c r="O112" s="20">
        <f>VLOOKUP(B112,'FVM_1luglio-31luglio25'!D:Q,14,0)</f>
        <v>64</v>
      </c>
      <c r="P112" s="20">
        <f t="shared" ref="P112:P120" si="38">IFERROR(N112,O112)</f>
        <v>64</v>
      </c>
      <c r="Q112" s="167">
        <f>IF(OR(F112="Standard",F112="Standard Inverno"),CEILING((M112/10),0.5),
IF(OR(F112="Diritto 1+1",F112="Inverno Diritto 0,5 + 1"),CEILING((M112/10)*1.3,0.5),
CEILING((M112/10)*1.15,0.5)))</f>
        <v>4.5</v>
      </c>
      <c r="R112" s="167">
        <f t="shared" ref="R112:R118" si="39">IF(OR(I112="asta", I112="Svincolato riconferma anno corrente", I112="vivaio"), Q112,
IF(OR(I112="asta riparazione", I112="Svincolato obbligo anno precedente", I112="Svincolo pausa invernale"), MAX(0.5, CEILING(Q112 / 2, 0.5)),
IF(OR(I112="ceduto in prestito", I112="acquisito in prestito", I112="acquistato tit definitivo", I112="Ceduto tit definitivo"),CEILING(Q112 * K112, 0.5),
IF(I112="asteriscato", "inserire a mano", ""))))
</f>
        <v>2.5</v>
      </c>
      <c r="S112" s="73"/>
      <c r="T112" s="99"/>
      <c r="U112" s="100"/>
    </row>
    <row r="113" ht="22.5" hidden="1" customHeight="1">
      <c r="A113" s="9">
        <f>VLOOKUP(B113,FVM_astainv!A:B,2,0)</f>
        <v>5791</v>
      </c>
      <c r="B113" s="25" t="s">
        <v>691</v>
      </c>
      <c r="C113" s="11" t="s">
        <v>148</v>
      </c>
      <c r="D113" s="12" t="str">
        <f>VLOOKUP(B113,FVM_astainv!A:F,6,0)</f>
        <v>Genoa</v>
      </c>
      <c r="E113" s="13" t="str">
        <f>VLOOKUP(B113,FVM_astainv!A:D,4,0)</f>
        <v>E;M</v>
      </c>
      <c r="F113" s="11" t="s">
        <v>45</v>
      </c>
      <c r="G113" s="14">
        <v>45474.0</v>
      </c>
      <c r="H113" s="144">
        <f t="shared" si="1"/>
        <v>45839</v>
      </c>
      <c r="I113" s="11" t="s">
        <v>122</v>
      </c>
      <c r="J113" s="16" t="str">
        <f>VLOOKUP(A113,Asteriscati25!B:N,13,0)</f>
        <v>#N/A</v>
      </c>
      <c r="K113" s="29">
        <v>0.2</v>
      </c>
      <c r="L113" s="19" t="str">
        <f t="shared" ref="L113:L119" si="40">VLOOKUP(B113,Rose!B:D,3,0)</f>
        <v>#REF!</v>
      </c>
      <c r="M113" s="19">
        <f>VLOOKUP(B113,FVM_Asta2425!A:M,13,0)</f>
        <v>40</v>
      </c>
      <c r="N113" s="19" t="str">
        <f t="shared" si="6"/>
        <v>#REF!</v>
      </c>
      <c r="O113" s="20">
        <f>VLOOKUP(B113,'FVM_1luglio-31luglio25'!D:Q,14,0)</f>
        <v>31</v>
      </c>
      <c r="P113" s="20">
        <f t="shared" si="38"/>
        <v>31</v>
      </c>
      <c r="Q113" s="21">
        <f t="shared" ref="Q113:Q118" si="41">IF(F113="Standard",CEILING((M113/10),0.5),
IF(OR(F113="Diritto 1+1",M113="Inverno Diritto 0,5 + 1"),CEILING((M113/10)*1.3,0.5),
CEILING((M113/10)*1.15,0.5)))</f>
        <v>4</v>
      </c>
      <c r="R113" s="21">
        <f t="shared" si="39"/>
        <v>1</v>
      </c>
      <c r="S113" s="20"/>
      <c r="T113" s="11" t="s">
        <v>148</v>
      </c>
      <c r="U113" s="23"/>
      <c r="V113" s="153"/>
      <c r="W113" s="153"/>
      <c r="X113" s="153"/>
      <c r="Y113" s="153"/>
      <c r="Z113" s="153"/>
      <c r="AA113" s="153"/>
      <c r="AB113" s="153"/>
      <c r="AC113" s="153"/>
      <c r="AD113" s="153"/>
      <c r="AE113" s="153"/>
      <c r="AF113" s="153"/>
      <c r="AG113" s="153"/>
      <c r="AH113" s="153"/>
      <c r="AI113" s="153"/>
      <c r="AJ113" s="153"/>
      <c r="AK113" s="153"/>
      <c r="AL113" s="153"/>
      <c r="AM113" s="153"/>
    </row>
    <row r="114" ht="22.5" hidden="1" customHeight="1">
      <c r="A114" s="9">
        <f>VLOOKUP(B114,FVM_astainv!A:B,2,0)</f>
        <v>5131</v>
      </c>
      <c r="B114" s="25" t="s">
        <v>621</v>
      </c>
      <c r="C114" s="11" t="s">
        <v>148</v>
      </c>
      <c r="D114" s="12" t="str">
        <f>VLOOKUP(B114,FVM_astainv!A:F,6,0)</f>
        <v>Napoli</v>
      </c>
      <c r="E114" s="13" t="str">
        <f>VLOOKUP(B114,FVM_astainv!A:D,4,0)</f>
        <v>M;C</v>
      </c>
      <c r="F114" s="11" t="s">
        <v>45</v>
      </c>
      <c r="G114" s="14">
        <v>45474.0</v>
      </c>
      <c r="H114" s="144">
        <f t="shared" si="1"/>
        <v>45839</v>
      </c>
      <c r="I114" s="11" t="s">
        <v>122</v>
      </c>
      <c r="J114" s="16" t="str">
        <f>VLOOKUP(A114,Asteriscati25!B:N,13,0)</f>
        <v>#N/A</v>
      </c>
      <c r="K114" s="29">
        <v>0.6</v>
      </c>
      <c r="L114" s="19" t="str">
        <f t="shared" si="40"/>
        <v>#REF!</v>
      </c>
      <c r="M114" s="19">
        <f>VLOOKUP(B114,FVM_Asta2425!A:M,13,0)</f>
        <v>13</v>
      </c>
      <c r="N114" s="19" t="str">
        <f t="shared" si="6"/>
        <v>#REF!</v>
      </c>
      <c r="O114" s="20">
        <f>VLOOKUP(B114,'FVM_1luglio-31luglio25'!D:Q,14,0)</f>
        <v>16</v>
      </c>
      <c r="P114" s="20">
        <f t="shared" si="38"/>
        <v>16</v>
      </c>
      <c r="Q114" s="21">
        <f t="shared" si="41"/>
        <v>1.5</v>
      </c>
      <c r="R114" s="21">
        <f t="shared" si="39"/>
        <v>1</v>
      </c>
      <c r="S114" s="20"/>
      <c r="T114" s="11" t="s">
        <v>148</v>
      </c>
      <c r="U114" s="23"/>
    </row>
    <row r="115" ht="22.5" hidden="1" customHeight="1">
      <c r="A115" s="9">
        <f>VLOOKUP(B115,FVM_astainv!A:B,2,0)</f>
        <v>5290</v>
      </c>
      <c r="B115" s="25" t="s">
        <v>692</v>
      </c>
      <c r="C115" s="11" t="s">
        <v>148</v>
      </c>
      <c r="D115" s="12" t="str">
        <f>VLOOKUP(B115,FVM_astainv!A:F,6,0)</f>
        <v>Parma</v>
      </c>
      <c r="E115" s="13" t="str">
        <f>VLOOKUP(B115,FVM_astainv!A:D,4,0)</f>
        <v>M;C</v>
      </c>
      <c r="F115" s="11" t="s">
        <v>45</v>
      </c>
      <c r="G115" s="14">
        <v>45474.0</v>
      </c>
      <c r="H115" s="144">
        <f t="shared" si="1"/>
        <v>45839</v>
      </c>
      <c r="I115" s="11" t="s">
        <v>122</v>
      </c>
      <c r="J115" s="16" t="str">
        <f>VLOOKUP(A115,Asteriscati25!B:N,13,0)</f>
        <v>#N/A</v>
      </c>
      <c r="K115" s="29">
        <v>0.6</v>
      </c>
      <c r="L115" s="19" t="str">
        <f t="shared" si="40"/>
        <v>#REF!</v>
      </c>
      <c r="M115" s="19">
        <f>VLOOKUP(B115,FVM_Asta2425!A:M,13,0)</f>
        <v>12</v>
      </c>
      <c r="N115" s="19" t="str">
        <f t="shared" si="6"/>
        <v>#REF!</v>
      </c>
      <c r="O115" s="20">
        <f>VLOOKUP(B115,'FVM_1luglio-31luglio25'!D:Q,14,0)</f>
        <v>11</v>
      </c>
      <c r="P115" s="20">
        <f t="shared" si="38"/>
        <v>11</v>
      </c>
      <c r="Q115" s="21">
        <f t="shared" si="41"/>
        <v>1.5</v>
      </c>
      <c r="R115" s="21">
        <f t="shared" si="39"/>
        <v>1</v>
      </c>
      <c r="S115" s="20"/>
      <c r="T115" s="22"/>
      <c r="U115" s="23"/>
    </row>
    <row r="116" ht="22.5" hidden="1" customHeight="1">
      <c r="A116" s="9">
        <f>VLOOKUP(B116,FVM_astainv!A:B,2,0)</f>
        <v>787</v>
      </c>
      <c r="B116" s="25" t="s">
        <v>693</v>
      </c>
      <c r="C116" s="11" t="s">
        <v>148</v>
      </c>
      <c r="D116" s="12" t="str">
        <f>VLOOKUP(B116,FVM_astainv!A:F,6,0)</f>
        <v>Atalanta</v>
      </c>
      <c r="E116" s="13" t="str">
        <f>VLOOKUP(B116,FVM_astainv!A:D,4,0)</f>
        <v>Dc</v>
      </c>
      <c r="F116" s="11" t="s">
        <v>45</v>
      </c>
      <c r="G116" s="14">
        <v>45474.0</v>
      </c>
      <c r="H116" s="144">
        <f t="shared" si="1"/>
        <v>45839</v>
      </c>
      <c r="I116" s="11" t="s">
        <v>48</v>
      </c>
      <c r="J116" s="16" t="str">
        <f>VLOOKUP(A116,Asteriscati25!B:N,13,0)</f>
        <v>#N/A</v>
      </c>
      <c r="K116" s="17"/>
      <c r="L116" s="19" t="str">
        <f t="shared" si="40"/>
        <v>#REF!</v>
      </c>
      <c r="M116" s="19">
        <f>VLOOKUP(B116,FVM_Asta2425!A:M,13,0)</f>
        <v>18</v>
      </c>
      <c r="N116" s="19" t="str">
        <f t="shared" si="6"/>
        <v>#REF!</v>
      </c>
      <c r="O116" s="20">
        <f>VLOOKUP(B116,'FVM_1luglio-31luglio25'!D:Q,14,0)</f>
        <v>19</v>
      </c>
      <c r="P116" s="20">
        <f t="shared" si="38"/>
        <v>19</v>
      </c>
      <c r="Q116" s="21">
        <f t="shared" si="41"/>
        <v>2</v>
      </c>
      <c r="R116" s="21">
        <f t="shared" si="39"/>
        <v>2</v>
      </c>
      <c r="S116" s="20"/>
      <c r="T116" s="22"/>
      <c r="U116" s="23"/>
    </row>
    <row r="117" ht="22.5" hidden="1" customHeight="1">
      <c r="A117" s="9">
        <f>VLOOKUP(B117,FVM_astainv!A:B,2,0)</f>
        <v>6895</v>
      </c>
      <c r="B117" s="120" t="s">
        <v>694</v>
      </c>
      <c r="C117" s="123" t="s">
        <v>148</v>
      </c>
      <c r="D117" s="12" t="str">
        <f>VLOOKUP(B117,FVM_astainv!A:F,6,0)</f>
        <v>Bologna</v>
      </c>
      <c r="E117" s="13" t="str">
        <f>VLOOKUP(B117,FVM_astainv!A:D,4,0)</f>
        <v>A</v>
      </c>
      <c r="F117" s="122" t="s">
        <v>45</v>
      </c>
      <c r="G117" s="168">
        <v>45474.0</v>
      </c>
      <c r="H117" s="169">
        <f t="shared" si="1"/>
        <v>45839</v>
      </c>
      <c r="I117" s="170" t="s">
        <v>126</v>
      </c>
      <c r="J117" s="124" t="str">
        <f>VLOOKUP(A117,Asteriscati25!B:N,13,0)</f>
        <v>#N/A</v>
      </c>
      <c r="K117" s="171">
        <v>0.4</v>
      </c>
      <c r="L117" s="126" t="str">
        <f t="shared" si="40"/>
        <v>#REF!</v>
      </c>
      <c r="M117" s="126">
        <f>VLOOKUP(B117,FVM_Asta2425!A:M,13,0)</f>
        <v>11</v>
      </c>
      <c r="N117" s="19" t="str">
        <f t="shared" si="6"/>
        <v>#REF!</v>
      </c>
      <c r="O117" s="20">
        <f>VLOOKUP(B117,'FVM_1luglio-31luglio25'!D:Q,14,0)</f>
        <v>13</v>
      </c>
      <c r="P117" s="36">
        <f t="shared" si="38"/>
        <v>13</v>
      </c>
      <c r="Q117" s="172">
        <f t="shared" si="41"/>
        <v>1.5</v>
      </c>
      <c r="R117" s="172">
        <f t="shared" si="39"/>
        <v>1</v>
      </c>
      <c r="S117" s="128"/>
      <c r="T117" s="129" t="s">
        <v>90</v>
      </c>
      <c r="U117" s="173"/>
    </row>
    <row r="118" ht="22.5" hidden="1" customHeight="1">
      <c r="A118" s="9">
        <f>VLOOKUP(B118,FVM_astainv!A:B,2,0)</f>
        <v>6646</v>
      </c>
      <c r="B118" s="25" t="s">
        <v>695</v>
      </c>
      <c r="C118" s="11" t="s">
        <v>148</v>
      </c>
      <c r="D118" s="12" t="str">
        <f>VLOOKUP(B118,FVM_astainv!A:F,6,0)</f>
        <v>Torino</v>
      </c>
      <c r="E118" s="13" t="str">
        <f>VLOOKUP(B118,FVM_astainv!A:D,4,0)</f>
        <v>A</v>
      </c>
      <c r="F118" s="11" t="s">
        <v>45</v>
      </c>
      <c r="G118" s="14">
        <v>45474.0</v>
      </c>
      <c r="H118" s="144">
        <f t="shared" si="1"/>
        <v>45839</v>
      </c>
      <c r="I118" s="11" t="s">
        <v>122</v>
      </c>
      <c r="J118" s="16" t="str">
        <f>VLOOKUP(A118,Asteriscati25!B:N,13,0)</f>
        <v>#N/A</v>
      </c>
      <c r="K118" s="29">
        <v>0.6</v>
      </c>
      <c r="L118" s="19" t="str">
        <f t="shared" si="40"/>
        <v>#REF!</v>
      </c>
      <c r="M118" s="19">
        <f>VLOOKUP(B118,FVM_Asta2425!A:M,13,0)</f>
        <v>72</v>
      </c>
      <c r="N118" s="19" t="str">
        <f t="shared" si="6"/>
        <v>#REF!</v>
      </c>
      <c r="O118" s="20">
        <f>VLOOKUP(B118,'FVM_1luglio-31luglio25'!D:Q,14,0)</f>
        <v>68</v>
      </c>
      <c r="P118" s="20">
        <f t="shared" si="38"/>
        <v>68</v>
      </c>
      <c r="Q118" s="21">
        <f t="shared" si="41"/>
        <v>7.5</v>
      </c>
      <c r="R118" s="21">
        <f t="shared" si="39"/>
        <v>4.5</v>
      </c>
      <c r="S118" s="20"/>
      <c r="T118" s="22"/>
      <c r="U118" s="23"/>
    </row>
    <row r="119" ht="22.5" hidden="1" customHeight="1">
      <c r="A119" s="9">
        <f>VLOOKUP(B119,FVM_astainv!A:B,2,0)</f>
        <v>2841</v>
      </c>
      <c r="B119" s="174" t="s">
        <v>282</v>
      </c>
      <c r="C119" s="175" t="s">
        <v>148</v>
      </c>
      <c r="D119" s="12" t="str">
        <f>VLOOKUP(B119,FVM_astainv!A:F,6,0)</f>
        <v>Juventus</v>
      </c>
      <c r="E119" s="13" t="str">
        <f>VLOOKUP(B119,FVM_astainv!A:D,4,0)</f>
        <v>Pc</v>
      </c>
      <c r="F119" s="176" t="str">
        <f>VLOOKUP(B119,'situazione contratti estate 24'!A:I,9,0)</f>
        <v>Obbligo 1+1</v>
      </c>
      <c r="G119" s="177">
        <v>45108.0</v>
      </c>
      <c r="H119" s="169">
        <f t="shared" si="1"/>
        <v>45839</v>
      </c>
      <c r="I119" s="70" t="s">
        <v>605</v>
      </c>
      <c r="J119" s="104" t="str">
        <f>VLOOKUP(A119,Asteriscati25!B:N,13,0)</f>
        <v>#N/A</v>
      </c>
      <c r="K119" s="178">
        <v>0.4</v>
      </c>
      <c r="L119" s="179" t="str">
        <f t="shared" si="40"/>
        <v>#REF!</v>
      </c>
      <c r="M119" s="179">
        <f>VLOOKUP(B119,FVM_Asta2324!C:M,11,0)</f>
        <v>342</v>
      </c>
      <c r="N119" s="19" t="str">
        <f t="shared" si="6"/>
        <v>#REF!</v>
      </c>
      <c r="O119" s="20">
        <f>VLOOKUP(B119,'FVM_1luglio-31luglio25'!D:Q,14,0)</f>
        <v>261</v>
      </c>
      <c r="P119" s="159">
        <f t="shared" si="38"/>
        <v>261</v>
      </c>
      <c r="Q119" s="180">
        <f>VLOOKUP(B119,'situazione contratti estate 24'!A:K,11,0)</f>
        <v>39.5</v>
      </c>
      <c r="R119" s="181">
        <v>16.0</v>
      </c>
      <c r="S119" s="182"/>
      <c r="T119" s="183" t="s">
        <v>90</v>
      </c>
      <c r="U119" s="184"/>
      <c r="V119" s="153"/>
      <c r="W119" s="153"/>
      <c r="X119" s="153"/>
      <c r="Y119" s="153"/>
      <c r="Z119" s="153"/>
      <c r="AA119" s="153"/>
      <c r="AB119" s="153"/>
      <c r="AC119" s="153"/>
      <c r="AD119" s="153"/>
      <c r="AE119" s="153"/>
      <c r="AF119" s="153"/>
      <c r="AG119" s="153"/>
      <c r="AH119" s="153"/>
      <c r="AI119" s="153"/>
      <c r="AJ119" s="153"/>
      <c r="AK119" s="153"/>
      <c r="AL119" s="153"/>
      <c r="AM119" s="153"/>
    </row>
    <row r="120" ht="22.5" hidden="1" customHeight="1">
      <c r="A120" s="9">
        <f>VLOOKUP(B120,FVM_astainv!A:B,2,0)</f>
        <v>6802</v>
      </c>
      <c r="B120" s="25" t="s">
        <v>696</v>
      </c>
      <c r="C120" s="11" t="s">
        <v>148</v>
      </c>
      <c r="D120" s="12" t="str">
        <f>VLOOKUP(B120,FVM_astainv!A:F,6,0)</f>
        <v>Juventus</v>
      </c>
      <c r="E120" s="13" t="str">
        <f>VLOOKUP(B120,FVM_astainv!A:D,4,0)</f>
        <v>B;Dd;E</v>
      </c>
      <c r="F120" s="11" t="s">
        <v>43</v>
      </c>
      <c r="G120" s="14">
        <v>45474.0</v>
      </c>
      <c r="H120" s="144">
        <f t="shared" si="1"/>
        <v>401768</v>
      </c>
      <c r="I120" s="11" t="s">
        <v>605</v>
      </c>
      <c r="J120" s="16" t="str">
        <f>VLOOKUP(A120,Asteriscati25!B:N,13,0)</f>
        <v>#N/A</v>
      </c>
      <c r="K120" s="29">
        <v>0.0</v>
      </c>
      <c r="L120" s="27">
        <v>1.0</v>
      </c>
      <c r="M120" s="27">
        <v>1.0</v>
      </c>
      <c r="N120" s="19" t="str">
        <f t="shared" si="6"/>
        <v>#REF!</v>
      </c>
      <c r="O120" s="20">
        <f>VLOOKUP(B120,'FVM_1luglio-31luglio25'!D:Q,14,0)</f>
        <v>10</v>
      </c>
      <c r="P120" s="20">
        <f t="shared" si="38"/>
        <v>10</v>
      </c>
      <c r="Q120" s="21">
        <f t="shared" ref="Q120:Q122" si="42">IF(F120="Standard",CEILING((M120/10),0.5),
IF(OR(F120="Diritto 1+1",M120="Inverno Diritto 0,5 + 1"),CEILING((M120/10)*1.3,0.5),
CEILING((M120/10)*1.15,0.5)))</f>
        <v>0.5</v>
      </c>
      <c r="R120" s="101">
        <v>0.0</v>
      </c>
      <c r="S120" s="20"/>
      <c r="T120" s="22"/>
      <c r="U120" s="23"/>
    </row>
    <row r="121" ht="22.5" hidden="1" customHeight="1">
      <c r="A121" s="9" t="str">
        <f>VLOOKUP(B121,FVM_astainv!A:B,2,0)</f>
        <v>#N/A</v>
      </c>
      <c r="B121" s="25" t="s">
        <v>162</v>
      </c>
      <c r="C121" s="11" t="s">
        <v>148</v>
      </c>
      <c r="D121" s="12" t="str">
        <f>VLOOKUP(B121,FVM_astainv!A:F,6,0)</f>
        <v>#N/A</v>
      </c>
      <c r="E121" s="13" t="str">
        <f>VLOOKUP(B121,FVM_astainv!A:D,4,0)</f>
        <v>#N/A</v>
      </c>
      <c r="F121" s="11" t="s">
        <v>43</v>
      </c>
      <c r="G121" s="14">
        <v>45474.0</v>
      </c>
      <c r="H121" s="144">
        <f t="shared" si="1"/>
        <v>401768</v>
      </c>
      <c r="I121" s="11" t="s">
        <v>43</v>
      </c>
      <c r="J121" s="16" t="str">
        <f>VLOOKUP(A121,Asteriscati25!B:N,13,0)</f>
        <v>#N/A</v>
      </c>
      <c r="K121" s="29">
        <v>0.0</v>
      </c>
      <c r="L121" s="27">
        <v>1.0</v>
      </c>
      <c r="M121" s="19">
        <f>VLOOKUP(B121,FVM_Asta2425!A:M,13,0)</f>
        <v>1</v>
      </c>
      <c r="N121" s="19" t="str">
        <f t="shared" si="6"/>
        <v>#REF!</v>
      </c>
      <c r="O121" s="20" t="str">
        <f>VLOOKUP(B121,'FVM_1luglio-31luglio25'!D:Q,14,0)</f>
        <v>#N/A</v>
      </c>
      <c r="P121" s="9">
        <v>0.0</v>
      </c>
      <c r="Q121" s="21">
        <f t="shared" si="42"/>
        <v>0.5</v>
      </c>
      <c r="R121" s="21">
        <f t="shared" ref="R121:R130" si="43">IF(OR(I121="asta", I121="Svincolato riconferma anno corrente", I121="vivaio"), Q121,
IF(OR(I121="asta riparazione", I121="Svincolato obbligo anno precedente", I121="Svincolo pausa invernale"), MAX(0.5, CEILING(Q121 / 2, 0.5)),
IF(OR(I121="ceduto in prestito", I121="acquisito in prestito", I121="acquistato tit definitivo", I121="Ceduto tit definitivo"),CEILING(Q121 * K121, 0.5),
IF(I121="asteriscato", "inserire a mano", ""))))
</f>
        <v>0.5</v>
      </c>
      <c r="S121" s="20"/>
      <c r="T121" s="11" t="s">
        <v>99</v>
      </c>
      <c r="U121" s="10"/>
    </row>
    <row r="122" ht="22.5" hidden="1" customHeight="1">
      <c r="A122" s="9">
        <f>VLOOKUP(B122,FVM_astainv!A:B,2,0)</f>
        <v>6803</v>
      </c>
      <c r="B122" s="25" t="s">
        <v>174</v>
      </c>
      <c r="C122" s="11" t="s">
        <v>148</v>
      </c>
      <c r="D122" s="12" t="str">
        <f>VLOOKUP(B122,FVM_astainv!A:F,6,0)</f>
        <v>Juventus</v>
      </c>
      <c r="E122" s="13" t="str">
        <f>VLOOKUP(B122,FVM_astainv!A:D,4,0)</f>
        <v>Ds;E</v>
      </c>
      <c r="F122" s="11" t="s">
        <v>43</v>
      </c>
      <c r="G122" s="14">
        <v>45474.0</v>
      </c>
      <c r="H122" s="144">
        <f t="shared" si="1"/>
        <v>401768</v>
      </c>
      <c r="I122" s="11" t="s">
        <v>43</v>
      </c>
      <c r="J122" s="16" t="str">
        <f>VLOOKUP(A122,Asteriscati25!B:N,13,0)</f>
        <v>#N/A</v>
      </c>
      <c r="K122" s="29">
        <v>0.0</v>
      </c>
      <c r="L122" s="27">
        <v>1.0</v>
      </c>
      <c r="M122" s="19">
        <f>VLOOKUP(B122,FVM_Asta2425!A:M,13,0)</f>
        <v>1</v>
      </c>
      <c r="N122" s="19" t="str">
        <f t="shared" si="6"/>
        <v>#REF!</v>
      </c>
      <c r="O122" s="20">
        <f>VLOOKUP(B122,'FVM_1luglio-31luglio25'!D:Q,14,0)</f>
        <v>3</v>
      </c>
      <c r="P122" s="20">
        <f t="shared" ref="P122:P130" si="44">IFERROR(N122,O122)</f>
        <v>3</v>
      </c>
      <c r="Q122" s="21">
        <f t="shared" si="42"/>
        <v>0.5</v>
      </c>
      <c r="R122" s="21">
        <f t="shared" si="43"/>
        <v>0.5</v>
      </c>
      <c r="S122" s="20"/>
      <c r="T122" s="22"/>
      <c r="U122" s="23"/>
    </row>
    <row r="123" ht="22.5" hidden="1" customHeight="1">
      <c r="A123" s="9">
        <f>VLOOKUP(B123,FVM_astainv!A:B,2,0)</f>
        <v>4665</v>
      </c>
      <c r="B123" s="138" t="s">
        <v>697</v>
      </c>
      <c r="C123" s="88" t="s">
        <v>148</v>
      </c>
      <c r="D123" s="12" t="str">
        <f>VLOOKUP(B123,FVM_astainv!A:F,6,0)</f>
        <v>Torino</v>
      </c>
      <c r="E123" s="13" t="str">
        <f>VLOOKUP(B123,FVM_astainv!A:D,4,0)</f>
        <v>Dc</v>
      </c>
      <c r="F123" s="88" t="s">
        <v>92</v>
      </c>
      <c r="G123" s="150">
        <v>45689.0</v>
      </c>
      <c r="H123" s="151">
        <f t="shared" si="1"/>
        <v>45839</v>
      </c>
      <c r="I123" s="88" t="s">
        <v>93</v>
      </c>
      <c r="J123" s="92" t="str">
        <f>VLOOKUP(A123,Asteriscati25!B:N,13,0)</f>
        <v>#N/A</v>
      </c>
      <c r="K123" s="185">
        <v>0.0</v>
      </c>
      <c r="L123" s="186">
        <v>36.0</v>
      </c>
      <c r="M123" s="94">
        <f>VLOOKUP(B123,FVM_astainv!A:N,14,0)</f>
        <v>17</v>
      </c>
      <c r="N123" s="19" t="str">
        <f t="shared" si="6"/>
        <v>#REF!</v>
      </c>
      <c r="O123" s="20">
        <f>VLOOKUP(B123,'FVM_1luglio-31luglio25'!D:Q,14,0)</f>
        <v>17</v>
      </c>
      <c r="P123" s="20">
        <f t="shared" si="44"/>
        <v>17</v>
      </c>
      <c r="Q123" s="95">
        <f t="shared" ref="Q123:Q126" si="45">IF(OR(F123="Standard",F123="Standard Inverno"),CEILING((M123/10),0.5),
IF(OR(F123="Diritto 1+1",F123="Inverno Diritto 0,5 + 1"),CEILING((M123/10)*1.3,0.5),
CEILING((M123/10)*1.15,0.5)))</f>
        <v>2</v>
      </c>
      <c r="R123" s="95">
        <f t="shared" si="43"/>
        <v>1</v>
      </c>
      <c r="S123" s="59"/>
      <c r="T123" s="96"/>
      <c r="U123" s="97"/>
      <c r="V123" s="153"/>
      <c r="W123" s="153"/>
      <c r="X123" s="153"/>
      <c r="Y123" s="153"/>
      <c r="Z123" s="153"/>
      <c r="AA123" s="153"/>
      <c r="AB123" s="153"/>
      <c r="AC123" s="153"/>
      <c r="AD123" s="153"/>
      <c r="AE123" s="153"/>
      <c r="AF123" s="153"/>
      <c r="AG123" s="153"/>
      <c r="AH123" s="153"/>
      <c r="AI123" s="153"/>
      <c r="AJ123" s="153"/>
      <c r="AK123" s="153"/>
      <c r="AL123" s="153"/>
      <c r="AM123" s="153"/>
    </row>
    <row r="124" ht="22.5" hidden="1" customHeight="1">
      <c r="A124" s="9">
        <f>VLOOKUP(B124,FVM_astainv!A:B,2,0)</f>
        <v>6975</v>
      </c>
      <c r="B124" s="25" t="s">
        <v>698</v>
      </c>
      <c r="C124" s="11" t="s">
        <v>148</v>
      </c>
      <c r="D124" s="12" t="str">
        <f>VLOOKUP(B124,FVM_astainv!A:F,6,0)</f>
        <v>Juventus</v>
      </c>
      <c r="E124" s="13" t="str">
        <f>VLOOKUP(B124,FVM_astainv!A:D,4,0)</f>
        <v>Dd;E</v>
      </c>
      <c r="F124" s="11" t="s">
        <v>92</v>
      </c>
      <c r="G124" s="14">
        <v>45689.0</v>
      </c>
      <c r="H124" s="144">
        <f t="shared" si="1"/>
        <v>45839</v>
      </c>
      <c r="I124" s="11" t="s">
        <v>93</v>
      </c>
      <c r="J124" s="16" t="str">
        <f>VLOOKUP(A124,Asteriscati25!B:N,13,0)</f>
        <v>#N/A</v>
      </c>
      <c r="K124" s="29">
        <v>0.0</v>
      </c>
      <c r="L124" s="27">
        <v>33.0</v>
      </c>
      <c r="M124" s="19">
        <f>VLOOKUP(B124,FVM_astainv!A:N,14,0)</f>
        <v>13</v>
      </c>
      <c r="N124" s="19" t="str">
        <f t="shared" si="6"/>
        <v>#REF!</v>
      </c>
      <c r="O124" s="20">
        <f>VLOOKUP(B124,'FVM_1luglio-31luglio25'!D:Q,14,0)</f>
        <v>10</v>
      </c>
      <c r="P124" s="20">
        <f t="shared" si="44"/>
        <v>10</v>
      </c>
      <c r="Q124" s="21">
        <f t="shared" si="45"/>
        <v>1.5</v>
      </c>
      <c r="R124" s="21">
        <f t="shared" si="43"/>
        <v>1</v>
      </c>
      <c r="S124" s="20"/>
      <c r="T124" s="22"/>
      <c r="U124" s="23"/>
    </row>
    <row r="125" ht="22.5" hidden="1" customHeight="1">
      <c r="A125" s="9">
        <f>VLOOKUP(B125,FVM_astainv!A:B,2,0)</f>
        <v>4423</v>
      </c>
      <c r="B125" s="25" t="s">
        <v>699</v>
      </c>
      <c r="C125" s="11" t="s">
        <v>148</v>
      </c>
      <c r="D125" s="12" t="str">
        <f>VLOOKUP(B125,FVM_astainv!A:F,6,0)</f>
        <v>Parma</v>
      </c>
      <c r="E125" s="13" t="str">
        <f>VLOOKUP(B125,FVM_astainv!A:D,4,0)</f>
        <v>C</v>
      </c>
      <c r="F125" s="11" t="s">
        <v>92</v>
      </c>
      <c r="G125" s="14">
        <v>45689.0</v>
      </c>
      <c r="H125" s="144">
        <f t="shared" si="1"/>
        <v>45839</v>
      </c>
      <c r="I125" s="11" t="s">
        <v>93</v>
      </c>
      <c r="J125" s="16" t="str">
        <f>VLOOKUP(A125,Asteriscati25!B:N,13,0)</f>
        <v>#N/A</v>
      </c>
      <c r="K125" s="29">
        <v>0.0</v>
      </c>
      <c r="L125" s="27">
        <v>50.0</v>
      </c>
      <c r="M125" s="19">
        <f>VLOOKUP(B125,FVM_astainv!A:N,14,0)</f>
        <v>33</v>
      </c>
      <c r="N125" s="19" t="str">
        <f t="shared" si="6"/>
        <v>#REF!</v>
      </c>
      <c r="O125" s="20">
        <f>VLOOKUP(B125,'FVM_1luglio-31luglio25'!D:Q,14,0)</f>
        <v>15</v>
      </c>
      <c r="P125" s="20">
        <f t="shared" si="44"/>
        <v>15</v>
      </c>
      <c r="Q125" s="21">
        <f t="shared" si="45"/>
        <v>3.5</v>
      </c>
      <c r="R125" s="21">
        <f t="shared" si="43"/>
        <v>2</v>
      </c>
      <c r="S125" s="20"/>
      <c r="T125" s="22"/>
      <c r="U125" s="23"/>
    </row>
    <row r="126" ht="22.5" hidden="1" customHeight="1">
      <c r="A126" s="9">
        <f>VLOOKUP(B126,FVM_astainv!A:B,2,0)</f>
        <v>4811</v>
      </c>
      <c r="B126" s="25" t="s">
        <v>700</v>
      </c>
      <c r="C126" s="11" t="s">
        <v>148</v>
      </c>
      <c r="D126" s="12" t="str">
        <f>VLOOKUP(B126,FVM_astainv!A:F,6,0)</f>
        <v>Milan</v>
      </c>
      <c r="E126" s="13" t="str">
        <f>VLOOKUP(B126,FVM_astainv!A:D,4,0)</f>
        <v>A</v>
      </c>
      <c r="F126" s="11" t="s">
        <v>97</v>
      </c>
      <c r="G126" s="14">
        <v>45689.0</v>
      </c>
      <c r="H126" s="144">
        <f t="shared" si="1"/>
        <v>46235</v>
      </c>
      <c r="I126" s="11" t="s">
        <v>605</v>
      </c>
      <c r="J126" s="16" t="str">
        <f>VLOOKUP(A126,Asteriscati25!B:N,13,0)</f>
        <v>#N/A</v>
      </c>
      <c r="K126" s="29">
        <v>0.0</v>
      </c>
      <c r="L126" s="27">
        <v>138.0</v>
      </c>
      <c r="M126" s="19">
        <f>VLOOKUP(B126,FVM_astainv!A:N,14,0)</f>
        <v>27</v>
      </c>
      <c r="N126" s="19" t="str">
        <f t="shared" si="6"/>
        <v>#REF!</v>
      </c>
      <c r="O126" s="20">
        <f>VLOOKUP(B126,'FVM_1luglio-31luglio25'!D:Q,14,0)</f>
        <v>23</v>
      </c>
      <c r="P126" s="20">
        <f t="shared" si="44"/>
        <v>23</v>
      </c>
      <c r="Q126" s="21">
        <f t="shared" si="45"/>
        <v>4</v>
      </c>
      <c r="R126" s="21" t="str">
        <f t="shared" si="43"/>
        <v/>
      </c>
      <c r="S126" s="20"/>
      <c r="T126" s="22"/>
      <c r="U126" s="23"/>
    </row>
    <row r="127" ht="22.5" hidden="1" customHeight="1">
      <c r="A127" s="9">
        <f>VLOOKUP(B127,FVM_astainv!A:B,2,0)</f>
        <v>6632</v>
      </c>
      <c r="B127" s="25" t="s">
        <v>701</v>
      </c>
      <c r="C127" s="11" t="s">
        <v>148</v>
      </c>
      <c r="D127" s="12" t="str">
        <f>VLOOKUP(B127,FVM_astainv!A:F,6,0)</f>
        <v>Lecce</v>
      </c>
      <c r="E127" s="13" t="str">
        <f>VLOOKUP(B127,FVM_astainv!A:D,4,0)</f>
        <v>Dc</v>
      </c>
      <c r="F127" s="11" t="s">
        <v>45</v>
      </c>
      <c r="G127" s="14">
        <v>45474.0</v>
      </c>
      <c r="H127" s="144">
        <f t="shared" si="1"/>
        <v>45839</v>
      </c>
      <c r="I127" s="11" t="s">
        <v>48</v>
      </c>
      <c r="J127" s="16" t="str">
        <f>VLOOKUP(A127,Asteriscati25!B:N,13,0)</f>
        <v>#N/A</v>
      </c>
      <c r="K127" s="17"/>
      <c r="L127" s="19" t="str">
        <f t="shared" ref="L127:L159" si="46">VLOOKUP(B127,Rose!B:D,3,0)</f>
        <v>#REF!</v>
      </c>
      <c r="M127" s="19">
        <f>VLOOKUP(B127,FVM_Asta2425!A:M,13,0)</f>
        <v>12</v>
      </c>
      <c r="N127" s="19" t="str">
        <f t="shared" si="6"/>
        <v>#REF!</v>
      </c>
      <c r="O127" s="20">
        <f>VLOOKUP(B127,'FVM_1luglio-31luglio25'!D:Q,14,0)</f>
        <v>16</v>
      </c>
      <c r="P127" s="20">
        <f t="shared" si="44"/>
        <v>16</v>
      </c>
      <c r="Q127" s="21">
        <f t="shared" ref="Q127:Q142" si="47">IF(F127="Standard",CEILING((M127/10),0.5),
IF(OR(F127="Diritto 1+1",M127="Inverno Diritto 0,5 + 1"),CEILING((M127/10)*1.3,0.5),
CEILING((M127/10)*1.15,0.5)))</f>
        <v>1.5</v>
      </c>
      <c r="R127" s="21">
        <f t="shared" si="43"/>
        <v>1.5</v>
      </c>
      <c r="S127" s="20"/>
      <c r="T127" s="22"/>
      <c r="U127" s="23"/>
    </row>
    <row r="128" ht="22.5" hidden="1" customHeight="1">
      <c r="A128" s="9">
        <f>VLOOKUP(B128,FVM_astainv!A:B,2,0)</f>
        <v>6170</v>
      </c>
      <c r="B128" s="163" t="s">
        <v>160</v>
      </c>
      <c r="C128" s="70" t="s">
        <v>148</v>
      </c>
      <c r="D128" s="12" t="str">
        <f>VLOOKUP(B128,FVM_astainv!A:F,6,0)</f>
        <v>Torino</v>
      </c>
      <c r="E128" s="13" t="str">
        <f>VLOOKUP(B128,FVM_astainv!A:D,4,0)</f>
        <v>C</v>
      </c>
      <c r="F128" s="70" t="s">
        <v>59</v>
      </c>
      <c r="G128" s="154">
        <v>45474.0</v>
      </c>
      <c r="H128" s="151">
        <f t="shared" si="1"/>
        <v>46569</v>
      </c>
      <c r="I128" s="11" t="s">
        <v>48</v>
      </c>
      <c r="J128" s="71" t="str">
        <f>VLOOKUP(A128,Asteriscati25!B:N,13,0)</f>
        <v>#N/A</v>
      </c>
      <c r="K128" s="72"/>
      <c r="L128" s="166" t="str">
        <f t="shared" si="46"/>
        <v>#REF!</v>
      </c>
      <c r="M128" s="166">
        <f>VLOOKUP(B128,FVM_Asta2425!A:M,13,0)</f>
        <v>10</v>
      </c>
      <c r="N128" s="19" t="str">
        <f t="shared" si="6"/>
        <v>#REF!</v>
      </c>
      <c r="O128" s="20">
        <f>VLOOKUP(B128,'FVM_1luglio-31luglio25'!D:Q,14,0)</f>
        <v>12</v>
      </c>
      <c r="P128" s="20">
        <f t="shared" si="44"/>
        <v>12</v>
      </c>
      <c r="Q128" s="167">
        <f t="shared" si="47"/>
        <v>1.5</v>
      </c>
      <c r="R128" s="167">
        <f t="shared" si="43"/>
        <v>1.5</v>
      </c>
      <c r="S128" s="73"/>
      <c r="T128" s="99"/>
      <c r="U128" s="100"/>
    </row>
    <row r="129" ht="22.5" hidden="1" customHeight="1">
      <c r="A129" s="9">
        <f>VLOOKUP(B129,FVM_astainv!A:B,2,0)</f>
        <v>4970</v>
      </c>
      <c r="B129" s="25" t="s">
        <v>702</v>
      </c>
      <c r="C129" s="11" t="s">
        <v>148</v>
      </c>
      <c r="D129" s="12" t="str">
        <f>VLOOKUP(B129,FVM_astainv!A:F,6,0)</f>
        <v>Genoa</v>
      </c>
      <c r="E129" s="13" t="str">
        <f>VLOOKUP(B129,FVM_astainv!A:D,4,0)</f>
        <v>C;W</v>
      </c>
      <c r="F129" s="11" t="s">
        <v>45</v>
      </c>
      <c r="G129" s="14">
        <v>45474.0</v>
      </c>
      <c r="H129" s="144">
        <f t="shared" si="1"/>
        <v>45839</v>
      </c>
      <c r="I129" s="11" t="s">
        <v>48</v>
      </c>
      <c r="J129" s="16" t="str">
        <f>VLOOKUP(A129,Asteriscati25!B:N,13,0)</f>
        <v>#N/A</v>
      </c>
      <c r="K129" s="17"/>
      <c r="L129" s="19" t="str">
        <f t="shared" si="46"/>
        <v>#REF!</v>
      </c>
      <c r="M129" s="19">
        <f>VLOOKUP(B129,FVM_Asta2425!A:M,13,0)</f>
        <v>22</v>
      </c>
      <c r="N129" s="19" t="str">
        <f t="shared" si="6"/>
        <v>#REF!</v>
      </c>
      <c r="O129" s="20">
        <f>VLOOKUP(B129,'FVM_1luglio-31luglio25'!D:Q,14,0)</f>
        <v>18</v>
      </c>
      <c r="P129" s="20">
        <f t="shared" si="44"/>
        <v>18</v>
      </c>
      <c r="Q129" s="21">
        <f t="shared" si="47"/>
        <v>2.5</v>
      </c>
      <c r="R129" s="21">
        <f t="shared" si="43"/>
        <v>2.5</v>
      </c>
      <c r="S129" s="20"/>
      <c r="T129" s="22"/>
      <c r="U129" s="23"/>
    </row>
    <row r="130" ht="22.5" hidden="1" customHeight="1">
      <c r="A130" s="9">
        <f>VLOOKUP(B130,FVM_astainv!A:B,2,0)</f>
        <v>2529</v>
      </c>
      <c r="B130" s="25" t="s">
        <v>703</v>
      </c>
      <c r="C130" s="11" t="s">
        <v>148</v>
      </c>
      <c r="D130" s="12" t="str">
        <f>VLOOKUP(B130,FVM_astainv!A:F,6,0)</f>
        <v>Inter</v>
      </c>
      <c r="E130" s="13" t="str">
        <f>VLOOKUP(B130,FVM_astainv!A:D,4,0)</f>
        <v>C</v>
      </c>
      <c r="F130" s="11" t="s">
        <v>45</v>
      </c>
      <c r="G130" s="14">
        <v>45474.0</v>
      </c>
      <c r="H130" s="144">
        <f t="shared" si="1"/>
        <v>45839</v>
      </c>
      <c r="I130" s="11" t="s">
        <v>48</v>
      </c>
      <c r="J130" s="16" t="str">
        <f>VLOOKUP(A130,Asteriscati25!B:N,13,0)</f>
        <v>#N/A</v>
      </c>
      <c r="K130" s="17"/>
      <c r="L130" s="19" t="str">
        <f t="shared" si="46"/>
        <v>#REF!</v>
      </c>
      <c r="M130" s="19">
        <f>VLOOKUP(B130,FVM_Asta2425!A:M,13,0)</f>
        <v>39</v>
      </c>
      <c r="N130" s="19" t="str">
        <f t="shared" si="6"/>
        <v>#REF!</v>
      </c>
      <c r="O130" s="20">
        <f>VLOOKUP(B130,'FVM_1luglio-31luglio25'!D:Q,14,0)</f>
        <v>31</v>
      </c>
      <c r="P130" s="20">
        <f t="shared" si="44"/>
        <v>31</v>
      </c>
      <c r="Q130" s="21">
        <f t="shared" si="47"/>
        <v>4</v>
      </c>
      <c r="R130" s="21">
        <f t="shared" si="43"/>
        <v>4</v>
      </c>
      <c r="S130" s="20"/>
      <c r="T130" s="22"/>
      <c r="U130" s="23"/>
    </row>
    <row r="131" ht="22.5" hidden="1" customHeight="1">
      <c r="A131" s="9">
        <f>VLOOKUP(B131,FVM_astainv!A:B,2,0)</f>
        <v>313</v>
      </c>
      <c r="B131" s="25" t="s">
        <v>704</v>
      </c>
      <c r="C131" s="11" t="s">
        <v>148</v>
      </c>
      <c r="D131" s="12" t="str">
        <f>VLOOKUP(B131,FVM_astainv!A:F,6,0)</f>
        <v>Milan</v>
      </c>
      <c r="E131" s="13" t="str">
        <f>VLOOKUP(B131,FVM_astainv!A:D,4,0)</f>
        <v>Pc</v>
      </c>
      <c r="F131" s="11" t="s">
        <v>45</v>
      </c>
      <c r="G131" s="14">
        <v>45474.0</v>
      </c>
      <c r="H131" s="144">
        <f t="shared" si="1"/>
        <v>45839</v>
      </c>
      <c r="I131" s="11" t="s">
        <v>46</v>
      </c>
      <c r="J131" s="16" t="str">
        <f>VLOOKUP(A131,Asteriscati25!B:N,13,0)</f>
        <v>#N/A</v>
      </c>
      <c r="K131" s="26">
        <v>0.8</v>
      </c>
      <c r="L131" s="19" t="str">
        <f t="shared" si="46"/>
        <v>#REF!</v>
      </c>
      <c r="M131" s="19">
        <f>VLOOKUP(B131,FVM_Asta2425!A:M,13,0)</f>
        <v>177</v>
      </c>
      <c r="N131" s="19" t="str">
        <f t="shared" si="6"/>
        <v>#REF!</v>
      </c>
      <c r="O131" s="20" t="str">
        <f>VLOOKUP(B131,'FVM_1luglio-31luglio25'!D:Q,14,0)</f>
        <v>#N/A</v>
      </c>
      <c r="P131" s="9">
        <v>0.0</v>
      </c>
      <c r="Q131" s="21">
        <f t="shared" si="47"/>
        <v>18</v>
      </c>
      <c r="R131" s="101">
        <v>5.0</v>
      </c>
      <c r="S131" s="20"/>
      <c r="T131" s="11" t="s">
        <v>90</v>
      </c>
      <c r="U131" s="10"/>
    </row>
    <row r="132" ht="22.5" hidden="1" customHeight="1">
      <c r="A132" s="9">
        <f>VLOOKUP(B132,FVM_astainv!A:B,2,0)</f>
        <v>6218</v>
      </c>
      <c r="B132" s="25" t="s">
        <v>705</v>
      </c>
      <c r="C132" s="11" t="s">
        <v>148</v>
      </c>
      <c r="D132" s="12" t="str">
        <f>VLOOKUP(B132,FVM_astainv!A:F,6,0)</f>
        <v>Venezia</v>
      </c>
      <c r="E132" s="13" t="str">
        <f>VLOOKUP(B132,FVM_astainv!A:D,4,0)</f>
        <v>W;T;A</v>
      </c>
      <c r="F132" s="11" t="s">
        <v>45</v>
      </c>
      <c r="G132" s="14">
        <v>45474.0</v>
      </c>
      <c r="H132" s="144">
        <f t="shared" si="1"/>
        <v>45839</v>
      </c>
      <c r="I132" s="11" t="s">
        <v>48</v>
      </c>
      <c r="J132" s="16" t="str">
        <f>VLOOKUP(A132,Asteriscati25!B:N,13,0)</f>
        <v>#N/A</v>
      </c>
      <c r="K132" s="17"/>
      <c r="L132" s="19" t="str">
        <f t="shared" si="46"/>
        <v>#REF!</v>
      </c>
      <c r="M132" s="19">
        <f>VLOOKUP(B132,FVM_Asta2425!A:M,13,0)</f>
        <v>26</v>
      </c>
      <c r="N132" s="19" t="str">
        <f t="shared" si="6"/>
        <v>#REF!</v>
      </c>
      <c r="O132" s="20">
        <f>VLOOKUP(B132,'FVM_1luglio-31luglio25'!D:Q,14,0)</f>
        <v>26</v>
      </c>
      <c r="P132" s="20">
        <f t="shared" ref="P132:P152" si="48">IFERROR(N132,O132)</f>
        <v>26</v>
      </c>
      <c r="Q132" s="21">
        <f t="shared" si="47"/>
        <v>3</v>
      </c>
      <c r="R132" s="21">
        <f t="shared" ref="R132:R152" si="49">IF(OR(I132="asta", I132="Svincolato riconferma anno corrente", I132="vivaio"), Q132,
IF(OR(I132="asta riparazione", I132="Svincolato obbligo anno precedente", I132="Svincolo pausa invernale"), MAX(0.5, CEILING(Q132 / 2, 0.5)),
IF(OR(I132="ceduto in prestito", I132="acquisito in prestito", I132="acquistato tit definitivo", I132="Ceduto tit definitivo"),CEILING(Q132 * K132, 0.5),
IF(I132="asteriscato", "inserire a mano", ""))))
</f>
        <v>3</v>
      </c>
      <c r="S132" s="20"/>
      <c r="T132" s="22"/>
      <c r="U132" s="23"/>
    </row>
    <row r="133" ht="22.5" hidden="1" customHeight="1">
      <c r="A133" s="9">
        <f>VLOOKUP(B133,FVM_astainv!A:B,2,0)</f>
        <v>5603</v>
      </c>
      <c r="B133" s="25" t="s">
        <v>706</v>
      </c>
      <c r="C133" s="11" t="s">
        <v>148</v>
      </c>
      <c r="D133" s="12" t="str">
        <f>VLOOKUP(B133,FVM_astainv!A:F,6,0)</f>
        <v>Fiorentina</v>
      </c>
      <c r="E133" s="13" t="str">
        <f>VLOOKUP(B133,FVM_astainv!A:D,4,0)</f>
        <v>Dc</v>
      </c>
      <c r="F133" s="11" t="s">
        <v>45</v>
      </c>
      <c r="G133" s="14">
        <v>45474.0</v>
      </c>
      <c r="H133" s="144">
        <f t="shared" si="1"/>
        <v>45839</v>
      </c>
      <c r="I133" s="11" t="s">
        <v>48</v>
      </c>
      <c r="J133" s="16" t="str">
        <f>VLOOKUP(A133,Asteriscati25!B:N,13,0)</f>
        <v>#N/A</v>
      </c>
      <c r="K133" s="17"/>
      <c r="L133" s="19" t="str">
        <f t="shared" si="46"/>
        <v>#REF!</v>
      </c>
      <c r="M133" s="19">
        <f>VLOOKUP(B133,FVM_Asta2425!A:M,13,0)</f>
        <v>20</v>
      </c>
      <c r="N133" s="19" t="str">
        <f t="shared" si="6"/>
        <v>#REF!</v>
      </c>
      <c r="O133" s="20">
        <f>VLOOKUP(B133,'FVM_1luglio-31luglio25'!D:Q,14,0)</f>
        <v>16</v>
      </c>
      <c r="P133" s="20">
        <f t="shared" si="48"/>
        <v>16</v>
      </c>
      <c r="Q133" s="21">
        <f t="shared" si="47"/>
        <v>2</v>
      </c>
      <c r="R133" s="21">
        <f t="shared" si="49"/>
        <v>2</v>
      </c>
      <c r="S133" s="20"/>
      <c r="T133" s="22"/>
      <c r="U133" s="23"/>
    </row>
    <row r="134" ht="22.5" hidden="1" customHeight="1">
      <c r="A134" s="9">
        <f>VLOOKUP(B134,FVM_astainv!A:B,2,0)</f>
        <v>4284</v>
      </c>
      <c r="B134" s="25" t="s">
        <v>707</v>
      </c>
      <c r="C134" s="11" t="s">
        <v>148</v>
      </c>
      <c r="D134" s="12" t="str">
        <f>VLOOKUP(B134,FVM_astainv!A:F,6,0)</f>
        <v>Como</v>
      </c>
      <c r="E134" s="13" t="str">
        <f>VLOOKUP(B134,FVM_astainv!A:D,4,0)</f>
        <v>E;M</v>
      </c>
      <c r="F134" s="11" t="s">
        <v>45</v>
      </c>
      <c r="G134" s="14">
        <v>45474.0</v>
      </c>
      <c r="H134" s="144">
        <f t="shared" si="1"/>
        <v>45839</v>
      </c>
      <c r="I134" s="11" t="s">
        <v>48</v>
      </c>
      <c r="J134" s="16" t="str">
        <f>VLOOKUP(A134,Asteriscati25!B:N,13,0)</f>
        <v>#N/A</v>
      </c>
      <c r="K134" s="17"/>
      <c r="L134" s="19" t="str">
        <f t="shared" si="46"/>
        <v>#REF!</v>
      </c>
      <c r="M134" s="19">
        <f>VLOOKUP(B134,FVM_Asta2425!A:M,13,0)</f>
        <v>18</v>
      </c>
      <c r="N134" s="19" t="str">
        <f t="shared" si="6"/>
        <v>#REF!</v>
      </c>
      <c r="O134" s="20">
        <f>VLOOKUP(B134,'FVM_1luglio-31luglio25'!D:Q,14,0)</f>
        <v>16</v>
      </c>
      <c r="P134" s="20">
        <f t="shared" si="48"/>
        <v>16</v>
      </c>
      <c r="Q134" s="21">
        <f t="shared" si="47"/>
        <v>2</v>
      </c>
      <c r="R134" s="21">
        <f t="shared" si="49"/>
        <v>2</v>
      </c>
      <c r="S134" s="20"/>
      <c r="T134" s="22"/>
      <c r="U134" s="23"/>
    </row>
    <row r="135" ht="22.5" hidden="1" customHeight="1">
      <c r="A135" s="9">
        <f>VLOOKUP(B135,FVM_astainv!A:B,2,0)</f>
        <v>6641</v>
      </c>
      <c r="B135" s="25" t="s">
        <v>708</v>
      </c>
      <c r="C135" s="11" t="s">
        <v>148</v>
      </c>
      <c r="D135" s="12" t="str">
        <f>VLOOKUP(B135,FVM_astainv!A:F,6,0)</f>
        <v>Parma</v>
      </c>
      <c r="E135" s="13" t="str">
        <f>VLOOKUP(B135,FVM_astainv!A:D,4,0)</f>
        <v>Por</v>
      </c>
      <c r="F135" s="11" t="s">
        <v>45</v>
      </c>
      <c r="G135" s="14">
        <v>45474.0</v>
      </c>
      <c r="H135" s="144">
        <f t="shared" si="1"/>
        <v>45839</v>
      </c>
      <c r="I135" s="11" t="s">
        <v>48</v>
      </c>
      <c r="J135" s="16" t="str">
        <f>VLOOKUP(A135,Asteriscati25!B:N,13,0)</f>
        <v>#N/A</v>
      </c>
      <c r="K135" s="17"/>
      <c r="L135" s="19" t="str">
        <f t="shared" si="46"/>
        <v>#REF!</v>
      </c>
      <c r="M135" s="19">
        <f>VLOOKUP(B135,FVM_Asta2425!A:M,13,0)</f>
        <v>22</v>
      </c>
      <c r="N135" s="19" t="str">
        <f t="shared" si="6"/>
        <v>#REF!</v>
      </c>
      <c r="O135" s="20">
        <f>VLOOKUP(B135,'FVM_1luglio-31luglio25'!D:Q,14,0)</f>
        <v>25</v>
      </c>
      <c r="P135" s="20">
        <f t="shared" si="48"/>
        <v>25</v>
      </c>
      <c r="Q135" s="21">
        <f t="shared" si="47"/>
        <v>2.5</v>
      </c>
      <c r="R135" s="21">
        <f t="shared" si="49"/>
        <v>2.5</v>
      </c>
      <c r="S135" s="20"/>
      <c r="T135" s="22"/>
      <c r="U135" s="23"/>
    </row>
    <row r="136" ht="22.5" hidden="1" customHeight="1">
      <c r="A136" s="9">
        <f>VLOOKUP(B136,FVM_astainv!A:B,2,0)</f>
        <v>5620</v>
      </c>
      <c r="B136" s="25" t="s">
        <v>177</v>
      </c>
      <c r="C136" s="11" t="s">
        <v>148</v>
      </c>
      <c r="D136" s="12" t="str">
        <f>VLOOKUP(B136,FVM_astainv!A:F,6,0)</f>
        <v>Lazio</v>
      </c>
      <c r="E136" s="13" t="str">
        <f>VLOOKUP(B136,FVM_astainv!A:D,4,0)</f>
        <v>Ds;E</v>
      </c>
      <c r="F136" s="11" t="s">
        <v>55</v>
      </c>
      <c r="G136" s="14">
        <v>45474.0</v>
      </c>
      <c r="H136" s="144">
        <f t="shared" si="1"/>
        <v>46204</v>
      </c>
      <c r="I136" s="11" t="s">
        <v>126</v>
      </c>
      <c r="J136" s="16" t="str">
        <f>VLOOKUP(A136,Asteriscati25!B:N,13,0)</f>
        <v>#N/A</v>
      </c>
      <c r="K136" s="26">
        <v>0.8</v>
      </c>
      <c r="L136" s="19" t="str">
        <f t="shared" si="46"/>
        <v>#REF!</v>
      </c>
      <c r="M136" s="19">
        <f>VLOOKUP(B136,FVM_Asta2425!A:M,13,0)</f>
        <v>10</v>
      </c>
      <c r="N136" s="19" t="str">
        <f t="shared" si="6"/>
        <v>#REF!</v>
      </c>
      <c r="O136" s="20">
        <f>VLOOKUP(B136,'FVM_1luglio-31luglio25'!D:Q,14,0)</f>
        <v>21</v>
      </c>
      <c r="P136" s="20">
        <f t="shared" si="48"/>
        <v>21</v>
      </c>
      <c r="Q136" s="21">
        <f t="shared" si="47"/>
        <v>1.5</v>
      </c>
      <c r="R136" s="21">
        <f t="shared" si="49"/>
        <v>1.5</v>
      </c>
      <c r="S136" s="20"/>
      <c r="T136" s="11" t="s">
        <v>90</v>
      </c>
      <c r="U136" s="10"/>
    </row>
    <row r="137" ht="22.5" hidden="1" customHeight="1">
      <c r="A137" s="9">
        <f>VLOOKUP(B137,FVM_astainv!A:B,2,0)</f>
        <v>6801</v>
      </c>
      <c r="B137" s="25" t="s">
        <v>646</v>
      </c>
      <c r="C137" s="11" t="s">
        <v>148</v>
      </c>
      <c r="D137" s="12" t="str">
        <f>VLOOKUP(B137,FVM_astainv!A:F,6,0)</f>
        <v>Verona</v>
      </c>
      <c r="E137" s="13" t="str">
        <f>VLOOKUP(B137,FVM_astainv!A:D,4,0)</f>
        <v>Pc</v>
      </c>
      <c r="F137" s="11" t="s">
        <v>45</v>
      </c>
      <c r="G137" s="14">
        <v>45474.0</v>
      </c>
      <c r="H137" s="144">
        <f t="shared" si="1"/>
        <v>45839</v>
      </c>
      <c r="I137" s="11" t="s">
        <v>71</v>
      </c>
      <c r="J137" s="16" t="str">
        <f>VLOOKUP(A137,Asteriscati25!B:N,13,0)</f>
        <v>#N/A</v>
      </c>
      <c r="K137" s="26">
        <v>0.0</v>
      </c>
      <c r="L137" s="19" t="str">
        <f t="shared" si="46"/>
        <v>#REF!</v>
      </c>
      <c r="M137" s="19">
        <f>VLOOKUP(B137,FVM_Asta2425!A:M,13,0)</f>
        <v>17</v>
      </c>
      <c r="N137" s="19" t="str">
        <f t="shared" si="6"/>
        <v>#REF!</v>
      </c>
      <c r="O137" s="20">
        <f>VLOOKUP(B137,'FVM_1luglio-31luglio25'!D:Q,14,0)</f>
        <v>16</v>
      </c>
      <c r="P137" s="20">
        <f t="shared" si="48"/>
        <v>16</v>
      </c>
      <c r="Q137" s="21">
        <f t="shared" si="47"/>
        <v>2</v>
      </c>
      <c r="R137" s="21">
        <f t="shared" si="49"/>
        <v>0</v>
      </c>
      <c r="S137" s="19"/>
      <c r="T137" s="11" t="s">
        <v>148</v>
      </c>
      <c r="U137" s="10"/>
    </row>
    <row r="138" ht="22.5" hidden="1" customHeight="1">
      <c r="A138" s="9">
        <f>VLOOKUP(B138,FVM_astainv!A:B,2,0)</f>
        <v>2815</v>
      </c>
      <c r="B138" s="25" t="s">
        <v>709</v>
      </c>
      <c r="C138" s="11" t="s">
        <v>148</v>
      </c>
      <c r="D138" s="12" t="str">
        <f>VLOOKUP(B138,FVM_astainv!A:F,6,0)</f>
        <v>Fiorentina</v>
      </c>
      <c r="E138" s="13" t="str">
        <f>VLOOKUP(B138,FVM_astainv!A:D,4,0)</f>
        <v>Por</v>
      </c>
      <c r="F138" s="11" t="s">
        <v>45</v>
      </c>
      <c r="G138" s="14">
        <v>45474.0</v>
      </c>
      <c r="H138" s="144">
        <f t="shared" si="1"/>
        <v>45839</v>
      </c>
      <c r="I138" s="11" t="s">
        <v>48</v>
      </c>
      <c r="J138" s="16" t="str">
        <f>VLOOKUP(A138,Asteriscati25!B:N,13,0)</f>
        <v>#N/A</v>
      </c>
      <c r="K138" s="17"/>
      <c r="L138" s="19" t="str">
        <f t="shared" si="46"/>
        <v>#REF!</v>
      </c>
      <c r="M138" s="19">
        <f>VLOOKUP(B138,FVM_Asta2425!A:M,13,0)</f>
        <v>20</v>
      </c>
      <c r="N138" s="19" t="str">
        <f t="shared" si="6"/>
        <v>#REF!</v>
      </c>
      <c r="O138" s="20">
        <f>VLOOKUP(B138,'FVM_1luglio-31luglio25'!D:Q,14,0)</f>
        <v>10</v>
      </c>
      <c r="P138" s="20">
        <f t="shared" si="48"/>
        <v>10</v>
      </c>
      <c r="Q138" s="21">
        <f t="shared" si="47"/>
        <v>2</v>
      </c>
      <c r="R138" s="21">
        <f t="shared" si="49"/>
        <v>2</v>
      </c>
      <c r="S138" s="20"/>
      <c r="T138" s="22"/>
      <c r="U138" s="23"/>
    </row>
    <row r="139" ht="22.5" hidden="1" customHeight="1">
      <c r="A139" s="9">
        <f>VLOOKUP(B139,FVM_astainv!A:B,2,0)</f>
        <v>6904</v>
      </c>
      <c r="B139" s="25" t="s">
        <v>710</v>
      </c>
      <c r="C139" s="11" t="s">
        <v>148</v>
      </c>
      <c r="D139" s="12" t="str">
        <f>VLOOKUP(B139,FVM_astainv!A:F,6,0)</f>
        <v>Venezia</v>
      </c>
      <c r="E139" s="13" t="str">
        <f>VLOOKUP(B139,FVM_astainv!A:D,4,0)</f>
        <v>W;T</v>
      </c>
      <c r="F139" s="11" t="s">
        <v>45</v>
      </c>
      <c r="G139" s="14">
        <v>45474.0</v>
      </c>
      <c r="H139" s="144">
        <f t="shared" si="1"/>
        <v>45839</v>
      </c>
      <c r="I139" s="11" t="s">
        <v>46</v>
      </c>
      <c r="J139" s="16" t="str">
        <f>VLOOKUP(A139,Asteriscati25!B:N,13,0)</f>
        <v>#N/A</v>
      </c>
      <c r="K139" s="17"/>
      <c r="L139" s="19" t="str">
        <f t="shared" si="46"/>
        <v>#REF!</v>
      </c>
      <c r="M139" s="19">
        <f>VLOOKUP(B139,FVM_Asta2425!A:M,13,0)</f>
        <v>8</v>
      </c>
      <c r="N139" s="19" t="str">
        <f t="shared" si="6"/>
        <v>#REF!</v>
      </c>
      <c r="O139" s="20">
        <f>VLOOKUP(B139,'FVM_1luglio-31luglio25'!D:Q,14,0)</f>
        <v>13</v>
      </c>
      <c r="P139" s="20">
        <f t="shared" si="48"/>
        <v>13</v>
      </c>
      <c r="Q139" s="21">
        <f t="shared" si="47"/>
        <v>1</v>
      </c>
      <c r="R139" s="21">
        <f t="shared" si="49"/>
        <v>0.5</v>
      </c>
      <c r="S139" s="20"/>
      <c r="T139" s="22"/>
      <c r="U139" s="23"/>
    </row>
    <row r="140" ht="22.5" hidden="1" customHeight="1">
      <c r="A140" s="9">
        <f>VLOOKUP(B140,FVM_astainv!A:B,2,0)</f>
        <v>6885</v>
      </c>
      <c r="B140" s="25" t="s">
        <v>711</v>
      </c>
      <c r="C140" s="11" t="s">
        <v>193</v>
      </c>
      <c r="D140" s="12" t="str">
        <f>VLOOKUP(B140,FVM_astainv!A:F,6,0)</f>
        <v>Roma</v>
      </c>
      <c r="E140" s="13" t="str">
        <f>VLOOKUP(B140,FVM_astainv!A:D,4,0)</f>
        <v>Dd;E</v>
      </c>
      <c r="F140" s="11" t="s">
        <v>45</v>
      </c>
      <c r="G140" s="14">
        <v>45474.0</v>
      </c>
      <c r="H140" s="144">
        <f t="shared" si="1"/>
        <v>45839</v>
      </c>
      <c r="I140" s="11" t="s">
        <v>46</v>
      </c>
      <c r="J140" s="16" t="str">
        <f>VLOOKUP(A140,Asteriscati25!B:N,13,0)</f>
        <v>#N/A</v>
      </c>
      <c r="K140" s="26">
        <v>0.0</v>
      </c>
      <c r="L140" s="19" t="str">
        <f t="shared" si="46"/>
        <v>#REF!</v>
      </c>
      <c r="M140" s="19">
        <f>VLOOKUP(B140,FVM_Asta2425!A:M,13,0)</f>
        <v>12</v>
      </c>
      <c r="N140" s="19" t="str">
        <f t="shared" si="6"/>
        <v>#REF!</v>
      </c>
      <c r="O140" s="20">
        <f>VLOOKUP(B140,'FVM_1luglio-31luglio25'!D:Q,14,0)</f>
        <v>8</v>
      </c>
      <c r="P140" s="20">
        <f t="shared" si="48"/>
        <v>8</v>
      </c>
      <c r="Q140" s="21">
        <f t="shared" si="47"/>
        <v>1.5</v>
      </c>
      <c r="R140" s="21">
        <f t="shared" si="49"/>
        <v>1</v>
      </c>
      <c r="S140" s="20"/>
      <c r="T140" s="22"/>
      <c r="U140" s="23"/>
    </row>
    <row r="141" ht="22.5" hidden="1" customHeight="1">
      <c r="A141" s="9">
        <f>VLOOKUP(B141,FVM_astainv!A:B,2,0)</f>
        <v>5784</v>
      </c>
      <c r="B141" s="25" t="s">
        <v>712</v>
      </c>
      <c r="C141" s="11" t="s">
        <v>193</v>
      </c>
      <c r="D141" s="12" t="str">
        <f>VLOOKUP(B141,FVM_astainv!A:F,6,0)</f>
        <v>Bologna</v>
      </c>
      <c r="E141" s="13" t="str">
        <f>VLOOKUP(B141,FVM_astainv!A:D,4,0)</f>
        <v>C;T</v>
      </c>
      <c r="F141" s="11" t="s">
        <v>45</v>
      </c>
      <c r="G141" s="14">
        <v>45474.0</v>
      </c>
      <c r="H141" s="144">
        <f t="shared" si="1"/>
        <v>45839</v>
      </c>
      <c r="I141" s="11" t="s">
        <v>46</v>
      </c>
      <c r="J141" s="16" t="str">
        <f>VLOOKUP(A141,Asteriscati25!B:N,13,0)</f>
        <v>#N/A</v>
      </c>
      <c r="K141" s="26">
        <v>0.0</v>
      </c>
      <c r="L141" s="19" t="str">
        <f t="shared" si="46"/>
        <v>#REF!</v>
      </c>
      <c r="M141" s="19">
        <f>VLOOKUP(B141,FVM_Asta2425!A:M,13,0)</f>
        <v>20</v>
      </c>
      <c r="N141" s="19" t="str">
        <f t="shared" si="6"/>
        <v>#REF!</v>
      </c>
      <c r="O141" s="20">
        <f>VLOOKUP(B141,'FVM_1luglio-31luglio25'!D:Q,14,0)</f>
        <v>16</v>
      </c>
      <c r="P141" s="20">
        <f t="shared" si="48"/>
        <v>16</v>
      </c>
      <c r="Q141" s="21">
        <f t="shared" si="47"/>
        <v>2</v>
      </c>
      <c r="R141" s="21">
        <f t="shared" si="49"/>
        <v>1</v>
      </c>
      <c r="S141" s="20"/>
      <c r="T141" s="22"/>
      <c r="U141" s="23"/>
    </row>
    <row r="142" ht="22.5" hidden="1" customHeight="1">
      <c r="A142" s="9">
        <f>VLOOKUP(B142,FVM_astainv!A:B,2,0)</f>
        <v>5719</v>
      </c>
      <c r="B142" s="25" t="s">
        <v>713</v>
      </c>
      <c r="C142" s="11" t="s">
        <v>193</v>
      </c>
      <c r="D142" s="12" t="str">
        <f>VLOOKUP(B142,FVM_astainv!A:F,6,0)</f>
        <v>Inter</v>
      </c>
      <c r="E142" s="13" t="str">
        <f>VLOOKUP(B142,FVM_astainv!A:D,4,0)</f>
        <v>M;C</v>
      </c>
      <c r="F142" s="11" t="s">
        <v>45</v>
      </c>
      <c r="G142" s="14">
        <v>45474.0</v>
      </c>
      <c r="H142" s="144">
        <f t="shared" si="1"/>
        <v>45839</v>
      </c>
      <c r="I142" s="11" t="s">
        <v>48</v>
      </c>
      <c r="J142" s="16" t="str">
        <f>VLOOKUP(A142,Asteriscati25!B:N,13,0)</f>
        <v>#N/A</v>
      </c>
      <c r="K142" s="26">
        <v>0.0</v>
      </c>
      <c r="L142" s="19" t="str">
        <f t="shared" si="46"/>
        <v>#REF!</v>
      </c>
      <c r="M142" s="19">
        <f>VLOOKUP(B142,FVM_Asta2425!A:M,13,0)</f>
        <v>17</v>
      </c>
      <c r="N142" s="19" t="str">
        <f t="shared" si="6"/>
        <v>#REF!</v>
      </c>
      <c r="O142" s="20">
        <f>VLOOKUP(B142,'FVM_1luglio-31luglio25'!D:Q,14,0)</f>
        <v>21</v>
      </c>
      <c r="P142" s="20">
        <f t="shared" si="48"/>
        <v>21</v>
      </c>
      <c r="Q142" s="21">
        <f t="shared" si="47"/>
        <v>2</v>
      </c>
      <c r="R142" s="21">
        <f t="shared" si="49"/>
        <v>2</v>
      </c>
      <c r="S142" s="20"/>
      <c r="T142" s="22"/>
      <c r="U142" s="23"/>
    </row>
    <row r="143" ht="22.5" hidden="1" customHeight="1">
      <c r="A143" s="9">
        <f>VLOOKUP(B143,FVM_astainv!A:B,2,0)</f>
        <v>2120</v>
      </c>
      <c r="B143" s="25" t="s">
        <v>192</v>
      </c>
      <c r="C143" s="11" t="s">
        <v>193</v>
      </c>
      <c r="D143" s="12" t="str">
        <f>VLOOKUP(B143,FVM_astainv!A:F,6,0)</f>
        <v>Inter</v>
      </c>
      <c r="E143" s="13" t="str">
        <f>VLOOKUP(B143,FVM_astainv!A:D,4,0)</f>
        <v>Dc</v>
      </c>
      <c r="F143" s="17" t="str">
        <f>VLOOKUP(B143,'situazione contratti estate 24'!A:I,9,0)</f>
        <v>Obbligo 1+2</v>
      </c>
      <c r="G143" s="14">
        <v>45108.0</v>
      </c>
      <c r="H143" s="144">
        <f t="shared" si="1"/>
        <v>46204</v>
      </c>
      <c r="I143" s="11" t="s">
        <v>48</v>
      </c>
      <c r="J143" s="16" t="str">
        <f>VLOOKUP(A143,Asteriscati25!B:N,13,0)</f>
        <v>#N/A</v>
      </c>
      <c r="K143" s="26">
        <v>0.0</v>
      </c>
      <c r="L143" s="19" t="str">
        <f t="shared" si="46"/>
        <v>#REF!</v>
      </c>
      <c r="M143" s="19">
        <f>VLOOKUP(B143,FVM_Asta2324!C:M,11,0)</f>
        <v>48</v>
      </c>
      <c r="N143" s="19" t="str">
        <f t="shared" si="6"/>
        <v>#REF!</v>
      </c>
      <c r="O143" s="20">
        <f>VLOOKUP(B143,'FVM_1luglio-31luglio25'!D:Q,14,0)</f>
        <v>63</v>
      </c>
      <c r="P143" s="20">
        <f t="shared" si="48"/>
        <v>63</v>
      </c>
      <c r="Q143" s="21">
        <f>VLOOKUP(B143,'situazione contratti estate 24'!A:K,11,0)</f>
        <v>6</v>
      </c>
      <c r="R143" s="21">
        <f t="shared" si="49"/>
        <v>6</v>
      </c>
      <c r="S143" s="20"/>
      <c r="T143" s="22"/>
      <c r="U143" s="23"/>
    </row>
    <row r="144" ht="22.5" hidden="1" customHeight="1">
      <c r="A144" s="9">
        <f>VLOOKUP(B144,FVM_astainv!A:B,2,0)</f>
        <v>6217</v>
      </c>
      <c r="B144" s="25" t="s">
        <v>194</v>
      </c>
      <c r="C144" s="11" t="s">
        <v>193</v>
      </c>
      <c r="D144" s="12" t="str">
        <f>VLOOKUP(B144,FVM_astainv!A:F,6,0)</f>
        <v>Inter</v>
      </c>
      <c r="E144" s="13" t="str">
        <f>VLOOKUP(B144,FVM_astainv!A:D,4,0)</f>
        <v>Dc</v>
      </c>
      <c r="F144" s="11" t="s">
        <v>59</v>
      </c>
      <c r="G144" s="14">
        <v>45474.0</v>
      </c>
      <c r="H144" s="144">
        <f t="shared" si="1"/>
        <v>46569</v>
      </c>
      <c r="I144" s="11" t="s">
        <v>48</v>
      </c>
      <c r="J144" s="16" t="str">
        <f>VLOOKUP(A144,Asteriscati25!B:N,13,0)</f>
        <v>#N/A</v>
      </c>
      <c r="K144" s="26">
        <v>0.0</v>
      </c>
      <c r="L144" s="19" t="str">
        <f t="shared" si="46"/>
        <v>#REF!</v>
      </c>
      <c r="M144" s="19">
        <f>VLOOKUP(B144,FVM_Asta2425!A:M,13,0)</f>
        <v>11</v>
      </c>
      <c r="N144" s="19" t="str">
        <f t="shared" si="6"/>
        <v>#REF!</v>
      </c>
      <c r="O144" s="20">
        <f>VLOOKUP(B144,'FVM_1luglio-31luglio25'!D:Q,14,0)</f>
        <v>17</v>
      </c>
      <c r="P144" s="20">
        <f t="shared" si="48"/>
        <v>17</v>
      </c>
      <c r="Q144" s="21">
        <f t="shared" ref="Q144:Q147" si="50">IF(F144="Standard",CEILING((M144/10),0.5),
IF(OR(F144="Diritto 1+1",M144="Inverno Diritto 0,5 + 1"),CEILING((M144/10)*1.3,0.5),
CEILING((M144/10)*1.15,0.5)))</f>
        <v>1.5</v>
      </c>
      <c r="R144" s="21">
        <f t="shared" si="49"/>
        <v>1.5</v>
      </c>
      <c r="S144" s="20"/>
      <c r="T144" s="22"/>
      <c r="U144" s="23"/>
    </row>
    <row r="145" ht="22.5" hidden="1" customHeight="1">
      <c r="A145" s="9">
        <f>VLOOKUP(B145,FVM_astainv!A:B,2,0)</f>
        <v>4377</v>
      </c>
      <c r="B145" s="25" t="s">
        <v>714</v>
      </c>
      <c r="C145" s="11" t="s">
        <v>193</v>
      </c>
      <c r="D145" s="12" t="str">
        <f>VLOOKUP(B145,FVM_astainv!A:F,6,0)</f>
        <v>Monza</v>
      </c>
      <c r="E145" s="13" t="str">
        <f>VLOOKUP(B145,FVM_astainv!A:D,4,0)</f>
        <v>C;T</v>
      </c>
      <c r="F145" s="11" t="s">
        <v>45</v>
      </c>
      <c r="G145" s="14">
        <v>45474.0</v>
      </c>
      <c r="H145" s="144">
        <f t="shared" si="1"/>
        <v>45839</v>
      </c>
      <c r="I145" s="11" t="s">
        <v>46</v>
      </c>
      <c r="J145" s="16" t="str">
        <f>VLOOKUP(A145,Asteriscati25!B:N,13,0)</f>
        <v>#N/A</v>
      </c>
      <c r="K145" s="26">
        <v>0.0</v>
      </c>
      <c r="L145" s="19" t="str">
        <f t="shared" si="46"/>
        <v>#REF!</v>
      </c>
      <c r="M145" s="19">
        <f>VLOOKUP(B145,FVM_Asta2425!A:M,13,0)</f>
        <v>17</v>
      </c>
      <c r="N145" s="19" t="str">
        <f t="shared" si="6"/>
        <v>#REF!</v>
      </c>
      <c r="O145" s="20">
        <f>VLOOKUP(B145,'FVM_1luglio-31luglio25'!D:Q,14,0)</f>
        <v>15</v>
      </c>
      <c r="P145" s="20">
        <f t="shared" si="48"/>
        <v>15</v>
      </c>
      <c r="Q145" s="21">
        <f t="shared" si="50"/>
        <v>2</v>
      </c>
      <c r="R145" s="21">
        <f t="shared" si="49"/>
        <v>1</v>
      </c>
      <c r="S145" s="20"/>
      <c r="T145" s="22"/>
      <c r="U145" s="23"/>
    </row>
    <row r="146" ht="22.5" hidden="1" customHeight="1">
      <c r="A146" s="9">
        <f>VLOOKUP(B146,FVM_astainv!A:B,2,0)</f>
        <v>6663</v>
      </c>
      <c r="B146" s="25" t="s">
        <v>715</v>
      </c>
      <c r="C146" s="11" t="s">
        <v>193</v>
      </c>
      <c r="D146" s="12" t="str">
        <f>VLOOKUP(B146,FVM_astainv!A:F,6,0)</f>
        <v>Parma</v>
      </c>
      <c r="E146" s="13" t="str">
        <f>VLOOKUP(B146,FVM_astainv!A:D,4,0)</f>
        <v>Dc</v>
      </c>
      <c r="F146" s="11" t="s">
        <v>45</v>
      </c>
      <c r="G146" s="14">
        <v>45474.0</v>
      </c>
      <c r="H146" s="144">
        <f t="shared" si="1"/>
        <v>45839</v>
      </c>
      <c r="I146" s="11" t="s">
        <v>46</v>
      </c>
      <c r="J146" s="16" t="str">
        <f>VLOOKUP(A146,Asteriscati25!B:N,13,0)</f>
        <v>#N/A</v>
      </c>
      <c r="K146" s="26">
        <v>0.0</v>
      </c>
      <c r="L146" s="19" t="str">
        <f t="shared" si="46"/>
        <v>#REF!</v>
      </c>
      <c r="M146" s="19">
        <f>VLOOKUP(B146,FVM_Asta2425!A:M,13,0)</f>
        <v>8</v>
      </c>
      <c r="N146" s="19" t="str">
        <f t="shared" si="6"/>
        <v>#REF!</v>
      </c>
      <c r="O146" s="20">
        <f>VLOOKUP(B146,'FVM_1luglio-31luglio25'!D:Q,14,0)</f>
        <v>8</v>
      </c>
      <c r="P146" s="20">
        <f t="shared" si="48"/>
        <v>8</v>
      </c>
      <c r="Q146" s="21">
        <f t="shared" si="50"/>
        <v>1</v>
      </c>
      <c r="R146" s="21">
        <f t="shared" si="49"/>
        <v>0.5</v>
      </c>
      <c r="S146" s="20"/>
      <c r="T146" s="22"/>
      <c r="U146" s="23"/>
    </row>
    <row r="147" ht="22.5" hidden="1" customHeight="1">
      <c r="A147" s="9">
        <f>VLOOKUP(B147,FVM_astainv!A:B,2,0)</f>
        <v>2155</v>
      </c>
      <c r="B147" s="25" t="s">
        <v>716</v>
      </c>
      <c r="C147" s="11" t="s">
        <v>193</v>
      </c>
      <c r="D147" s="12" t="str">
        <f>VLOOKUP(B147,FVM_astainv!A:F,6,0)</f>
        <v>Como</v>
      </c>
      <c r="E147" s="13" t="str">
        <f>VLOOKUP(B147,FVM_astainv!A:D,4,0)</f>
        <v>Pc</v>
      </c>
      <c r="F147" s="11" t="s">
        <v>45</v>
      </c>
      <c r="G147" s="14">
        <v>45474.0</v>
      </c>
      <c r="H147" s="144">
        <f t="shared" si="1"/>
        <v>45839</v>
      </c>
      <c r="I147" s="11" t="s">
        <v>48</v>
      </c>
      <c r="J147" s="16" t="str">
        <f>VLOOKUP(A147,Asteriscati25!B:N,13,0)</f>
        <v>#N/A</v>
      </c>
      <c r="K147" s="29">
        <v>0.0</v>
      </c>
      <c r="L147" s="19" t="str">
        <f t="shared" si="46"/>
        <v>#REF!</v>
      </c>
      <c r="M147" s="19">
        <f>VLOOKUP(B147,FVM_Asta2425!A:M,13,0)</f>
        <v>20</v>
      </c>
      <c r="N147" s="19" t="str">
        <f t="shared" si="6"/>
        <v>#REF!</v>
      </c>
      <c r="O147" s="20">
        <f>VLOOKUP(B147,'FVM_1luglio-31luglio25'!D:Q,14,0)</f>
        <v>20</v>
      </c>
      <c r="P147" s="20">
        <f t="shared" si="48"/>
        <v>20</v>
      </c>
      <c r="Q147" s="21">
        <f t="shared" si="50"/>
        <v>2</v>
      </c>
      <c r="R147" s="21">
        <f t="shared" si="49"/>
        <v>2</v>
      </c>
      <c r="S147" s="20"/>
      <c r="T147" s="22"/>
      <c r="U147" s="23"/>
    </row>
    <row r="148" ht="22.5" hidden="1" customHeight="1">
      <c r="A148" s="9">
        <f>VLOOKUP(B148,FVM_astainv!A:B,2,0)</f>
        <v>2525</v>
      </c>
      <c r="B148" s="25" t="s">
        <v>193</v>
      </c>
      <c r="C148" s="11" t="s">
        <v>193</v>
      </c>
      <c r="D148" s="12" t="str">
        <f>VLOOKUP(B148,FVM_astainv!A:F,6,0)</f>
        <v>Inter</v>
      </c>
      <c r="E148" s="13" t="str">
        <f>VLOOKUP(B148,FVM_astainv!A:D,4,0)</f>
        <v>B;Dd;E</v>
      </c>
      <c r="F148" s="17" t="str">
        <f>VLOOKUP(B148,'situazione contratti estate 24'!A:I,9,0)</f>
        <v>Diritto 1+1</v>
      </c>
      <c r="G148" s="14">
        <v>45108.0</v>
      </c>
      <c r="H148" s="144">
        <f t="shared" si="1"/>
        <v>45839</v>
      </c>
      <c r="I148" s="11" t="s">
        <v>605</v>
      </c>
      <c r="J148" s="16" t="str">
        <f>VLOOKUP(A148,Asteriscati25!B:N,13,0)</f>
        <v>#N/A</v>
      </c>
      <c r="K148" s="26">
        <v>0.0</v>
      </c>
      <c r="L148" s="19" t="str">
        <f t="shared" si="46"/>
        <v>#REF!</v>
      </c>
      <c r="M148" s="19">
        <f>VLOOKUP(B148,FVM_Asta2324!C:M,11,0)</f>
        <v>27</v>
      </c>
      <c r="N148" s="19" t="str">
        <f t="shared" si="6"/>
        <v>#REF!</v>
      </c>
      <c r="O148" s="20">
        <f>VLOOKUP(B148,'FVM_1luglio-31luglio25'!D:Q,14,0)</f>
        <v>20</v>
      </c>
      <c r="P148" s="20">
        <f t="shared" si="48"/>
        <v>20</v>
      </c>
      <c r="Q148" s="21">
        <f>VLOOKUP(B148,'situazione contratti estate 24'!A:K,11,0)</f>
        <v>4</v>
      </c>
      <c r="R148" s="21" t="str">
        <f t="shared" si="49"/>
        <v/>
      </c>
      <c r="S148" s="20"/>
      <c r="T148" s="22"/>
      <c r="U148" s="23"/>
    </row>
    <row r="149" ht="22.5" hidden="1" customHeight="1">
      <c r="A149" s="9">
        <f>VLOOKUP(B149,FVM_astainv!A:B,2,0)</f>
        <v>2816</v>
      </c>
      <c r="B149" s="187" t="s">
        <v>717</v>
      </c>
      <c r="C149" s="11" t="s">
        <v>193</v>
      </c>
      <c r="D149" s="12" t="str">
        <f>VLOOKUP(B149,FVM_astainv!A:F,6,0)</f>
        <v>Napoli</v>
      </c>
      <c r="E149" s="13" t="str">
        <f>VLOOKUP(B149,FVM_astainv!A:D,4,0)</f>
        <v>B;Dd;E</v>
      </c>
      <c r="F149" s="17" t="str">
        <f>VLOOKUP(B149,'situazione contratti estate 24'!A:I,9,0)</f>
        <v>Diritto 1+1</v>
      </c>
      <c r="G149" s="14">
        <v>45108.0</v>
      </c>
      <c r="H149" s="144">
        <f t="shared" si="1"/>
        <v>45839</v>
      </c>
      <c r="I149" s="11" t="s">
        <v>605</v>
      </c>
      <c r="J149" s="16" t="str">
        <f>VLOOKUP(A149,Asteriscati25!B:N,13,0)</f>
        <v>#N/A</v>
      </c>
      <c r="K149" s="26">
        <v>0.2</v>
      </c>
      <c r="L149" s="19" t="str">
        <f t="shared" si="46"/>
        <v>#REF!</v>
      </c>
      <c r="M149" s="19">
        <f>VLOOKUP(B149,FVM_Asta2324!C:M,11,0)</f>
        <v>96</v>
      </c>
      <c r="N149" s="19" t="str">
        <f t="shared" si="6"/>
        <v>#REF!</v>
      </c>
      <c r="O149" s="20">
        <f>VLOOKUP(B149,'FVM_1luglio-31luglio25'!D:Q,14,0)</f>
        <v>76</v>
      </c>
      <c r="P149" s="20">
        <f t="shared" si="48"/>
        <v>76</v>
      </c>
      <c r="Q149" s="21">
        <f>VLOOKUP(B149,'situazione contratti estate 24'!A:K,11,0)</f>
        <v>12.5</v>
      </c>
      <c r="R149" s="21" t="str">
        <f t="shared" si="49"/>
        <v/>
      </c>
      <c r="S149" s="20"/>
      <c r="T149" s="11" t="s">
        <v>193</v>
      </c>
      <c r="U149" s="23"/>
    </row>
    <row r="150" ht="22.5" hidden="1" customHeight="1">
      <c r="A150" s="9">
        <f>VLOOKUP(B150,FVM_astainv!A:B,2,0)</f>
        <v>4177</v>
      </c>
      <c r="B150" s="25" t="s">
        <v>718</v>
      </c>
      <c r="C150" s="11" t="s">
        <v>193</v>
      </c>
      <c r="D150" s="12" t="str">
        <f>VLOOKUP(B150,FVM_astainv!A:F,6,0)</f>
        <v>Inter</v>
      </c>
      <c r="E150" s="13" t="str">
        <f>VLOOKUP(B150,FVM_astainv!A:D,4,0)</f>
        <v>Dd;Dc</v>
      </c>
      <c r="F150" s="17" t="str">
        <f>VLOOKUP(B150,'situazione contratti estate 24'!A:I,9,0)</f>
        <v>Diritto 1+1</v>
      </c>
      <c r="G150" s="14">
        <v>45108.0</v>
      </c>
      <c r="H150" s="144">
        <f t="shared" si="1"/>
        <v>45839</v>
      </c>
      <c r="I150" s="11" t="s">
        <v>605</v>
      </c>
      <c r="J150" s="16" t="str">
        <f>VLOOKUP(A150,Asteriscati25!B:N,13,0)</f>
        <v>#N/A</v>
      </c>
      <c r="K150" s="26">
        <v>0.0</v>
      </c>
      <c r="L150" s="19" t="str">
        <f t="shared" si="46"/>
        <v>#REF!</v>
      </c>
      <c r="M150" s="19">
        <f>VLOOKUP(B150,FVM_Asta2324!C:M,11,0)</f>
        <v>50</v>
      </c>
      <c r="N150" s="19" t="str">
        <f t="shared" si="6"/>
        <v>#REF!</v>
      </c>
      <c r="O150" s="20">
        <f>VLOOKUP(B150,'FVM_1luglio-31luglio25'!D:Q,14,0)</f>
        <v>32</v>
      </c>
      <c r="P150" s="20">
        <f t="shared" si="48"/>
        <v>32</v>
      </c>
      <c r="Q150" s="21">
        <f>VLOOKUP(B150,'situazione contratti estate 24'!A:K,11,0)</f>
        <v>6.5</v>
      </c>
      <c r="R150" s="21" t="str">
        <f t="shared" si="49"/>
        <v/>
      </c>
      <c r="S150" s="20"/>
      <c r="T150" s="22"/>
      <c r="U150" s="23"/>
    </row>
    <row r="151" ht="22.5" hidden="1" customHeight="1">
      <c r="A151" s="9">
        <f>VLOOKUP(B151,FVM_astainv!A:B,2,0)</f>
        <v>2194</v>
      </c>
      <c r="B151" s="25" t="s">
        <v>719</v>
      </c>
      <c r="C151" s="11" t="s">
        <v>193</v>
      </c>
      <c r="D151" s="12" t="str">
        <f>VLOOKUP(B151,FVM_astainv!A:F,6,0)</f>
        <v>Inter</v>
      </c>
      <c r="E151" s="13" t="str">
        <f>VLOOKUP(B151,FVM_astainv!A:D,4,0)</f>
        <v>M;C</v>
      </c>
      <c r="F151" s="17" t="str">
        <f>VLOOKUP(B151,'situazione contratti estate 24'!A:I,9,0)</f>
        <v>Diritto 1+1</v>
      </c>
      <c r="G151" s="14">
        <v>45108.0</v>
      </c>
      <c r="H151" s="144">
        <f t="shared" si="1"/>
        <v>45839</v>
      </c>
      <c r="I151" s="11" t="s">
        <v>605</v>
      </c>
      <c r="J151" s="16" t="str">
        <f>VLOOKUP(A151,Asteriscati25!B:N,13,0)</f>
        <v>#N/A</v>
      </c>
      <c r="K151" s="26">
        <v>0.0</v>
      </c>
      <c r="L151" s="19" t="str">
        <f t="shared" si="46"/>
        <v>#REF!</v>
      </c>
      <c r="M151" s="19">
        <f>VLOOKUP(B151,FVM_Asta2324!C:M,11,0)</f>
        <v>81</v>
      </c>
      <c r="N151" s="19" t="str">
        <f t="shared" si="6"/>
        <v>#REF!</v>
      </c>
      <c r="O151" s="20">
        <f>VLOOKUP(B151,'FVM_1luglio-31luglio25'!D:Q,14,0)</f>
        <v>146</v>
      </c>
      <c r="P151" s="20">
        <f t="shared" si="48"/>
        <v>146</v>
      </c>
      <c r="Q151" s="21">
        <f>VLOOKUP(B151,'situazione contratti estate 24'!A:K,11,0)</f>
        <v>11</v>
      </c>
      <c r="R151" s="21" t="str">
        <f t="shared" si="49"/>
        <v/>
      </c>
      <c r="S151" s="20"/>
      <c r="T151" s="22"/>
      <c r="U151" s="23"/>
    </row>
    <row r="152" ht="22.5" hidden="1" customHeight="1">
      <c r="A152" s="9">
        <f>VLOOKUP(B152,FVM_astainv!A:B,2,0)</f>
        <v>4179</v>
      </c>
      <c r="B152" s="25" t="s">
        <v>720</v>
      </c>
      <c r="C152" s="11" t="s">
        <v>193</v>
      </c>
      <c r="D152" s="12" t="str">
        <f>VLOOKUP(B152,FVM_astainv!A:F,6,0)</f>
        <v>Juventus</v>
      </c>
      <c r="E152" s="13" t="str">
        <f>VLOOKUP(B152,FVM_astainv!A:D,4,0)</f>
        <v>A</v>
      </c>
      <c r="F152" s="17" t="str">
        <f>VLOOKUP(B152,'situazione contratti estate 24'!A:I,9,0)</f>
        <v>Diritto 1+1</v>
      </c>
      <c r="G152" s="14">
        <v>45108.0</v>
      </c>
      <c r="H152" s="144">
        <f t="shared" si="1"/>
        <v>45839</v>
      </c>
      <c r="I152" s="11" t="s">
        <v>605</v>
      </c>
      <c r="J152" s="16" t="str">
        <f>VLOOKUP(A152,Asteriscati25!B:N,13,0)</f>
        <v>#N/A</v>
      </c>
      <c r="K152" s="26">
        <v>0.0</v>
      </c>
      <c r="L152" s="19" t="str">
        <f t="shared" si="46"/>
        <v>#REF!</v>
      </c>
      <c r="M152" s="19">
        <f>VLOOKUP(B152,FVM_Asta2324!C:M,11,0)</f>
        <v>100</v>
      </c>
      <c r="N152" s="19" t="str">
        <f t="shared" si="6"/>
        <v>#REF!</v>
      </c>
      <c r="O152" s="20">
        <f>VLOOKUP(B152,'FVM_1luglio-31luglio25'!D:Q,14,0)</f>
        <v>68</v>
      </c>
      <c r="P152" s="20">
        <f t="shared" si="48"/>
        <v>68</v>
      </c>
      <c r="Q152" s="21">
        <f>VLOOKUP(B152,'situazione contratti estate 24'!A:K,11,0)</f>
        <v>13</v>
      </c>
      <c r="R152" s="21" t="str">
        <f t="shared" si="49"/>
        <v/>
      </c>
      <c r="S152" s="20"/>
      <c r="T152" s="22"/>
      <c r="U152" s="23"/>
    </row>
    <row r="153" ht="22.5" hidden="1" customHeight="1">
      <c r="A153" s="9" t="str">
        <f>VLOOKUP(B153,FVM_astainv!A:B,2,0)</f>
        <v>#N/A</v>
      </c>
      <c r="B153" s="25" t="s">
        <v>721</v>
      </c>
      <c r="C153" s="11" t="s">
        <v>193</v>
      </c>
      <c r="D153" s="12" t="str">
        <f>VLOOKUP(B153,FVM_astainv!A:F,6,0)</f>
        <v>#N/A</v>
      </c>
      <c r="E153" s="13" t="str">
        <f>VLOOKUP(B153,FVM_astainv!A:D,4,0)</f>
        <v>#N/A</v>
      </c>
      <c r="F153" s="17" t="str">
        <f>VLOOKUP(B153,'situazione contratti estate 24'!A:I,9,0)</f>
        <v>Diritto 1+1</v>
      </c>
      <c r="G153" s="14">
        <v>45108.0</v>
      </c>
      <c r="H153" s="144">
        <f t="shared" si="1"/>
        <v>45839</v>
      </c>
      <c r="I153" s="11" t="s">
        <v>605</v>
      </c>
      <c r="J153" s="16" t="str">
        <f>VLOOKUP(A153,Asteriscati25!B:N,13,0)</f>
        <v>#N/A</v>
      </c>
      <c r="K153" s="26">
        <v>0.0</v>
      </c>
      <c r="L153" s="19" t="str">
        <f t="shared" si="46"/>
        <v>#REF!</v>
      </c>
      <c r="M153" s="19">
        <f>VLOOKUP(B153,FVM_Asta2324!C:M,11,0)</f>
        <v>265</v>
      </c>
      <c r="N153" s="19" t="str">
        <f t="shared" si="6"/>
        <v>#REF!</v>
      </c>
      <c r="O153" s="20" t="str">
        <f>VLOOKUP(B153,'FVM_1luglio-31luglio25'!D:Q,14,0)</f>
        <v>#N/A</v>
      </c>
      <c r="P153" s="9">
        <v>0.0</v>
      </c>
      <c r="Q153" s="21">
        <f>VLOOKUP(B153,'situazione contratti estate 24'!A:K,11,0)</f>
        <v>34.5</v>
      </c>
      <c r="R153" s="101">
        <v>17.5</v>
      </c>
      <c r="S153" s="20"/>
      <c r="T153" s="22"/>
      <c r="U153" s="23"/>
    </row>
    <row r="154" ht="22.5" hidden="1" customHeight="1">
      <c r="A154" s="9">
        <f>VLOOKUP(B154,FVM_astainv!A:B,2,0)</f>
        <v>2134</v>
      </c>
      <c r="B154" s="25" t="s">
        <v>204</v>
      </c>
      <c r="C154" s="11" t="s">
        <v>193</v>
      </c>
      <c r="D154" s="12" t="str">
        <f>VLOOKUP(B154,FVM_astainv!A:F,6,0)</f>
        <v>Lecce</v>
      </c>
      <c r="E154" s="13" t="str">
        <f>VLOOKUP(B154,FVM_astainv!A:D,4,0)</f>
        <v>Por</v>
      </c>
      <c r="F154" s="17" t="str">
        <f>VLOOKUP(B154,'situazione contratti estate 24'!A:I,9,0)</f>
        <v>Obbligo 1+2</v>
      </c>
      <c r="G154" s="14">
        <v>45108.0</v>
      </c>
      <c r="H154" s="144">
        <f t="shared" si="1"/>
        <v>46204</v>
      </c>
      <c r="I154" s="11" t="s">
        <v>48</v>
      </c>
      <c r="J154" s="16" t="str">
        <f>VLOOKUP(A154,Asteriscati25!B:N,13,0)</f>
        <v>#N/A</v>
      </c>
      <c r="K154" s="26">
        <v>0.0</v>
      </c>
      <c r="L154" s="19" t="str">
        <f t="shared" si="46"/>
        <v>#REF!</v>
      </c>
      <c r="M154" s="19">
        <f>VLOOKUP(B154,FVM_Asta2324!C:M,11,0)</f>
        <v>22</v>
      </c>
      <c r="N154" s="19" t="str">
        <f t="shared" si="6"/>
        <v>#REF!</v>
      </c>
      <c r="O154" s="20">
        <f>VLOOKUP(B154,'FVM_1luglio-31luglio25'!D:Q,14,0)</f>
        <v>25</v>
      </c>
      <c r="P154" s="20">
        <f t="shared" ref="P154:P157" si="51">IFERROR(N154,O154)</f>
        <v>25</v>
      </c>
      <c r="Q154" s="21">
        <f>VLOOKUP(B154,'situazione contratti estate 24'!A:K,11,0)</f>
        <v>3</v>
      </c>
      <c r="R154" s="21">
        <f t="shared" ref="R154:R172" si="52">IF(OR(I154="asta", I154="Svincolato riconferma anno corrente", I154="vivaio"), Q154,
IF(OR(I154="asta riparazione", I154="Svincolato obbligo anno precedente", I154="Svincolo pausa invernale"), MAX(0.5, CEILING(Q154 / 2, 0.5)),
IF(OR(I154="ceduto in prestito", I154="acquisito in prestito", I154="acquistato tit definitivo", I154="Ceduto tit definitivo"),CEILING(Q154 * K154, 0.5),
IF(I154="asteriscato", "inserire a mano", ""))))
</f>
        <v>3</v>
      </c>
      <c r="S154" s="20"/>
      <c r="T154" s="22"/>
      <c r="U154" s="23"/>
    </row>
    <row r="155" ht="22.5" hidden="1" customHeight="1">
      <c r="A155" s="9">
        <f>VLOOKUP(B155,FVM_astainv!A:B,2,0)</f>
        <v>5885</v>
      </c>
      <c r="B155" s="102" t="s">
        <v>722</v>
      </c>
      <c r="C155" s="188" t="s">
        <v>193</v>
      </c>
      <c r="D155" s="12" t="str">
        <f>VLOOKUP(B155,FVM_astainv!A:F,6,0)</f>
        <v>Fiorentina</v>
      </c>
      <c r="E155" s="13" t="str">
        <f>VLOOKUP(B155,FVM_astainv!A:D,4,0)</f>
        <v>Dd;E</v>
      </c>
      <c r="F155" s="133" t="s">
        <v>45</v>
      </c>
      <c r="G155" s="82">
        <v>45474.0</v>
      </c>
      <c r="H155" s="146">
        <f t="shared" si="1"/>
        <v>45839</v>
      </c>
      <c r="I155" s="103" t="s">
        <v>89</v>
      </c>
      <c r="J155" s="16" t="str">
        <f>VLOOKUP(A155,Asteriscati25!B:N,13,0)</f>
        <v>#N/A</v>
      </c>
      <c r="K155" s="189">
        <v>0.8</v>
      </c>
      <c r="L155" s="106" t="str">
        <f t="shared" si="46"/>
        <v>#REF!</v>
      </c>
      <c r="M155" s="106">
        <f>VLOOKUP(B155,FVM_Asta2425!A:M,13,0)</f>
        <v>25</v>
      </c>
      <c r="N155" s="19" t="str">
        <f t="shared" si="6"/>
        <v>#REF!</v>
      </c>
      <c r="O155" s="20">
        <f>VLOOKUP(B155,'FVM_1luglio-31luglio25'!D:Q,14,0)</f>
        <v>33</v>
      </c>
      <c r="P155" s="159">
        <f t="shared" si="51"/>
        <v>33</v>
      </c>
      <c r="Q155" s="160">
        <f t="shared" ref="Q155:Q156" si="53">IF(F155="Standard",CEILING((M155/10),0.5),
IF(OR(F155="Diritto 1+1",M155="Inverno Diritto 0,5 + 1"),CEILING((M155/10)*1.3,0.5),
CEILING((M155/10)*1.15,0.5)))</f>
        <v>2.5</v>
      </c>
      <c r="R155" s="160">
        <f t="shared" si="52"/>
        <v>2</v>
      </c>
      <c r="S155" s="108"/>
      <c r="T155" s="190" t="s">
        <v>235</v>
      </c>
      <c r="U155" s="162"/>
    </row>
    <row r="156" ht="22.5" hidden="1" customHeight="1">
      <c r="A156" s="9">
        <f>VLOOKUP(B156,FVM_astainv!A:B,2,0)</f>
        <v>6884</v>
      </c>
      <c r="B156" s="25" t="s">
        <v>247</v>
      </c>
      <c r="C156" s="11" t="s">
        <v>193</v>
      </c>
      <c r="D156" s="12" t="str">
        <f>VLOOKUP(B156,FVM_astainv!A:F,6,0)</f>
        <v>Juventus</v>
      </c>
      <c r="E156" s="13" t="str">
        <f>VLOOKUP(B156,FVM_astainv!A:D,4,0)</f>
        <v>W;A</v>
      </c>
      <c r="F156" s="11" t="s">
        <v>59</v>
      </c>
      <c r="G156" s="14">
        <v>45474.0</v>
      </c>
      <c r="H156" s="144">
        <f t="shared" si="1"/>
        <v>46569</v>
      </c>
      <c r="I156" s="11" t="s">
        <v>89</v>
      </c>
      <c r="J156" s="16" t="str">
        <f>VLOOKUP(A156,Asteriscati25!B:N,13,0)</f>
        <v>#N/A</v>
      </c>
      <c r="K156" s="29">
        <v>0.8</v>
      </c>
      <c r="L156" s="19" t="str">
        <f t="shared" si="46"/>
        <v>#REF!</v>
      </c>
      <c r="M156" s="19">
        <f>VLOOKUP(B156,FVM_Asta2425!A:M,13,0)</f>
        <v>22</v>
      </c>
      <c r="N156" s="19" t="str">
        <f t="shared" si="6"/>
        <v>#REF!</v>
      </c>
      <c r="O156" s="20">
        <f>VLOOKUP(B156,'FVM_1luglio-31luglio25'!D:Q,14,0)</f>
        <v>22</v>
      </c>
      <c r="P156" s="20">
        <f t="shared" si="51"/>
        <v>22</v>
      </c>
      <c r="Q156" s="21">
        <f t="shared" si="53"/>
        <v>3</v>
      </c>
      <c r="R156" s="21">
        <f t="shared" si="52"/>
        <v>2.5</v>
      </c>
      <c r="S156" s="20"/>
      <c r="T156" s="11" t="s">
        <v>235</v>
      </c>
      <c r="U156" s="23"/>
    </row>
    <row r="157" ht="22.5" hidden="1" customHeight="1">
      <c r="A157" s="9">
        <f>VLOOKUP(B157,FVM_astainv!A:B,2,0)</f>
        <v>152</v>
      </c>
      <c r="B157" s="25" t="s">
        <v>225</v>
      </c>
      <c r="C157" s="11" t="s">
        <v>193</v>
      </c>
      <c r="D157" s="12" t="str">
        <f>VLOOKUP(B157,FVM_astainv!A:F,6,0)</f>
        <v>Inter</v>
      </c>
      <c r="E157" s="13" t="str">
        <f>VLOOKUP(B157,FVM_astainv!A:D,4,0)</f>
        <v>C;T</v>
      </c>
      <c r="F157" s="17" t="str">
        <f>VLOOKUP(B157,'situazione contratti estate 24'!A:I,9,0)</f>
        <v>Obbligo 1+2</v>
      </c>
      <c r="G157" s="14">
        <v>45108.0</v>
      </c>
      <c r="H157" s="144">
        <f t="shared" si="1"/>
        <v>46204</v>
      </c>
      <c r="I157" s="11" t="s">
        <v>68</v>
      </c>
      <c r="J157" s="16" t="str">
        <f>VLOOKUP(A157,Asteriscati25!B:N,13,0)</f>
        <v>#N/A</v>
      </c>
      <c r="K157" s="26">
        <v>1.0</v>
      </c>
      <c r="L157" s="19" t="str">
        <f t="shared" si="46"/>
        <v>#REF!</v>
      </c>
      <c r="M157" s="19">
        <f>VLOOKUP(B157,FVM_Asta2324!C:M,11,0)</f>
        <v>78</v>
      </c>
      <c r="N157" s="19" t="str">
        <f t="shared" si="6"/>
        <v>#REF!</v>
      </c>
      <c r="O157" s="20">
        <f>VLOOKUP(B157,'FVM_1luglio-31luglio25'!D:Q,14,0)</f>
        <v>20</v>
      </c>
      <c r="P157" s="20">
        <f t="shared" si="51"/>
        <v>20</v>
      </c>
      <c r="Q157" s="21">
        <f>VLOOKUP(B157,'situazione contratti estate 24'!A:K,11,0)</f>
        <v>9</v>
      </c>
      <c r="R157" s="21">
        <f t="shared" si="52"/>
        <v>4.5</v>
      </c>
      <c r="S157" s="20"/>
      <c r="T157" s="11" t="s">
        <v>172</v>
      </c>
      <c r="U157" s="10"/>
    </row>
    <row r="158" ht="22.5" hidden="1" customHeight="1">
      <c r="A158" s="9" t="str">
        <f>VLOOKUP(B158,FVM_astainv!A:B,2,0)</f>
        <v>#N/A</v>
      </c>
      <c r="B158" s="25" t="s">
        <v>208</v>
      </c>
      <c r="C158" s="11" t="s">
        <v>193</v>
      </c>
      <c r="D158" s="12" t="str">
        <f>VLOOKUP(B158,FVM_astainv!A:F,6,0)</f>
        <v>#N/A</v>
      </c>
      <c r="E158" s="13" t="str">
        <f>VLOOKUP(B158,FVM_astainv!A:D,4,0)</f>
        <v>#N/A</v>
      </c>
      <c r="F158" s="11" t="s">
        <v>43</v>
      </c>
      <c r="G158" s="14">
        <v>45474.0</v>
      </c>
      <c r="H158" s="144">
        <f t="shared" si="1"/>
        <v>401768</v>
      </c>
      <c r="I158" s="11" t="s">
        <v>43</v>
      </c>
      <c r="J158" s="16" t="str">
        <f>VLOOKUP(A158,Asteriscati25!B:N,13,0)</f>
        <v>#N/A</v>
      </c>
      <c r="K158" s="29">
        <v>0.0</v>
      </c>
      <c r="L158" s="19" t="str">
        <f t="shared" si="46"/>
        <v>#REF!</v>
      </c>
      <c r="M158" s="19">
        <f>VLOOKUP(B158,FVM_Asta2425!A:M,13,0)</f>
        <v>1</v>
      </c>
      <c r="N158" s="19" t="str">
        <f t="shared" si="6"/>
        <v>#REF!</v>
      </c>
      <c r="O158" s="20" t="str">
        <f>VLOOKUP(B158,'FVM_1luglio-31luglio25'!D:Q,14,0)</f>
        <v>#N/A</v>
      </c>
      <c r="P158" s="9">
        <v>0.0</v>
      </c>
      <c r="Q158" s="21">
        <f t="shared" ref="Q158:Q159" si="54">IF(F158="Standard",CEILING((M158/10),0.5),
IF(OR(F158="Diritto 1+1",M158="Inverno Diritto 0,5 + 1"),CEILING((M158/10)*1.3,0.5),
CEILING((M158/10)*1.15,0.5)))</f>
        <v>0.5</v>
      </c>
      <c r="R158" s="21">
        <f t="shared" si="52"/>
        <v>0.5</v>
      </c>
      <c r="S158" s="20"/>
      <c r="T158" s="17"/>
      <c r="U158" s="16"/>
    </row>
    <row r="159" ht="22.5" hidden="1" customHeight="1">
      <c r="A159" s="9">
        <f>VLOOKUP(B159,FVM_astainv!A:B,2,0)</f>
        <v>6813</v>
      </c>
      <c r="B159" s="78" t="s">
        <v>236</v>
      </c>
      <c r="C159" s="11" t="s">
        <v>193</v>
      </c>
      <c r="D159" s="12" t="str">
        <f>VLOOKUP(B159,FVM_astainv!A:F,6,0)</f>
        <v>Milan</v>
      </c>
      <c r="E159" s="13" t="str">
        <f>VLOOKUP(B159,FVM_astainv!A:D,4,0)</f>
        <v>Por</v>
      </c>
      <c r="F159" s="11" t="s">
        <v>43</v>
      </c>
      <c r="G159" s="14">
        <v>45474.0</v>
      </c>
      <c r="H159" s="144">
        <f t="shared" si="1"/>
        <v>401768</v>
      </c>
      <c r="I159" s="11" t="s">
        <v>43</v>
      </c>
      <c r="J159" s="16" t="str">
        <f>VLOOKUP(A159,Asteriscati25!B:N,13,0)</f>
        <v>#N/A</v>
      </c>
      <c r="K159" s="29">
        <v>0.0</v>
      </c>
      <c r="L159" s="19" t="str">
        <f t="shared" si="46"/>
        <v>#REF!</v>
      </c>
      <c r="M159" s="19">
        <f>VLOOKUP(B159,FVM_Asta2425!A:M,13,0)</f>
        <v>1</v>
      </c>
      <c r="N159" s="19" t="str">
        <f t="shared" si="6"/>
        <v>#REF!</v>
      </c>
      <c r="O159" s="20">
        <f>VLOOKUP(B159,'FVM_1luglio-31luglio25'!D:Q,14,0)</f>
        <v>1</v>
      </c>
      <c r="P159" s="20">
        <f t="shared" ref="P159:P228" si="55">IFERROR(N159,O159)</f>
        <v>1</v>
      </c>
      <c r="Q159" s="21">
        <f t="shared" si="54"/>
        <v>0.5</v>
      </c>
      <c r="R159" s="21">
        <f t="shared" si="52"/>
        <v>0.5</v>
      </c>
      <c r="S159" s="20"/>
      <c r="T159" s="17"/>
      <c r="U159" s="16"/>
    </row>
    <row r="160" ht="22.5" hidden="1" customHeight="1">
      <c r="A160" s="9">
        <f>VLOOKUP(B160,FVM_astainv!A:B,2,0)</f>
        <v>6966</v>
      </c>
      <c r="B160" s="77" t="s">
        <v>723</v>
      </c>
      <c r="C160" s="11" t="s">
        <v>193</v>
      </c>
      <c r="D160" s="12" t="str">
        <f>VLOOKUP(B160,FVM_astainv!A:F,6,0)</f>
        <v>Como</v>
      </c>
      <c r="E160" s="13" t="str">
        <f>VLOOKUP(B160,FVM_astainv!A:D,4,0)</f>
        <v>Por</v>
      </c>
      <c r="F160" s="11" t="s">
        <v>92</v>
      </c>
      <c r="G160" s="14">
        <v>45689.0</v>
      </c>
      <c r="H160" s="144">
        <f t="shared" si="1"/>
        <v>45839</v>
      </c>
      <c r="I160" s="11" t="s">
        <v>93</v>
      </c>
      <c r="J160" s="16" t="str">
        <f>VLOOKUP(A160,Asteriscati25!B:N,13,0)</f>
        <v>#N/A</v>
      </c>
      <c r="K160" s="29">
        <v>0.0</v>
      </c>
      <c r="L160" s="27">
        <v>12.0</v>
      </c>
      <c r="M160" s="19">
        <f>VLOOKUP(B160,FVM_astainv!A:N,14,0)</f>
        <v>12</v>
      </c>
      <c r="N160" s="19" t="str">
        <f t="shared" si="6"/>
        <v>#REF!</v>
      </c>
      <c r="O160" s="20">
        <f>VLOOKUP(B160,'FVM_1luglio-31luglio25'!D:Q,14,0)</f>
        <v>18</v>
      </c>
      <c r="P160" s="20">
        <f t="shared" si="55"/>
        <v>18</v>
      </c>
      <c r="Q160" s="21">
        <f t="shared" ref="Q160:Q168" si="56">IF(OR(F160="Standard",F160="Standard Inverno"),CEILING((M160/10),0.5),
IF(OR(F160="Diritto 1+1",F160="Inverno Diritto 0,5 + 1"),CEILING((M160/10)*1.3,0.5),
CEILING((M160/10)*1.15,0.5)))</f>
        <v>1.5</v>
      </c>
      <c r="R160" s="21">
        <f t="shared" si="52"/>
        <v>1</v>
      </c>
      <c r="S160" s="20"/>
      <c r="T160" s="17"/>
      <c r="U160" s="16"/>
    </row>
    <row r="161" ht="22.5" hidden="1" customHeight="1">
      <c r="A161" s="9">
        <f>VLOOKUP(B161,FVM_astainv!A:B,2,0)</f>
        <v>6631</v>
      </c>
      <c r="B161" s="25" t="s">
        <v>368</v>
      </c>
      <c r="C161" s="11" t="s">
        <v>193</v>
      </c>
      <c r="D161" s="12" t="str">
        <f>VLOOKUP(B161,FVM_astainv!A:F,6,0)</f>
        <v>Verona</v>
      </c>
      <c r="E161" s="13" t="str">
        <f>VLOOKUP(B161,FVM_astainv!A:D,4,0)</f>
        <v>Dc</v>
      </c>
      <c r="F161" s="11" t="s">
        <v>92</v>
      </c>
      <c r="G161" s="14">
        <v>45689.0</v>
      </c>
      <c r="H161" s="144">
        <f t="shared" si="1"/>
        <v>45839</v>
      </c>
      <c r="I161" s="11" t="s">
        <v>93</v>
      </c>
      <c r="J161" s="16" t="str">
        <f>VLOOKUP(A161,Asteriscati25!B:N,13,0)</f>
        <v>#N/A</v>
      </c>
      <c r="K161" s="29">
        <v>0.0</v>
      </c>
      <c r="L161" s="27">
        <v>12.0</v>
      </c>
      <c r="M161" s="19">
        <f>VLOOKUP(B161,FVM_astainv!A:N,14,0)</f>
        <v>12</v>
      </c>
      <c r="N161" s="19" t="str">
        <f t="shared" si="6"/>
        <v>#REF!</v>
      </c>
      <c r="O161" s="20">
        <f>VLOOKUP(B161,'FVM_1luglio-31luglio25'!D:Q,14,0)</f>
        <v>5</v>
      </c>
      <c r="P161" s="20">
        <f t="shared" si="55"/>
        <v>5</v>
      </c>
      <c r="Q161" s="21">
        <f t="shared" si="56"/>
        <v>1.5</v>
      </c>
      <c r="R161" s="21">
        <f t="shared" si="52"/>
        <v>1</v>
      </c>
      <c r="S161" s="20"/>
      <c r="T161" s="22"/>
      <c r="U161" s="23"/>
    </row>
    <row r="162" ht="22.5" hidden="1" customHeight="1">
      <c r="A162" s="9">
        <f>VLOOKUP(B162,FVM_astainv!A:B,2,0)</f>
        <v>6883</v>
      </c>
      <c r="B162" s="25" t="s">
        <v>664</v>
      </c>
      <c r="C162" s="11" t="s">
        <v>193</v>
      </c>
      <c r="D162" s="12" t="str">
        <f>VLOOKUP(B162,FVM_astainv!A:F,6,0)</f>
        <v>Lecce</v>
      </c>
      <c r="E162" s="13" t="str">
        <f>VLOOKUP(B162,FVM_astainv!A:D,4,0)</f>
        <v>Dc</v>
      </c>
      <c r="F162" s="11" t="s">
        <v>92</v>
      </c>
      <c r="G162" s="14">
        <v>45689.0</v>
      </c>
      <c r="H162" s="144">
        <f t="shared" si="1"/>
        <v>45839</v>
      </c>
      <c r="I162" s="11" t="s">
        <v>93</v>
      </c>
      <c r="J162" s="16" t="str">
        <f>VLOOKUP(A162,Asteriscati25!B:N,13,0)</f>
        <v>#N/A</v>
      </c>
      <c r="K162" s="29">
        <v>0.0</v>
      </c>
      <c r="L162" s="27">
        <v>10.0</v>
      </c>
      <c r="M162" s="19">
        <f>VLOOKUP(B162,FVM_astainv!A:N,14,0)</f>
        <v>8</v>
      </c>
      <c r="N162" s="19" t="str">
        <f t="shared" si="6"/>
        <v>#REF!</v>
      </c>
      <c r="O162" s="20">
        <f>VLOOKUP(B162,'FVM_1luglio-31luglio25'!D:Q,14,0)</f>
        <v>6</v>
      </c>
      <c r="P162" s="20">
        <f t="shared" si="55"/>
        <v>6</v>
      </c>
      <c r="Q162" s="21">
        <f t="shared" si="56"/>
        <v>1</v>
      </c>
      <c r="R162" s="21">
        <f t="shared" si="52"/>
        <v>0.5</v>
      </c>
      <c r="S162" s="20"/>
      <c r="T162" s="22"/>
      <c r="U162" s="23"/>
    </row>
    <row r="163" ht="22.5" hidden="1" customHeight="1">
      <c r="A163" s="9">
        <f>VLOOKUP(B163,FVM_astainv!A:B,2,0)</f>
        <v>729</v>
      </c>
      <c r="B163" s="25" t="s">
        <v>724</v>
      </c>
      <c r="C163" s="11" t="s">
        <v>193</v>
      </c>
      <c r="D163" s="12" t="str">
        <f>VLOOKUP(B163,FVM_astainv!A:F,6,0)</f>
        <v>Monza</v>
      </c>
      <c r="E163" s="13" t="str">
        <f>VLOOKUP(B163,FVM_astainv!A:D,4,0)</f>
        <v>Dd;E</v>
      </c>
      <c r="F163" s="11" t="s">
        <v>92</v>
      </c>
      <c r="G163" s="14">
        <v>45689.0</v>
      </c>
      <c r="H163" s="144">
        <f t="shared" si="1"/>
        <v>45839</v>
      </c>
      <c r="I163" s="11" t="s">
        <v>93</v>
      </c>
      <c r="J163" s="16" t="str">
        <f>VLOOKUP(A163,Asteriscati25!B:N,13,0)</f>
        <v>#N/A</v>
      </c>
      <c r="K163" s="29">
        <v>0.0</v>
      </c>
      <c r="L163" s="27">
        <v>12.0</v>
      </c>
      <c r="M163" s="19">
        <f>VLOOKUP(B163,FVM_astainv!A:N,14,0)</f>
        <v>12</v>
      </c>
      <c r="N163" s="19" t="str">
        <f t="shared" si="6"/>
        <v>#REF!</v>
      </c>
      <c r="O163" s="20">
        <f>VLOOKUP(B163,'FVM_1luglio-31luglio25'!D:Q,14,0)</f>
        <v>9</v>
      </c>
      <c r="P163" s="20">
        <f t="shared" si="55"/>
        <v>9</v>
      </c>
      <c r="Q163" s="21">
        <f t="shared" si="56"/>
        <v>1.5</v>
      </c>
      <c r="R163" s="21">
        <f t="shared" si="52"/>
        <v>1</v>
      </c>
      <c r="S163" s="20"/>
      <c r="T163" s="22"/>
      <c r="U163" s="23"/>
    </row>
    <row r="164" ht="22.5" hidden="1" customHeight="1">
      <c r="A164" s="9">
        <f>VLOOKUP(B164,FVM_astainv!A:B,2,0)</f>
        <v>6761</v>
      </c>
      <c r="B164" s="25" t="s">
        <v>725</v>
      </c>
      <c r="C164" s="11" t="s">
        <v>193</v>
      </c>
      <c r="D164" s="12" t="str">
        <f>VLOOKUP(B164,FVM_astainv!A:F,6,0)</f>
        <v>Juventus</v>
      </c>
      <c r="E164" s="13" t="str">
        <f>VLOOKUP(B164,FVM_astainv!A:D,4,0)</f>
        <v>M;C</v>
      </c>
      <c r="F164" s="11" t="s">
        <v>92</v>
      </c>
      <c r="G164" s="14">
        <v>45689.0</v>
      </c>
      <c r="H164" s="144">
        <f t="shared" si="1"/>
        <v>45839</v>
      </c>
      <c r="I164" s="11" t="s">
        <v>93</v>
      </c>
      <c r="J164" s="16" t="str">
        <f>VLOOKUP(A164,Asteriscati25!B:N,13,0)</f>
        <v>#N/A</v>
      </c>
      <c r="K164" s="29">
        <v>0.0</v>
      </c>
      <c r="L164" s="27">
        <v>8.0</v>
      </c>
      <c r="M164" s="19">
        <f>VLOOKUP(B164,FVM_astainv!A:N,14,0)</f>
        <v>8</v>
      </c>
      <c r="N164" s="19" t="str">
        <f t="shared" si="6"/>
        <v>#REF!</v>
      </c>
      <c r="O164" s="20">
        <f>VLOOKUP(B164,'FVM_1luglio-31luglio25'!D:Q,14,0)</f>
        <v>12</v>
      </c>
      <c r="P164" s="20">
        <f t="shared" si="55"/>
        <v>12</v>
      </c>
      <c r="Q164" s="21">
        <f t="shared" si="56"/>
        <v>1</v>
      </c>
      <c r="R164" s="21">
        <f t="shared" si="52"/>
        <v>0.5</v>
      </c>
      <c r="S164" s="20"/>
      <c r="T164" s="22"/>
      <c r="U164" s="23"/>
    </row>
    <row r="165" ht="22.5" hidden="1" customHeight="1">
      <c r="A165" s="9">
        <f>VLOOKUP(B165,FVM_astainv!A:B,2,0)</f>
        <v>5872</v>
      </c>
      <c r="B165" s="25" t="s">
        <v>726</v>
      </c>
      <c r="C165" s="11" t="s">
        <v>193</v>
      </c>
      <c r="D165" s="12" t="str">
        <f>VLOOKUP(B165,FVM_astainv!A:F,6,0)</f>
        <v>Lecce</v>
      </c>
      <c r="E165" s="13" t="str">
        <f>VLOOKUP(B165,FVM_astainv!A:D,4,0)</f>
        <v>C;T</v>
      </c>
      <c r="F165" s="11" t="s">
        <v>92</v>
      </c>
      <c r="G165" s="14">
        <v>45689.0</v>
      </c>
      <c r="H165" s="144">
        <f t="shared" si="1"/>
        <v>45839</v>
      </c>
      <c r="I165" s="11" t="s">
        <v>93</v>
      </c>
      <c r="J165" s="16" t="str">
        <f>VLOOKUP(A165,Asteriscati25!B:N,13,0)</f>
        <v>#N/A</v>
      </c>
      <c r="K165" s="29">
        <v>0.0</v>
      </c>
      <c r="L165" s="27">
        <v>3.0</v>
      </c>
      <c r="M165" s="19">
        <f>VLOOKUP(B165,FVM_astainv!A:N,14,0)</f>
        <v>3</v>
      </c>
      <c r="N165" s="19" t="str">
        <f t="shared" si="6"/>
        <v>#REF!</v>
      </c>
      <c r="O165" s="20" t="str">
        <f>VLOOKUP(B165,'FVM_1luglio-31luglio25'!D:Q,14,0)</f>
        <v>#N/A</v>
      </c>
      <c r="P165" s="20" t="str">
        <f t="shared" si="55"/>
        <v>#N/A</v>
      </c>
      <c r="Q165" s="21">
        <f t="shared" si="56"/>
        <v>0.5</v>
      </c>
      <c r="R165" s="21">
        <f t="shared" si="52"/>
        <v>0.5</v>
      </c>
      <c r="S165" s="20"/>
      <c r="T165" s="22"/>
      <c r="U165" s="23"/>
    </row>
    <row r="166" ht="22.5" hidden="1" customHeight="1">
      <c r="A166" s="9">
        <f>VLOOKUP(B166,FVM_astainv!A:B,2,0)</f>
        <v>6889</v>
      </c>
      <c r="B166" s="25" t="s">
        <v>727</v>
      </c>
      <c r="C166" s="11" t="s">
        <v>193</v>
      </c>
      <c r="D166" s="12" t="str">
        <f>VLOOKUP(B166,FVM_astainv!A:F,6,0)</f>
        <v>Empoli</v>
      </c>
      <c r="E166" s="13" t="str">
        <f>VLOOKUP(B166,FVM_astainv!A:D,4,0)</f>
        <v>W;T</v>
      </c>
      <c r="F166" s="11" t="s">
        <v>92</v>
      </c>
      <c r="G166" s="14">
        <v>45689.0</v>
      </c>
      <c r="H166" s="144">
        <f t="shared" si="1"/>
        <v>45839</v>
      </c>
      <c r="I166" s="11" t="s">
        <v>93</v>
      </c>
      <c r="J166" s="16" t="str">
        <f>VLOOKUP(A166,Asteriscati25!B:N,13,0)</f>
        <v>#N/A</v>
      </c>
      <c r="K166" s="29">
        <v>0.0</v>
      </c>
      <c r="L166" s="27">
        <v>51.0</v>
      </c>
      <c r="M166" s="19">
        <f>VLOOKUP(B166,FVM_astainv!A:N,14,0)</f>
        <v>33</v>
      </c>
      <c r="N166" s="19" t="str">
        <f t="shared" si="6"/>
        <v>#REF!</v>
      </c>
      <c r="O166" s="20">
        <f>VLOOKUP(B166,'FVM_1luglio-31luglio25'!D:Q,14,0)</f>
        <v>15</v>
      </c>
      <c r="P166" s="20">
        <f t="shared" si="55"/>
        <v>15</v>
      </c>
      <c r="Q166" s="21">
        <f t="shared" si="56"/>
        <v>3.5</v>
      </c>
      <c r="R166" s="21">
        <f t="shared" si="52"/>
        <v>2</v>
      </c>
      <c r="S166" s="20"/>
      <c r="T166" s="22"/>
      <c r="U166" s="23"/>
    </row>
    <row r="167" ht="22.5" hidden="1" customHeight="1">
      <c r="A167" s="9">
        <f>VLOOKUP(B167,FVM_astainv!A:B,2,0)</f>
        <v>5322</v>
      </c>
      <c r="B167" s="25" t="s">
        <v>728</v>
      </c>
      <c r="C167" s="11" t="s">
        <v>193</v>
      </c>
      <c r="D167" s="12" t="str">
        <f>VLOOKUP(B167,FVM_astainv!A:F,6,0)</f>
        <v>Parma</v>
      </c>
      <c r="E167" s="13" t="str">
        <f>VLOOKUP(B167,FVM_astainv!A:D,4,0)</f>
        <v>W;A</v>
      </c>
      <c r="F167" s="11" t="s">
        <v>92</v>
      </c>
      <c r="G167" s="14">
        <v>45689.0</v>
      </c>
      <c r="H167" s="144">
        <f t="shared" si="1"/>
        <v>45839</v>
      </c>
      <c r="I167" s="11" t="s">
        <v>93</v>
      </c>
      <c r="J167" s="16" t="str">
        <f>VLOOKUP(A167,Asteriscati25!B:N,13,0)</f>
        <v>#N/A</v>
      </c>
      <c r="K167" s="29">
        <v>0.0</v>
      </c>
      <c r="L167" s="27">
        <v>23.0</v>
      </c>
      <c r="M167" s="19">
        <f>VLOOKUP(B167,FVM_astainv!A:N,14,0)</f>
        <v>23</v>
      </c>
      <c r="N167" s="19" t="str">
        <f t="shared" si="6"/>
        <v>#REF!</v>
      </c>
      <c r="O167" s="20">
        <f>VLOOKUP(B167,'FVM_1luglio-31luglio25'!D:Q,14,0)</f>
        <v>14</v>
      </c>
      <c r="P167" s="20">
        <f t="shared" si="55"/>
        <v>14</v>
      </c>
      <c r="Q167" s="21">
        <f t="shared" si="56"/>
        <v>2.5</v>
      </c>
      <c r="R167" s="21">
        <f t="shared" si="52"/>
        <v>1.5</v>
      </c>
      <c r="S167" s="20"/>
      <c r="T167" s="22"/>
      <c r="U167" s="23"/>
    </row>
    <row r="168" ht="22.5" hidden="1" customHeight="1">
      <c r="A168" s="9">
        <f>VLOOKUP(B168,FVM_astainv!A:B,2,0)</f>
        <v>2841</v>
      </c>
      <c r="B168" s="25" t="s">
        <v>282</v>
      </c>
      <c r="C168" s="11" t="s">
        <v>193</v>
      </c>
      <c r="D168" s="12" t="str">
        <f>VLOOKUP(B168,FVM_astainv!A:F,6,0)</f>
        <v>Juventus</v>
      </c>
      <c r="E168" s="13" t="str">
        <f>VLOOKUP(B168,FVM_astainv!A:D,4,0)</f>
        <v>Pc</v>
      </c>
      <c r="F168" s="11" t="s">
        <v>92</v>
      </c>
      <c r="G168" s="14">
        <v>45689.0</v>
      </c>
      <c r="H168" s="144">
        <f t="shared" si="1"/>
        <v>45839</v>
      </c>
      <c r="I168" s="11" t="s">
        <v>93</v>
      </c>
      <c r="J168" s="16" t="str">
        <f>VLOOKUP(A168,Asteriscati25!B:N,13,0)</f>
        <v>#N/A</v>
      </c>
      <c r="K168" s="29">
        <v>0.0</v>
      </c>
      <c r="L168" s="27">
        <v>337.0</v>
      </c>
      <c r="M168" s="19">
        <f>VLOOKUP(B168,FVM_astainv!A:N,14,0)</f>
        <v>332</v>
      </c>
      <c r="N168" s="19" t="str">
        <f t="shared" si="6"/>
        <v>#REF!</v>
      </c>
      <c r="O168" s="20">
        <f>VLOOKUP(B168,'FVM_1luglio-31luglio25'!D:Q,14,0)</f>
        <v>261</v>
      </c>
      <c r="P168" s="20">
        <f t="shared" si="55"/>
        <v>261</v>
      </c>
      <c r="Q168" s="21">
        <f t="shared" si="56"/>
        <v>33.5</v>
      </c>
      <c r="R168" s="21">
        <f t="shared" si="52"/>
        <v>17</v>
      </c>
      <c r="S168" s="20"/>
      <c r="T168" s="22"/>
      <c r="U168" s="23"/>
    </row>
    <row r="169" ht="22.5" hidden="1" customHeight="1">
      <c r="A169" s="9">
        <f>VLOOKUP(B169,FVM_astainv!A:B,2,0)</f>
        <v>5688</v>
      </c>
      <c r="B169" s="25" t="s">
        <v>729</v>
      </c>
      <c r="C169" s="11" t="s">
        <v>193</v>
      </c>
      <c r="D169" s="12" t="str">
        <f>VLOOKUP(B169,FVM_astainv!A:F,6,0)</f>
        <v>Verona</v>
      </c>
      <c r="E169" s="13" t="str">
        <f>VLOOKUP(B169,FVM_astainv!A:D,4,0)</f>
        <v>W;T</v>
      </c>
      <c r="F169" s="191"/>
      <c r="G169" s="14">
        <v>45474.0</v>
      </c>
      <c r="H169" s="144" t="str">
        <f>IF(#REF!="Vivaio", DATE(2999, 12, 31),
  IF(#REF!="Standard", DATE(YEAR(G169)+1, MONTH(G169), DAY(G169)),
    IF(#REF!="Standard Inverno", DATE(2025, 7, 1),
      IF(OR(#REF!="Diritto 1+1", #REF!="Obbligo 1+1"), DATE(YEAR(G169)+2, MONTH(G169), DAY(G169)),
        IF(#REF!="Obbligo 1+2", DATE(YEAR(G169)+3, MONTH(G169), DAY(G169)),
          IF(OR(#REF!="Inverno Obbligo 1,5", #REF!="Inverno Diritto 0,5 + 1"), DATE(YEAR(G169)+1, MONTH(G169)+6, DAY(G169)),
            IF(#REF!="Inverno Obbligo 2,5", DATE(YEAR(G169)+2, MONTH(G169)+6, DAY(G169)), G169)
          )
        )
      )
    )
  )
)</f>
        <v>#REF!</v>
      </c>
      <c r="I169" s="11" t="s">
        <v>46</v>
      </c>
      <c r="J169" s="16" t="str">
        <f>VLOOKUP(A169,Asteriscati25!B:N,13,0)</f>
        <v>#N/A</v>
      </c>
      <c r="K169" s="26">
        <v>0.0</v>
      </c>
      <c r="L169" s="19" t="str">
        <f t="shared" ref="L169:L192" si="57">VLOOKUP(B169,Rose!B:D,3,0)</f>
        <v>#REF!</v>
      </c>
      <c r="M169" s="19">
        <f>VLOOKUP(B169,FVM_Asta2425!A:M,13,0)</f>
        <v>36</v>
      </c>
      <c r="N169" s="19" t="str">
        <f t="shared" si="6"/>
        <v>#REF!</v>
      </c>
      <c r="O169" s="20">
        <f>VLOOKUP(B169,'FVM_1luglio-31luglio25'!D:Q,14,0)</f>
        <v>28</v>
      </c>
      <c r="P169" s="20">
        <f t="shared" si="55"/>
        <v>28</v>
      </c>
      <c r="Q169" s="21" t="str">
        <f>IF(#REF!="Standard",CEILING((M169/10),0.5),
IF(OR(#REF!="Diritto 1+1",M169="Inverno Diritto 0,5 + 1"),CEILING((M169/10)*1.3,0.5),
CEILING((M169/10)*1.15,0.5)))</f>
        <v>#REF!</v>
      </c>
      <c r="R169" s="21" t="str">
        <f t="shared" si="52"/>
        <v>#REF!</v>
      </c>
      <c r="S169" s="20"/>
      <c r="T169" s="22"/>
      <c r="U169" s="23"/>
    </row>
    <row r="170" ht="22.5" hidden="1" customHeight="1">
      <c r="A170" s="9">
        <f>VLOOKUP(B170,FVM_astainv!A:B,2,0)</f>
        <v>5007</v>
      </c>
      <c r="B170" s="25" t="s">
        <v>730</v>
      </c>
      <c r="C170" s="11" t="s">
        <v>193</v>
      </c>
      <c r="D170" s="12" t="str">
        <f>VLOOKUP(B170,FVM_astainv!A:F,6,0)</f>
        <v>Torino</v>
      </c>
      <c r="E170" s="13" t="str">
        <f>VLOOKUP(B170,FVM_astainv!A:D,4,0)</f>
        <v>C</v>
      </c>
      <c r="F170" s="11" t="s">
        <v>45</v>
      </c>
      <c r="G170" s="14">
        <v>45474.0</v>
      </c>
      <c r="H170" s="144">
        <f t="shared" ref="H170:H437" si="58">IF(F170="Vivaio", DATE(2999, 12, 31),
  IF(F170="Standard", DATE(YEAR(G170)+1, MONTH(G170), DAY(G170)),
    IF(F170="Standard Inverno", DATE(2025, 7, 1),
      IF(OR(F170="Diritto 1+1", F170="Obbligo 1+1"), DATE(YEAR(G170)+2, MONTH(G170), DAY(G170)),
        IF(F170="Obbligo 1+2", DATE(YEAR(G170)+3, MONTH(G170), DAY(G170)),
          IF(OR(F170="Inverno Obbligo 1,5", F170="Inverno Diritto 0,5 + 1"), DATE(YEAR(G170)+1, MONTH(G170)+6, DAY(G170)),
            IF(F170="Inverno Obbligo 2,5", DATE(YEAR(G170)+2, MONTH(G170)+6, DAY(G170)), G170)
          )
        )
      )
    )
  )
)</f>
        <v>45839</v>
      </c>
      <c r="I170" s="11" t="s">
        <v>46</v>
      </c>
      <c r="J170" s="16" t="str">
        <f>VLOOKUP(A170,Asteriscati25!B:N,13,0)</f>
        <v>#N/A</v>
      </c>
      <c r="K170" s="26">
        <v>0.0</v>
      </c>
      <c r="L170" s="19" t="str">
        <f t="shared" si="57"/>
        <v>#REF!</v>
      </c>
      <c r="M170" s="19">
        <f>VLOOKUP(B170,FVM_Asta2425!A:M,13,0)</f>
        <v>21</v>
      </c>
      <c r="N170" s="19" t="str">
        <f t="shared" si="6"/>
        <v>#REF!</v>
      </c>
      <c r="O170" s="20">
        <f>VLOOKUP(B170,'FVM_1luglio-31luglio25'!D:Q,14,0)</f>
        <v>14</v>
      </c>
      <c r="P170" s="20">
        <f t="shared" si="55"/>
        <v>14</v>
      </c>
      <c r="Q170" s="21">
        <f t="shared" ref="Q170:Q172" si="59">IF(F170="Standard",CEILING((M170/10),0.5),
IF(OR(F170="Diritto 1+1",M170="Inverno Diritto 0,5 + 1"),CEILING((M170/10)*1.3,0.5),
CEILING((M170/10)*1.15,0.5)))</f>
        <v>2.5</v>
      </c>
      <c r="R170" s="21">
        <f t="shared" si="52"/>
        <v>1.5</v>
      </c>
      <c r="S170" s="20"/>
      <c r="T170" s="22"/>
      <c r="U170" s="23"/>
    </row>
    <row r="171" ht="22.5" hidden="1" customHeight="1">
      <c r="A171" s="9">
        <f>VLOOKUP(B171,FVM_astainv!A:B,2,0)</f>
        <v>4530</v>
      </c>
      <c r="B171" s="25" t="s">
        <v>731</v>
      </c>
      <c r="C171" s="11" t="s">
        <v>193</v>
      </c>
      <c r="D171" s="12" t="str">
        <f>VLOOKUP(B171,FVM_astainv!A:F,6,0)</f>
        <v>Monza</v>
      </c>
      <c r="E171" s="13" t="str">
        <f>VLOOKUP(B171,FVM_astainv!A:D,4,0)</f>
        <v>Ds;E</v>
      </c>
      <c r="F171" s="11" t="s">
        <v>45</v>
      </c>
      <c r="G171" s="14">
        <v>45474.0</v>
      </c>
      <c r="H171" s="144">
        <f t="shared" si="58"/>
        <v>45839</v>
      </c>
      <c r="I171" s="11" t="s">
        <v>48</v>
      </c>
      <c r="J171" s="16" t="str">
        <f>VLOOKUP(A171,Asteriscati25!B:N,13,0)</f>
        <v>#N/A</v>
      </c>
      <c r="K171" s="26">
        <v>0.0</v>
      </c>
      <c r="L171" s="19" t="str">
        <f t="shared" si="57"/>
        <v>#REF!</v>
      </c>
      <c r="M171" s="19">
        <f>VLOOKUP(B171,FVM_Asta2425!A:M,13,0)</f>
        <v>13</v>
      </c>
      <c r="N171" s="19" t="str">
        <f t="shared" si="6"/>
        <v>#REF!</v>
      </c>
      <c r="O171" s="20">
        <f>VLOOKUP(B171,'FVM_1luglio-31luglio25'!D:Q,14,0)</f>
        <v>14</v>
      </c>
      <c r="P171" s="20">
        <f t="shared" si="55"/>
        <v>14</v>
      </c>
      <c r="Q171" s="21">
        <f t="shared" si="59"/>
        <v>1.5</v>
      </c>
      <c r="R171" s="21">
        <f t="shared" si="52"/>
        <v>1.5</v>
      </c>
      <c r="S171" s="20"/>
      <c r="T171" s="22"/>
      <c r="U171" s="23"/>
    </row>
    <row r="172" ht="22.5" hidden="1" customHeight="1">
      <c r="A172" s="9">
        <f>VLOOKUP(B172,FVM_astainv!A:B,2,0)</f>
        <v>1976</v>
      </c>
      <c r="B172" s="25" t="s">
        <v>280</v>
      </c>
      <c r="C172" s="11" t="s">
        <v>193</v>
      </c>
      <c r="D172" s="12" t="str">
        <f>VLOOKUP(B172,FVM_astainv!A:F,6,0)</f>
        <v>Como</v>
      </c>
      <c r="E172" s="13" t="str">
        <f>VLOOKUP(B172,FVM_astainv!A:D,4,0)</f>
        <v>M;C</v>
      </c>
      <c r="F172" s="11" t="s">
        <v>45</v>
      </c>
      <c r="G172" s="14">
        <v>45474.0</v>
      </c>
      <c r="H172" s="144">
        <f t="shared" si="58"/>
        <v>45839</v>
      </c>
      <c r="I172" s="11" t="s">
        <v>46</v>
      </c>
      <c r="J172" s="16" t="str">
        <f>VLOOKUP(A172,Asteriscati25!B:N,13,0)</f>
        <v>#N/A</v>
      </c>
      <c r="K172" s="26">
        <v>0.0</v>
      </c>
      <c r="L172" s="19" t="str">
        <f t="shared" si="57"/>
        <v>#REF!</v>
      </c>
      <c r="M172" s="19">
        <f>VLOOKUP(B172,FVM_Asta2425!A:M,13,0)</f>
        <v>20</v>
      </c>
      <c r="N172" s="19" t="str">
        <f t="shared" si="6"/>
        <v>#REF!</v>
      </c>
      <c r="O172" s="20" t="str">
        <f>VLOOKUP(B172,'FVM_1luglio-31luglio25'!D:Q,14,0)</f>
        <v>#N/A</v>
      </c>
      <c r="P172" s="20" t="str">
        <f t="shared" si="55"/>
        <v>#N/A</v>
      </c>
      <c r="Q172" s="21">
        <f t="shared" si="59"/>
        <v>2</v>
      </c>
      <c r="R172" s="21">
        <f t="shared" si="52"/>
        <v>1</v>
      </c>
      <c r="S172" s="20"/>
      <c r="T172" s="22"/>
      <c r="U172" s="23"/>
    </row>
    <row r="173" ht="22.5" hidden="1" customHeight="1">
      <c r="A173" s="9">
        <f>VLOOKUP(B173,FVM_astainv!A:B,2,0)</f>
        <v>4973</v>
      </c>
      <c r="B173" s="25" t="s">
        <v>732</v>
      </c>
      <c r="C173" s="11" t="s">
        <v>193</v>
      </c>
      <c r="D173" s="12" t="str">
        <f>VLOOKUP(B173,FVM_astainv!A:F,6,0)</f>
        <v>Juventus</v>
      </c>
      <c r="E173" s="13" t="str">
        <f>VLOOKUP(B173,FVM_astainv!A:D,4,0)</f>
        <v>M;C</v>
      </c>
      <c r="F173" s="11" t="s">
        <v>45</v>
      </c>
      <c r="G173" s="14"/>
      <c r="H173" s="144">
        <f t="shared" si="58"/>
        <v>365</v>
      </c>
      <c r="I173" s="11" t="s">
        <v>665</v>
      </c>
      <c r="J173" s="16" t="str">
        <f>VLOOKUP(A173,Asteriscati25!B:N,13,0)</f>
        <v>#N/A</v>
      </c>
      <c r="K173" s="17"/>
      <c r="L173" s="19" t="str">
        <f t="shared" si="57"/>
        <v>#REF!</v>
      </c>
      <c r="M173" s="19">
        <f>VLOOKUP(B173,FVM_Asta2324!C:M,11,0)</f>
        <v>17</v>
      </c>
      <c r="N173" s="19" t="str">
        <f t="shared" si="6"/>
        <v>#REF!</v>
      </c>
      <c r="O173" s="20">
        <f>VLOOKUP(B173,'FVM_1luglio-31luglio25'!D:Q,14,0)</f>
        <v>23</v>
      </c>
      <c r="P173" s="9">
        <f t="shared" si="55"/>
        <v>23</v>
      </c>
      <c r="Q173" s="101">
        <v>0.0</v>
      </c>
      <c r="R173" s="101">
        <v>0.0</v>
      </c>
      <c r="S173" s="20"/>
      <c r="T173" s="22"/>
      <c r="U173" s="10" t="s">
        <v>733</v>
      </c>
    </row>
    <row r="174" ht="22.5" hidden="1" customHeight="1">
      <c r="A174" s="9">
        <f>VLOOKUP(B174,FVM_astainv!A:B,2,0)</f>
        <v>2170</v>
      </c>
      <c r="B174" s="25" t="s">
        <v>734</v>
      </c>
      <c r="C174" s="11" t="s">
        <v>193</v>
      </c>
      <c r="D174" s="12" t="str">
        <f>VLOOKUP(B174,FVM_astainv!A:F,6,0)</f>
        <v>Torino</v>
      </c>
      <c r="E174" s="13" t="str">
        <f>VLOOKUP(B174,FVM_astainv!A:D,4,0)</f>
        <v>Por</v>
      </c>
      <c r="F174" s="11" t="s">
        <v>45</v>
      </c>
      <c r="G174" s="14">
        <v>45474.0</v>
      </c>
      <c r="H174" s="144">
        <f t="shared" si="58"/>
        <v>45839</v>
      </c>
      <c r="I174" s="11" t="s">
        <v>48</v>
      </c>
      <c r="J174" s="16" t="str">
        <f>VLOOKUP(A174,Asteriscati25!B:N,13,0)</f>
        <v>#N/A</v>
      </c>
      <c r="K174" s="26">
        <v>0.0</v>
      </c>
      <c r="L174" s="19" t="str">
        <f t="shared" si="57"/>
        <v>#REF!</v>
      </c>
      <c r="M174" s="19">
        <f>VLOOKUP(B174,FVM_Asta2425!A:M,13,0)</f>
        <v>47</v>
      </c>
      <c r="N174" s="19" t="str">
        <f t="shared" si="6"/>
        <v>#REF!</v>
      </c>
      <c r="O174" s="20">
        <f>VLOOKUP(B174,'FVM_1luglio-31luglio25'!D:Q,14,0)</f>
        <v>52</v>
      </c>
      <c r="P174" s="20">
        <f t="shared" si="55"/>
        <v>52</v>
      </c>
      <c r="Q174" s="21">
        <f t="shared" ref="Q174:Q192" si="60">IF(F174="Standard",CEILING((M174/10),0.5),
IF(OR(F174="Diritto 1+1",M174="Inverno Diritto 0,5 + 1"),CEILING((M174/10)*1.3,0.5),
CEILING((M174/10)*1.15,0.5)))</f>
        <v>5</v>
      </c>
      <c r="R174" s="21">
        <f t="shared" ref="R174:R200" si="61">IF(OR(I174="asta", I174="Svincolato riconferma anno corrente", I174="vivaio"), Q174,
IF(OR(I174="asta riparazione", I174="Svincolato obbligo anno precedente", I174="Svincolo pausa invernale"), MAX(0.5, CEILING(Q174 / 2, 0.5)),
IF(OR(I174="ceduto in prestito", I174="acquisito in prestito", I174="acquistato tit definitivo", I174="Ceduto tit definitivo"),CEILING(Q174 * K174, 0.5),
IF(I174="asteriscato", "inserire a mano", ""))))
</f>
        <v>5</v>
      </c>
      <c r="S174" s="20"/>
      <c r="T174" s="22"/>
      <c r="U174" s="23"/>
    </row>
    <row r="175" ht="22.5" hidden="1" customHeight="1">
      <c r="A175" s="9">
        <f>VLOOKUP(B175,FVM_astainv!A:B,2,0)</f>
        <v>4957</v>
      </c>
      <c r="B175" s="25" t="s">
        <v>735</v>
      </c>
      <c r="C175" s="11" t="s">
        <v>193</v>
      </c>
      <c r="D175" s="12" t="str">
        <f>VLOOKUP(B175,FVM_astainv!A:F,6,0)</f>
        <v>Verona</v>
      </c>
      <c r="E175" s="13" t="str">
        <f>VLOOKUP(B175,FVM_astainv!A:D,4,0)</f>
        <v>Por</v>
      </c>
      <c r="F175" s="11" t="s">
        <v>45</v>
      </c>
      <c r="G175" s="14">
        <v>45474.0</v>
      </c>
      <c r="H175" s="144">
        <f t="shared" si="58"/>
        <v>45839</v>
      </c>
      <c r="I175" s="11" t="s">
        <v>46</v>
      </c>
      <c r="J175" s="16" t="str">
        <f>VLOOKUP(A175,Asteriscati25!B:N,13,0)</f>
        <v>#N/A</v>
      </c>
      <c r="K175" s="26">
        <v>0.0</v>
      </c>
      <c r="L175" s="19" t="str">
        <f t="shared" si="57"/>
        <v>#REF!</v>
      </c>
      <c r="M175" s="19">
        <f>VLOOKUP(B175,FVM_Asta2425!A:M,13,0)</f>
        <v>30</v>
      </c>
      <c r="N175" s="19" t="str">
        <f t="shared" si="6"/>
        <v>#REF!</v>
      </c>
      <c r="O175" s="20">
        <f>VLOOKUP(B175,'FVM_1luglio-31luglio25'!D:Q,14,0)</f>
        <v>22</v>
      </c>
      <c r="P175" s="20">
        <f t="shared" si="55"/>
        <v>22</v>
      </c>
      <c r="Q175" s="21">
        <f t="shared" si="60"/>
        <v>3</v>
      </c>
      <c r="R175" s="21">
        <f t="shared" si="61"/>
        <v>1.5</v>
      </c>
      <c r="S175" s="20"/>
      <c r="T175" s="22"/>
      <c r="U175" s="23"/>
    </row>
    <row r="176" ht="22.5" hidden="1" customHeight="1">
      <c r="A176" s="9">
        <f>VLOOKUP(B176,FVM_astainv!A:B,2,0)</f>
        <v>5435</v>
      </c>
      <c r="B176" s="25" t="s">
        <v>736</v>
      </c>
      <c r="C176" s="11" t="s">
        <v>193</v>
      </c>
      <c r="D176" s="12" t="str">
        <f>VLOOKUP(B176,FVM_astainv!A:F,6,0)</f>
        <v>Como</v>
      </c>
      <c r="E176" s="13" t="str">
        <f>VLOOKUP(B176,FVM_astainv!A:D,4,0)</f>
        <v>Ds;E</v>
      </c>
      <c r="F176" s="11" t="s">
        <v>45</v>
      </c>
      <c r="G176" s="14">
        <v>45474.0</v>
      </c>
      <c r="H176" s="144">
        <f t="shared" si="58"/>
        <v>45839</v>
      </c>
      <c r="I176" s="11" t="s">
        <v>46</v>
      </c>
      <c r="J176" s="16" t="str">
        <f>VLOOKUP(A176,Asteriscati25!B:N,13,0)</f>
        <v>#N/A</v>
      </c>
      <c r="K176" s="26">
        <v>0.0</v>
      </c>
      <c r="L176" s="19" t="str">
        <f t="shared" si="57"/>
        <v>#REF!</v>
      </c>
      <c r="M176" s="19">
        <f>VLOOKUP(B176,FVM_Asta2425!A:M,13,0)</f>
        <v>17</v>
      </c>
      <c r="N176" s="19" t="str">
        <f t="shared" si="6"/>
        <v>#REF!</v>
      </c>
      <c r="O176" s="20">
        <f>VLOOKUP(B176,'FVM_1luglio-31luglio25'!D:Q,14,0)</f>
        <v>14</v>
      </c>
      <c r="P176" s="20">
        <f t="shared" si="55"/>
        <v>14</v>
      </c>
      <c r="Q176" s="21">
        <f t="shared" si="60"/>
        <v>2</v>
      </c>
      <c r="R176" s="21">
        <f t="shared" si="61"/>
        <v>1</v>
      </c>
      <c r="S176" s="20"/>
      <c r="T176" s="22"/>
      <c r="U176" s="23"/>
    </row>
    <row r="177" ht="22.5" hidden="1" customHeight="1">
      <c r="A177" s="9">
        <f>VLOOKUP(B177,FVM_astainv!A:B,2,0)</f>
        <v>6890</v>
      </c>
      <c r="B177" s="25" t="s">
        <v>737</v>
      </c>
      <c r="C177" s="11" t="s">
        <v>193</v>
      </c>
      <c r="D177" s="12" t="str">
        <f>VLOOKUP(B177,FVM_astainv!A:F,6,0)</f>
        <v>Fiorentina</v>
      </c>
      <c r="E177" s="13" t="str">
        <f>VLOOKUP(B177,FVM_astainv!A:D,4,0)</f>
        <v>Dc</v>
      </c>
      <c r="F177" s="11" t="s">
        <v>45</v>
      </c>
      <c r="G177" s="14">
        <v>45474.0</v>
      </c>
      <c r="H177" s="144">
        <f t="shared" si="58"/>
        <v>45839</v>
      </c>
      <c r="I177" s="11" t="s">
        <v>46</v>
      </c>
      <c r="J177" s="16" t="str">
        <f>VLOOKUP(A177,Asteriscati25!B:N,13,0)</f>
        <v>#N/A</v>
      </c>
      <c r="K177" s="26">
        <v>0.0</v>
      </c>
      <c r="L177" s="19" t="str">
        <f t="shared" si="57"/>
        <v>#REF!</v>
      </c>
      <c r="M177" s="19">
        <f>VLOOKUP(B177,FVM_Asta2425!A:M,13,0)</f>
        <v>8</v>
      </c>
      <c r="N177" s="19" t="str">
        <f t="shared" si="6"/>
        <v>#REF!</v>
      </c>
      <c r="O177" s="20">
        <f>VLOOKUP(B177,'FVM_1luglio-31luglio25'!D:Q,14,0)</f>
        <v>6</v>
      </c>
      <c r="P177" s="20">
        <f t="shared" si="55"/>
        <v>6</v>
      </c>
      <c r="Q177" s="21">
        <f t="shared" si="60"/>
        <v>1</v>
      </c>
      <c r="R177" s="21">
        <f t="shared" si="61"/>
        <v>0.5</v>
      </c>
      <c r="S177" s="20"/>
      <c r="T177" s="22"/>
      <c r="U177" s="23"/>
    </row>
    <row r="178" ht="22.5" hidden="1" customHeight="1">
      <c r="A178" s="9">
        <f>VLOOKUP(B178,FVM_astainv!A:B,2,0)</f>
        <v>6227</v>
      </c>
      <c r="B178" s="25" t="s">
        <v>738</v>
      </c>
      <c r="C178" s="11" t="s">
        <v>193</v>
      </c>
      <c r="D178" s="12" t="str">
        <f>VLOOKUP(B178,FVM_astainv!A:F,6,0)</f>
        <v>Milan</v>
      </c>
      <c r="E178" s="13" t="str">
        <f>VLOOKUP(B178,FVM_astainv!A:D,4,0)</f>
        <v>A</v>
      </c>
      <c r="F178" s="11" t="s">
        <v>45</v>
      </c>
      <c r="G178" s="14">
        <v>45474.0</v>
      </c>
      <c r="H178" s="144">
        <f t="shared" si="58"/>
        <v>45839</v>
      </c>
      <c r="I178" s="11" t="s">
        <v>46</v>
      </c>
      <c r="J178" s="16" t="str">
        <f>VLOOKUP(A178,Asteriscati25!B:N,13,0)</f>
        <v>#N/A</v>
      </c>
      <c r="K178" s="26">
        <v>0.0</v>
      </c>
      <c r="L178" s="19" t="str">
        <f t="shared" si="57"/>
        <v>#REF!</v>
      </c>
      <c r="M178" s="19">
        <f>VLOOKUP(B178,FVM_Asta2425!A:M,13,0)</f>
        <v>21</v>
      </c>
      <c r="N178" s="19" t="str">
        <f t="shared" si="6"/>
        <v>#REF!</v>
      </c>
      <c r="O178" s="20">
        <f>VLOOKUP(B178,'FVM_1luglio-31luglio25'!D:Q,14,0)</f>
        <v>13</v>
      </c>
      <c r="P178" s="20">
        <f t="shared" si="55"/>
        <v>13</v>
      </c>
      <c r="Q178" s="21">
        <f t="shared" si="60"/>
        <v>2.5</v>
      </c>
      <c r="R178" s="21">
        <f t="shared" si="61"/>
        <v>1.5</v>
      </c>
      <c r="S178" s="20"/>
      <c r="T178" s="22"/>
      <c r="U178" s="23"/>
    </row>
    <row r="179" ht="22.5" hidden="1" customHeight="1">
      <c r="A179" s="9">
        <f>VLOOKUP(B179,FVM_astainv!A:B,2,0)</f>
        <v>468</v>
      </c>
      <c r="B179" s="25" t="s">
        <v>739</v>
      </c>
      <c r="C179" s="11" t="s">
        <v>193</v>
      </c>
      <c r="D179" s="12" t="str">
        <f>VLOOKUP(B179,FVM_astainv!A:F,6,0)</f>
        <v>Roma</v>
      </c>
      <c r="E179" s="13" t="str">
        <f>VLOOKUP(B179,FVM_astainv!A:D,4,0)</f>
        <v>M;C</v>
      </c>
      <c r="F179" s="11" t="s">
        <v>45</v>
      </c>
      <c r="G179" s="14">
        <v>45474.0</v>
      </c>
      <c r="H179" s="144">
        <f t="shared" si="58"/>
        <v>45839</v>
      </c>
      <c r="I179" s="11" t="s">
        <v>48</v>
      </c>
      <c r="J179" s="16" t="str">
        <f>VLOOKUP(A179,Asteriscati25!B:N,13,0)</f>
        <v>#N/A</v>
      </c>
      <c r="K179" s="26">
        <v>0.0</v>
      </c>
      <c r="L179" s="19" t="str">
        <f t="shared" si="57"/>
        <v>#REF!</v>
      </c>
      <c r="M179" s="19">
        <f>VLOOKUP(B179,FVM_Asta2425!A:M,13,0)</f>
        <v>18</v>
      </c>
      <c r="N179" s="19" t="str">
        <f t="shared" si="6"/>
        <v>#REF!</v>
      </c>
      <c r="O179" s="20">
        <f>VLOOKUP(B179,'FVM_1luglio-31luglio25'!D:Q,14,0)</f>
        <v>22</v>
      </c>
      <c r="P179" s="20">
        <f t="shared" si="55"/>
        <v>22</v>
      </c>
      <c r="Q179" s="21">
        <f t="shared" si="60"/>
        <v>2</v>
      </c>
      <c r="R179" s="21">
        <f t="shared" si="61"/>
        <v>2</v>
      </c>
      <c r="S179" s="20"/>
      <c r="T179" s="22"/>
      <c r="U179" s="23"/>
    </row>
    <row r="180" ht="22.5" hidden="1" customHeight="1">
      <c r="A180" s="9">
        <f>VLOOKUP(B180,FVM_astainv!A:B,2,0)</f>
        <v>2038</v>
      </c>
      <c r="B180" s="25" t="s">
        <v>740</v>
      </c>
      <c r="C180" s="11" t="s">
        <v>193</v>
      </c>
      <c r="D180" s="12" t="str">
        <f>VLOOKUP(B180,FVM_astainv!A:F,6,0)</f>
        <v>Genoa</v>
      </c>
      <c r="E180" s="13" t="str">
        <f>VLOOKUP(B180,FVM_astainv!A:D,4,0)</f>
        <v>Pc</v>
      </c>
      <c r="F180" s="11" t="s">
        <v>45</v>
      </c>
      <c r="G180" s="14">
        <v>45474.0</v>
      </c>
      <c r="H180" s="144">
        <f t="shared" si="58"/>
        <v>45839</v>
      </c>
      <c r="I180" s="11" t="s">
        <v>48</v>
      </c>
      <c r="J180" s="16" t="str">
        <f>VLOOKUP(A180,Asteriscati25!B:N,13,0)</f>
        <v>#N/A</v>
      </c>
      <c r="K180" s="26">
        <v>0.0</v>
      </c>
      <c r="L180" s="19" t="str">
        <f t="shared" si="57"/>
        <v>#REF!</v>
      </c>
      <c r="M180" s="19">
        <f>VLOOKUP(B180,FVM_Asta2425!A:M,13,0)</f>
        <v>95</v>
      </c>
      <c r="N180" s="19" t="str">
        <f t="shared" si="6"/>
        <v>#REF!</v>
      </c>
      <c r="O180" s="20">
        <f>VLOOKUP(B180,'FVM_1luglio-31luglio25'!D:Q,14,0)</f>
        <v>83</v>
      </c>
      <c r="P180" s="20">
        <f t="shared" si="55"/>
        <v>83</v>
      </c>
      <c r="Q180" s="21">
        <f t="shared" si="60"/>
        <v>9.5</v>
      </c>
      <c r="R180" s="21">
        <f t="shared" si="61"/>
        <v>9.5</v>
      </c>
      <c r="S180" s="20"/>
      <c r="T180" s="22"/>
      <c r="U180" s="23"/>
    </row>
    <row r="181" ht="22.5" hidden="1" customHeight="1">
      <c r="A181" s="9">
        <f>VLOOKUP(B181,FVM_astainv!A:B,2,0)</f>
        <v>5919</v>
      </c>
      <c r="B181" s="25" t="s">
        <v>741</v>
      </c>
      <c r="C181" s="11" t="s">
        <v>193</v>
      </c>
      <c r="D181" s="12" t="str">
        <f>VLOOKUP(B181,FVM_astainv!A:F,6,0)</f>
        <v>Lazio</v>
      </c>
      <c r="E181" s="13" t="str">
        <f>VLOOKUP(B181,FVM_astainv!A:D,4,0)</f>
        <v>W</v>
      </c>
      <c r="F181" s="11" t="s">
        <v>45</v>
      </c>
      <c r="G181" s="14">
        <v>45474.0</v>
      </c>
      <c r="H181" s="144">
        <f t="shared" si="58"/>
        <v>45839</v>
      </c>
      <c r="I181" s="11" t="s">
        <v>71</v>
      </c>
      <c r="J181" s="16" t="str">
        <f>VLOOKUP(A181,Asteriscati25!B:N,13,0)</f>
        <v>#N/A</v>
      </c>
      <c r="K181" s="26">
        <v>0.2</v>
      </c>
      <c r="L181" s="19" t="str">
        <f t="shared" si="57"/>
        <v>#REF!</v>
      </c>
      <c r="M181" s="19">
        <f>VLOOKUP(B181,FVM_Asta2425!A:M,13,0)</f>
        <v>15</v>
      </c>
      <c r="N181" s="19" t="str">
        <f t="shared" si="6"/>
        <v>#REF!</v>
      </c>
      <c r="O181" s="20">
        <f>VLOOKUP(B181,'FVM_1luglio-31luglio25'!D:Q,14,0)</f>
        <v>12</v>
      </c>
      <c r="P181" s="20">
        <f t="shared" si="55"/>
        <v>12</v>
      </c>
      <c r="Q181" s="21">
        <f t="shared" si="60"/>
        <v>1.5</v>
      </c>
      <c r="R181" s="21">
        <f t="shared" si="61"/>
        <v>0.5</v>
      </c>
      <c r="S181" s="20"/>
      <c r="T181" s="11" t="s">
        <v>193</v>
      </c>
      <c r="U181" s="23"/>
    </row>
    <row r="182" ht="22.5" hidden="1" customHeight="1">
      <c r="A182" s="9">
        <f>VLOOKUP(B182,FVM_astainv!A:B,2,0)</f>
        <v>5862</v>
      </c>
      <c r="B182" s="25" t="s">
        <v>742</v>
      </c>
      <c r="C182" s="11" t="s">
        <v>193</v>
      </c>
      <c r="D182" s="12" t="str">
        <f>VLOOKUP(B182,FVM_astainv!A:F,6,0)</f>
        <v>Parma</v>
      </c>
      <c r="E182" s="13" t="str">
        <f>VLOOKUP(B182,FVM_astainv!A:D,4,0)</f>
        <v>Ds;E</v>
      </c>
      <c r="F182" s="11" t="s">
        <v>45</v>
      </c>
      <c r="G182" s="14">
        <v>45474.0</v>
      </c>
      <c r="H182" s="144">
        <f t="shared" si="58"/>
        <v>45839</v>
      </c>
      <c r="I182" s="11" t="s">
        <v>48</v>
      </c>
      <c r="J182" s="16" t="str">
        <f>VLOOKUP(A182,Asteriscati25!B:N,13,0)</f>
        <v>#N/A</v>
      </c>
      <c r="K182" s="26">
        <v>0.0</v>
      </c>
      <c r="L182" s="19" t="str">
        <f t="shared" si="57"/>
        <v>#REF!</v>
      </c>
      <c r="M182" s="19">
        <f>VLOOKUP(B182,FVM_Asta2425!A:M,13,0)</f>
        <v>11</v>
      </c>
      <c r="N182" s="19" t="str">
        <f t="shared" si="6"/>
        <v>#REF!</v>
      </c>
      <c r="O182" s="20">
        <f>VLOOKUP(B182,'FVM_1luglio-31luglio25'!D:Q,14,0)</f>
        <v>19</v>
      </c>
      <c r="P182" s="20">
        <f t="shared" si="55"/>
        <v>19</v>
      </c>
      <c r="Q182" s="21">
        <f t="shared" si="60"/>
        <v>1.5</v>
      </c>
      <c r="R182" s="21">
        <f t="shared" si="61"/>
        <v>1.5</v>
      </c>
      <c r="S182" s="20"/>
      <c r="T182" s="22"/>
      <c r="U182" s="23"/>
    </row>
    <row r="183" ht="22.5" hidden="1" customHeight="1">
      <c r="A183" s="9">
        <f>VLOOKUP(B183,FVM_astainv!A:B,2,0)</f>
        <v>608</v>
      </c>
      <c r="B183" s="25" t="s">
        <v>743</v>
      </c>
      <c r="C183" s="11" t="s">
        <v>193</v>
      </c>
      <c r="D183" s="12" t="str">
        <f>VLOOKUP(B183,FVM_astainv!A:F,6,0)</f>
        <v>Torino</v>
      </c>
      <c r="E183" s="13" t="str">
        <f>VLOOKUP(B183,FVM_astainv!A:D,4,0)</f>
        <v>Pc</v>
      </c>
      <c r="F183" s="11" t="s">
        <v>45</v>
      </c>
      <c r="G183" s="14">
        <v>45474.0</v>
      </c>
      <c r="H183" s="144">
        <f t="shared" si="58"/>
        <v>45839</v>
      </c>
      <c r="I183" s="11" t="s">
        <v>46</v>
      </c>
      <c r="J183" s="16" t="str">
        <f>VLOOKUP(A183,Asteriscati25!B:N,13,0)</f>
        <v>#N/A</v>
      </c>
      <c r="K183" s="26">
        <v>0.0</v>
      </c>
      <c r="L183" s="19" t="str">
        <f t="shared" si="57"/>
        <v>#REF!</v>
      </c>
      <c r="M183" s="19">
        <f>VLOOKUP(B183,FVM_Asta2425!A:M,13,0)</f>
        <v>170</v>
      </c>
      <c r="N183" s="19" t="str">
        <f t="shared" si="6"/>
        <v>#REF!</v>
      </c>
      <c r="O183" s="20">
        <f>VLOOKUP(B183,'FVM_1luglio-31luglio25'!D:Q,14,0)</f>
        <v>124</v>
      </c>
      <c r="P183" s="20">
        <f t="shared" si="55"/>
        <v>124</v>
      </c>
      <c r="Q183" s="21">
        <f t="shared" si="60"/>
        <v>17</v>
      </c>
      <c r="R183" s="21">
        <f t="shared" si="61"/>
        <v>8.5</v>
      </c>
      <c r="S183" s="20"/>
      <c r="T183" s="22"/>
      <c r="U183" s="23"/>
    </row>
    <row r="184" ht="22.5" hidden="1" customHeight="1">
      <c r="A184" s="9">
        <f>VLOOKUP(B184,FVM_astainv!A:B,2,0)</f>
        <v>513</v>
      </c>
      <c r="B184" s="25" t="s">
        <v>744</v>
      </c>
      <c r="C184" s="11" t="s">
        <v>235</v>
      </c>
      <c r="D184" s="12" t="str">
        <f>VLOOKUP(B184,FVM_astainv!A:F,6,0)</f>
        <v>Inter</v>
      </c>
      <c r="E184" s="13" t="str">
        <f>VLOOKUP(B184,FVM_astainv!A:D,4,0)</f>
        <v>Dc</v>
      </c>
      <c r="F184" s="11" t="s">
        <v>45</v>
      </c>
      <c r="G184" s="14">
        <v>45474.0</v>
      </c>
      <c r="H184" s="144">
        <f t="shared" si="58"/>
        <v>45839</v>
      </c>
      <c r="I184" s="11" t="s">
        <v>48</v>
      </c>
      <c r="J184" s="16" t="str">
        <f>VLOOKUP(A184,Asteriscati25!B:N,13,0)</f>
        <v>#N/A</v>
      </c>
      <c r="K184" s="29">
        <v>0.0</v>
      </c>
      <c r="L184" s="19" t="str">
        <f t="shared" si="57"/>
        <v>#REF!</v>
      </c>
      <c r="M184" s="19">
        <f>VLOOKUP(B184,FVM_Asta2425!A:M,13,0)</f>
        <v>28</v>
      </c>
      <c r="N184" s="19" t="str">
        <f t="shared" si="6"/>
        <v>#REF!</v>
      </c>
      <c r="O184" s="20">
        <f>VLOOKUP(B184,'FVM_1luglio-31luglio25'!D:Q,14,0)</f>
        <v>26</v>
      </c>
      <c r="P184" s="20">
        <f t="shared" si="55"/>
        <v>26</v>
      </c>
      <c r="Q184" s="21">
        <f t="shared" si="60"/>
        <v>3</v>
      </c>
      <c r="R184" s="21">
        <f t="shared" si="61"/>
        <v>3</v>
      </c>
      <c r="S184" s="20"/>
      <c r="T184" s="22"/>
      <c r="U184" s="23"/>
    </row>
    <row r="185" ht="22.5" hidden="1" customHeight="1">
      <c r="A185" s="9">
        <f>VLOOKUP(B185,FVM_astainv!A:B,2,0)</f>
        <v>6409</v>
      </c>
      <c r="B185" s="25" t="s">
        <v>745</v>
      </c>
      <c r="C185" s="11" t="s">
        <v>235</v>
      </c>
      <c r="D185" s="12" t="str">
        <f>VLOOKUP(B185,FVM_astainv!A:F,6,0)</f>
        <v>Fiorentina</v>
      </c>
      <c r="E185" s="13" t="str">
        <f>VLOOKUP(B185,FVM_astainv!A:D,4,0)</f>
        <v>A</v>
      </c>
      <c r="F185" s="11" t="s">
        <v>45</v>
      </c>
      <c r="G185" s="14">
        <v>45474.0</v>
      </c>
      <c r="H185" s="144">
        <f t="shared" si="58"/>
        <v>45839</v>
      </c>
      <c r="I185" s="11" t="s">
        <v>48</v>
      </c>
      <c r="J185" s="16" t="str">
        <f>VLOOKUP(A185,Asteriscati25!B:N,13,0)</f>
        <v>#N/A</v>
      </c>
      <c r="K185" s="29">
        <v>0.0</v>
      </c>
      <c r="L185" s="19" t="str">
        <f t="shared" si="57"/>
        <v>#REF!</v>
      </c>
      <c r="M185" s="19">
        <f>VLOOKUP(B185,FVM_Asta2425!A:M,13,0)</f>
        <v>34</v>
      </c>
      <c r="N185" s="19" t="str">
        <f t="shared" si="6"/>
        <v>#REF!</v>
      </c>
      <c r="O185" s="20">
        <f>VLOOKUP(B185,'FVM_1luglio-31luglio25'!D:Q,14,0)</f>
        <v>25</v>
      </c>
      <c r="P185" s="20">
        <f t="shared" si="55"/>
        <v>25</v>
      </c>
      <c r="Q185" s="21">
        <f t="shared" si="60"/>
        <v>3.5</v>
      </c>
      <c r="R185" s="21">
        <f t="shared" si="61"/>
        <v>3.5</v>
      </c>
      <c r="S185" s="20"/>
      <c r="T185" s="22"/>
      <c r="U185" s="23"/>
    </row>
    <row r="186" ht="22.5" hidden="1" customHeight="1">
      <c r="A186" s="9">
        <f>VLOOKUP(B186,FVM_astainv!A:B,2,0)</f>
        <v>2788</v>
      </c>
      <c r="B186" s="25" t="s">
        <v>246</v>
      </c>
      <c r="C186" s="11" t="s">
        <v>235</v>
      </c>
      <c r="D186" s="12" t="str">
        <f>VLOOKUP(B186,FVM_astainv!A:F,6,0)</f>
        <v>Juventus</v>
      </c>
      <c r="E186" s="13" t="str">
        <f>VLOOKUP(B186,FVM_astainv!A:D,4,0)</f>
        <v>Dc</v>
      </c>
      <c r="F186" s="11" t="s">
        <v>59</v>
      </c>
      <c r="G186" s="14">
        <v>45474.0</v>
      </c>
      <c r="H186" s="144">
        <f t="shared" si="58"/>
        <v>46569</v>
      </c>
      <c r="I186" s="11" t="s">
        <v>48</v>
      </c>
      <c r="J186" s="16" t="str">
        <f>VLOOKUP(A186,Asteriscati25!B:N,13,0)</f>
        <v>#N/A</v>
      </c>
      <c r="K186" s="29">
        <v>0.0</v>
      </c>
      <c r="L186" s="19" t="str">
        <f t="shared" si="57"/>
        <v>#REF!</v>
      </c>
      <c r="M186" s="19">
        <f>VLOOKUP(B186,FVM_Asta2425!A:M,13,0)</f>
        <v>57</v>
      </c>
      <c r="N186" s="19" t="str">
        <f t="shared" si="6"/>
        <v>#REF!</v>
      </c>
      <c r="O186" s="20">
        <f>VLOOKUP(B186,'FVM_1luglio-31luglio25'!D:Q,14,0)</f>
        <v>45</v>
      </c>
      <c r="P186" s="20">
        <f t="shared" si="55"/>
        <v>45</v>
      </c>
      <c r="Q186" s="21">
        <f t="shared" si="60"/>
        <v>7</v>
      </c>
      <c r="R186" s="21">
        <f t="shared" si="61"/>
        <v>7</v>
      </c>
      <c r="S186" s="20"/>
      <c r="T186" s="22"/>
      <c r="U186" s="23"/>
    </row>
    <row r="187" ht="22.5" hidden="1" customHeight="1">
      <c r="A187" s="9">
        <f>VLOOKUP(B187,FVM_astainv!A:B,2,0)</f>
        <v>6039</v>
      </c>
      <c r="B187" s="25" t="s">
        <v>746</v>
      </c>
      <c r="C187" s="11" t="s">
        <v>235</v>
      </c>
      <c r="D187" s="12" t="str">
        <f>VLOOKUP(B187,FVM_astainv!A:F,6,0)</f>
        <v>Juventus</v>
      </c>
      <c r="E187" s="13" t="str">
        <f>VLOOKUP(B187,FVM_astainv!A:D,4,0)</f>
        <v>B;Ds;E</v>
      </c>
      <c r="F187" s="11" t="s">
        <v>45</v>
      </c>
      <c r="G187" s="14">
        <v>45474.0</v>
      </c>
      <c r="H187" s="144">
        <f t="shared" si="58"/>
        <v>45839</v>
      </c>
      <c r="I187" s="11" t="s">
        <v>46</v>
      </c>
      <c r="J187" s="16" t="str">
        <f>VLOOKUP(A187,Asteriscati25!B:N,13,0)</f>
        <v>#N/A</v>
      </c>
      <c r="K187" s="29">
        <v>0.0</v>
      </c>
      <c r="L187" s="19" t="str">
        <f t="shared" si="57"/>
        <v>#REF!</v>
      </c>
      <c r="M187" s="19">
        <f>VLOOKUP(B187,FVM_Asta2425!A:M,13,0)</f>
        <v>18</v>
      </c>
      <c r="N187" s="19" t="str">
        <f t="shared" si="6"/>
        <v>#REF!</v>
      </c>
      <c r="O187" s="20">
        <f>VLOOKUP(B187,'FVM_1luglio-31luglio25'!D:Q,14,0)</f>
        <v>12</v>
      </c>
      <c r="P187" s="20">
        <f t="shared" si="55"/>
        <v>12</v>
      </c>
      <c r="Q187" s="21">
        <f t="shared" si="60"/>
        <v>2</v>
      </c>
      <c r="R187" s="21">
        <f t="shared" si="61"/>
        <v>1</v>
      </c>
      <c r="S187" s="20"/>
      <c r="T187" s="22"/>
      <c r="U187" s="23"/>
    </row>
    <row r="188" ht="22.5" hidden="1" customHeight="1">
      <c r="A188" s="9">
        <f>VLOOKUP(B188,FVM_astainv!A:B,2,0)</f>
        <v>6884</v>
      </c>
      <c r="B188" s="25" t="s">
        <v>247</v>
      </c>
      <c r="C188" s="11" t="s">
        <v>235</v>
      </c>
      <c r="D188" s="12" t="str">
        <f>VLOOKUP(B188,FVM_astainv!A:F,6,0)</f>
        <v>Juventus</v>
      </c>
      <c r="E188" s="13" t="str">
        <f>VLOOKUP(B188,FVM_astainv!A:D,4,0)</f>
        <v>W;A</v>
      </c>
      <c r="F188" s="11" t="s">
        <v>59</v>
      </c>
      <c r="G188" s="14">
        <v>45474.0</v>
      </c>
      <c r="H188" s="144">
        <f t="shared" si="58"/>
        <v>46569</v>
      </c>
      <c r="I188" s="11" t="s">
        <v>71</v>
      </c>
      <c r="J188" s="16" t="str">
        <f>VLOOKUP(A188,Asteriscati25!B:N,13,0)</f>
        <v>#N/A</v>
      </c>
      <c r="K188" s="29">
        <v>0.2</v>
      </c>
      <c r="L188" s="19" t="str">
        <f t="shared" si="57"/>
        <v>#REF!</v>
      </c>
      <c r="M188" s="19">
        <f>VLOOKUP(B188,FVM_Asta2425!A:M,13,0)</f>
        <v>22</v>
      </c>
      <c r="N188" s="19" t="str">
        <f t="shared" si="6"/>
        <v>#REF!</v>
      </c>
      <c r="O188" s="20">
        <f>VLOOKUP(B188,'FVM_1luglio-31luglio25'!D:Q,14,0)</f>
        <v>22</v>
      </c>
      <c r="P188" s="20">
        <f t="shared" si="55"/>
        <v>22</v>
      </c>
      <c r="Q188" s="21">
        <f t="shared" si="60"/>
        <v>3</v>
      </c>
      <c r="R188" s="21">
        <f t="shared" si="61"/>
        <v>1</v>
      </c>
      <c r="S188" s="20"/>
      <c r="T188" s="11" t="s">
        <v>235</v>
      </c>
      <c r="U188" s="23"/>
    </row>
    <row r="189" ht="22.5" hidden="1" customHeight="1">
      <c r="A189" s="9">
        <f>VLOOKUP(B189,FVM_astainv!A:B,2,0)</f>
        <v>779</v>
      </c>
      <c r="B189" s="25" t="s">
        <v>747</v>
      </c>
      <c r="C189" s="11" t="s">
        <v>235</v>
      </c>
      <c r="D189" s="12" t="str">
        <f>VLOOKUP(B189,FVM_astainv!A:F,6,0)</f>
        <v>Roma</v>
      </c>
      <c r="E189" s="13" t="str">
        <f>VLOOKUP(B189,FVM_astainv!A:D,4,0)</f>
        <v>M;C</v>
      </c>
      <c r="F189" s="11" t="s">
        <v>45</v>
      </c>
      <c r="G189" s="14">
        <v>45474.0</v>
      </c>
      <c r="H189" s="144">
        <f t="shared" si="58"/>
        <v>45839</v>
      </c>
      <c r="I189" s="11" t="s">
        <v>46</v>
      </c>
      <c r="J189" s="16" t="str">
        <f>VLOOKUP(A189,Asteriscati25!B:N,13,0)</f>
        <v>#N/A</v>
      </c>
      <c r="K189" s="29">
        <v>0.0</v>
      </c>
      <c r="L189" s="19" t="str">
        <f t="shared" si="57"/>
        <v>#REF!</v>
      </c>
      <c r="M189" s="19">
        <f>VLOOKUP(B189,FVM_Asta2425!A:M,13,0)</f>
        <v>22</v>
      </c>
      <c r="N189" s="19" t="str">
        <f t="shared" si="6"/>
        <v>#REF!</v>
      </c>
      <c r="O189" s="20">
        <f>VLOOKUP(B189,'FVM_1luglio-31luglio25'!D:Q,14,0)</f>
        <v>29</v>
      </c>
      <c r="P189" s="20">
        <f t="shared" si="55"/>
        <v>29</v>
      </c>
      <c r="Q189" s="21">
        <f t="shared" si="60"/>
        <v>2.5</v>
      </c>
      <c r="R189" s="21">
        <f t="shared" si="61"/>
        <v>1.5</v>
      </c>
      <c r="S189" s="20"/>
      <c r="T189" s="22"/>
      <c r="U189" s="23"/>
    </row>
    <row r="190" ht="22.5" hidden="1" customHeight="1">
      <c r="A190" s="9">
        <f>VLOOKUP(B190,FVM_astainv!A:B,2,0)</f>
        <v>22</v>
      </c>
      <c r="B190" s="25" t="s">
        <v>748</v>
      </c>
      <c r="C190" s="11" t="s">
        <v>235</v>
      </c>
      <c r="D190" s="12" t="str">
        <f>VLOOKUP(B190,FVM_astainv!A:F,6,0)</f>
        <v>Atalanta</v>
      </c>
      <c r="E190" s="13" t="str">
        <f>VLOOKUP(B190,FVM_astainv!A:D,4,0)</f>
        <v>M;C</v>
      </c>
      <c r="F190" s="11" t="s">
        <v>45</v>
      </c>
      <c r="G190" s="14">
        <v>45474.0</v>
      </c>
      <c r="H190" s="144">
        <f t="shared" si="58"/>
        <v>45839</v>
      </c>
      <c r="I190" s="11" t="s">
        <v>48</v>
      </c>
      <c r="J190" s="16" t="str">
        <f>VLOOKUP(A190,Asteriscati25!B:N,13,0)</f>
        <v>#N/A</v>
      </c>
      <c r="K190" s="29">
        <v>0.0</v>
      </c>
      <c r="L190" s="19" t="str">
        <f t="shared" si="57"/>
        <v>#REF!</v>
      </c>
      <c r="M190" s="19">
        <f>VLOOKUP(B190,FVM_Asta2425!A:M,13,0)</f>
        <v>18</v>
      </c>
      <c r="N190" s="19" t="str">
        <f t="shared" si="6"/>
        <v>#REF!</v>
      </c>
      <c r="O190" s="20">
        <f>VLOOKUP(B190,'FVM_1luglio-31luglio25'!D:Q,14,0)</f>
        <v>32</v>
      </c>
      <c r="P190" s="20">
        <f t="shared" si="55"/>
        <v>32</v>
      </c>
      <c r="Q190" s="21">
        <f t="shared" si="60"/>
        <v>2</v>
      </c>
      <c r="R190" s="21">
        <f t="shared" si="61"/>
        <v>2</v>
      </c>
      <c r="S190" s="20"/>
      <c r="T190" s="22"/>
      <c r="U190" s="23"/>
    </row>
    <row r="191" ht="22.5" hidden="1" customHeight="1">
      <c r="A191" s="9">
        <f>VLOOKUP(B191,FVM_astainv!A:B,2,0)</f>
        <v>5885</v>
      </c>
      <c r="B191" s="25" t="s">
        <v>722</v>
      </c>
      <c r="C191" s="11" t="s">
        <v>235</v>
      </c>
      <c r="D191" s="12" t="str">
        <f>VLOOKUP(B191,FVM_astainv!A:F,6,0)</f>
        <v>Fiorentina</v>
      </c>
      <c r="E191" s="13" t="str">
        <f>VLOOKUP(B191,FVM_astainv!A:D,4,0)</f>
        <v>Dd;E</v>
      </c>
      <c r="F191" s="11" t="s">
        <v>45</v>
      </c>
      <c r="G191" s="14">
        <v>45474.0</v>
      </c>
      <c r="H191" s="144">
        <f t="shared" si="58"/>
        <v>45839</v>
      </c>
      <c r="I191" s="11" t="s">
        <v>71</v>
      </c>
      <c r="J191" s="16" t="str">
        <f>VLOOKUP(A191,Asteriscati25!B:N,13,0)</f>
        <v>#N/A</v>
      </c>
      <c r="K191" s="29">
        <v>0.2</v>
      </c>
      <c r="L191" s="19" t="str">
        <f t="shared" si="57"/>
        <v>#REF!</v>
      </c>
      <c r="M191" s="19">
        <f>VLOOKUP(B191,FVM_Asta2425!A:M,13,0)</f>
        <v>25</v>
      </c>
      <c r="N191" s="19" t="str">
        <f t="shared" si="6"/>
        <v>#REF!</v>
      </c>
      <c r="O191" s="20">
        <f>VLOOKUP(B191,'FVM_1luglio-31luglio25'!D:Q,14,0)</f>
        <v>33</v>
      </c>
      <c r="P191" s="20">
        <f t="shared" si="55"/>
        <v>33</v>
      </c>
      <c r="Q191" s="21">
        <f t="shared" si="60"/>
        <v>2.5</v>
      </c>
      <c r="R191" s="21">
        <f t="shared" si="61"/>
        <v>0.5</v>
      </c>
      <c r="S191" s="20"/>
      <c r="T191" s="11" t="s">
        <v>235</v>
      </c>
      <c r="U191" s="23"/>
    </row>
    <row r="192" ht="22.5" hidden="1" customHeight="1">
      <c r="A192" s="9">
        <f>VLOOKUP(B192,FVM_astainv!A:B,2,0)</f>
        <v>6684</v>
      </c>
      <c r="B192" s="25" t="s">
        <v>749</v>
      </c>
      <c r="C192" s="11" t="s">
        <v>235</v>
      </c>
      <c r="D192" s="12" t="str">
        <f>VLOOKUP(B192,FVM_astainv!A:F,6,0)</f>
        <v>Udinese</v>
      </c>
      <c r="E192" s="13" t="str">
        <f>VLOOKUP(B192,FVM_astainv!A:D,4,0)</f>
        <v>C;T</v>
      </c>
      <c r="F192" s="11" t="s">
        <v>45</v>
      </c>
      <c r="G192" s="14">
        <v>45474.0</v>
      </c>
      <c r="H192" s="144">
        <f t="shared" si="58"/>
        <v>45839</v>
      </c>
      <c r="I192" s="11" t="s">
        <v>48</v>
      </c>
      <c r="J192" s="16" t="str">
        <f>VLOOKUP(A192,Asteriscati25!B:N,13,0)</f>
        <v>#N/A</v>
      </c>
      <c r="K192" s="29">
        <v>0.0</v>
      </c>
      <c r="L192" s="19" t="str">
        <f t="shared" si="57"/>
        <v>#REF!</v>
      </c>
      <c r="M192" s="19">
        <f>VLOOKUP(B192,FVM_Asta2425!A:M,13,0)</f>
        <v>12</v>
      </c>
      <c r="N192" s="19" t="str">
        <f t="shared" si="6"/>
        <v>#REF!</v>
      </c>
      <c r="O192" s="20">
        <f>VLOOKUP(B192,'FVM_1luglio-31luglio25'!D:Q,14,0)</f>
        <v>17</v>
      </c>
      <c r="P192" s="20">
        <f t="shared" si="55"/>
        <v>17</v>
      </c>
      <c r="Q192" s="21">
        <f t="shared" si="60"/>
        <v>1.5</v>
      </c>
      <c r="R192" s="21">
        <f t="shared" si="61"/>
        <v>1.5</v>
      </c>
      <c r="S192" s="20"/>
      <c r="T192" s="22"/>
      <c r="U192" s="23"/>
    </row>
    <row r="193" ht="22.5" hidden="1" customHeight="1">
      <c r="A193" s="9">
        <f>VLOOKUP(B193,FVM_astainv!A:B,2,0)</f>
        <v>4479</v>
      </c>
      <c r="B193" s="25" t="s">
        <v>253</v>
      </c>
      <c r="C193" s="11" t="s">
        <v>235</v>
      </c>
      <c r="D193" s="12" t="str">
        <f>VLOOKUP(B193,FVM_astainv!A:F,6,0)</f>
        <v>Torino</v>
      </c>
      <c r="E193" s="13" t="str">
        <f>VLOOKUP(B193,FVM_astainv!A:D,4,0)</f>
        <v>W;T</v>
      </c>
      <c r="F193" s="11" t="s">
        <v>141</v>
      </c>
      <c r="G193" s="14">
        <v>45689.0</v>
      </c>
      <c r="H193" s="144">
        <f t="shared" si="58"/>
        <v>46235</v>
      </c>
      <c r="I193" s="11" t="s">
        <v>93</v>
      </c>
      <c r="J193" s="16" t="str">
        <f>VLOOKUP(A193,Asteriscati25!B:N,13,0)</f>
        <v>#N/A</v>
      </c>
      <c r="K193" s="29">
        <v>0.0</v>
      </c>
      <c r="L193" s="27">
        <v>56.0</v>
      </c>
      <c r="M193" s="19">
        <f>VLOOKUP(B193,FVM_astainv!A:N,14,0)</f>
        <v>25</v>
      </c>
      <c r="N193" s="19" t="str">
        <f t="shared" si="6"/>
        <v>#REF!</v>
      </c>
      <c r="O193" s="20">
        <f>VLOOKUP(B193,'FVM_1luglio-31luglio25'!D:Q,14,0)</f>
        <v>45</v>
      </c>
      <c r="P193" s="20">
        <f t="shared" si="55"/>
        <v>45</v>
      </c>
      <c r="Q193" s="21">
        <f>IF(OR(F193="Standard",F193="Standard Inverno"),CEILING((M193/10),0.5),
IF(OR(F193="Diritto 1+1",F193="Inverno Diritto 0,5 + 1"),CEILING((M193/10)*1.3,0.5),
CEILING((M193/10)*1.15,0.5)))</f>
        <v>3</v>
      </c>
      <c r="R193" s="21">
        <f t="shared" si="61"/>
        <v>1.5</v>
      </c>
      <c r="S193" s="20"/>
      <c r="T193" s="17"/>
      <c r="U193" s="10"/>
    </row>
    <row r="194" ht="22.5" hidden="1" customHeight="1">
      <c r="A194" s="9">
        <f>VLOOKUP(B194,FVM_astainv!A:B,2,0)</f>
        <v>4686</v>
      </c>
      <c r="B194" s="25" t="s">
        <v>750</v>
      </c>
      <c r="C194" s="11" t="s">
        <v>235</v>
      </c>
      <c r="D194" s="12" t="str">
        <f>VLOOKUP(B194,FVM_astainv!A:F,6,0)</f>
        <v>Milan</v>
      </c>
      <c r="E194" s="13" t="str">
        <f>VLOOKUP(B194,FVM_astainv!A:D,4,0)</f>
        <v>M;C</v>
      </c>
      <c r="F194" s="11" t="s">
        <v>45</v>
      </c>
      <c r="G194" s="14">
        <v>45474.0</v>
      </c>
      <c r="H194" s="144">
        <f t="shared" si="58"/>
        <v>45839</v>
      </c>
      <c r="I194" s="11" t="s">
        <v>48</v>
      </c>
      <c r="J194" s="16" t="str">
        <f>VLOOKUP(A194,Asteriscati25!B:N,13,0)</f>
        <v>#N/A</v>
      </c>
      <c r="K194" s="29">
        <v>0.0</v>
      </c>
      <c r="L194" s="19" t="str">
        <f t="shared" ref="L194:L208" si="62">VLOOKUP(B194,Rose!B:D,3,0)</f>
        <v>#REF!</v>
      </c>
      <c r="M194" s="19">
        <f>VLOOKUP(B194,FVM_Asta2425!A:M,13,0)</f>
        <v>22</v>
      </c>
      <c r="N194" s="19" t="str">
        <f t="shared" si="6"/>
        <v>#REF!</v>
      </c>
      <c r="O194" s="20">
        <f>VLOOKUP(B194,'FVM_1luglio-31luglio25'!D:Q,14,0)</f>
        <v>22</v>
      </c>
      <c r="P194" s="20">
        <f t="shared" si="55"/>
        <v>22</v>
      </c>
      <c r="Q194" s="21">
        <f>IF(F194="Standard",CEILING((M194/10),0.5),
IF(OR(F194="Diritto 1+1",M194="Inverno Diritto 0,5 + 1"),CEILING((M194/10)*1.3,0.5),
CEILING((M194/10)*1.15,0.5)))</f>
        <v>2.5</v>
      </c>
      <c r="R194" s="21">
        <f t="shared" si="61"/>
        <v>2.5</v>
      </c>
      <c r="S194" s="20"/>
      <c r="T194" s="22"/>
      <c r="U194" s="23"/>
    </row>
    <row r="195" ht="22.5" hidden="1" customHeight="1">
      <c r="A195" s="9">
        <f>VLOOKUP(B195,FVM_astainv!A:B,2,0)</f>
        <v>2848</v>
      </c>
      <c r="B195" s="25" t="s">
        <v>256</v>
      </c>
      <c r="C195" s="11" t="s">
        <v>235</v>
      </c>
      <c r="D195" s="12" t="str">
        <f>VLOOKUP(B195,FVM_astainv!A:F,6,0)</f>
        <v>Inter</v>
      </c>
      <c r="E195" s="13" t="str">
        <f>VLOOKUP(B195,FVM_astainv!A:D,4,0)</f>
        <v>C;T</v>
      </c>
      <c r="F195" s="17" t="str">
        <f>VLOOKUP(B195,'situazione contratti estate 24'!A:I,9,0)</f>
        <v>Obbligo 1+2</v>
      </c>
      <c r="G195" s="14">
        <v>45108.0</v>
      </c>
      <c r="H195" s="144">
        <f t="shared" si="58"/>
        <v>46204</v>
      </c>
      <c r="I195" s="11" t="s">
        <v>48</v>
      </c>
      <c r="J195" s="16" t="str">
        <f>VLOOKUP(A195,Asteriscati25!B:N,13,0)</f>
        <v>#N/A</v>
      </c>
      <c r="K195" s="26">
        <v>0.0</v>
      </c>
      <c r="L195" s="19" t="str">
        <f t="shared" si="62"/>
        <v>#REF!</v>
      </c>
      <c r="M195" s="19">
        <f>VLOOKUP(B195,FVM_Asta2324!C:M,11,0)</f>
        <v>54</v>
      </c>
      <c r="N195" s="19" t="str">
        <f t="shared" si="6"/>
        <v>#REF!</v>
      </c>
      <c r="O195" s="20">
        <f>VLOOKUP(B195,'FVM_1luglio-31luglio25'!D:Q,14,0)</f>
        <v>41</v>
      </c>
      <c r="P195" s="20">
        <f t="shared" si="55"/>
        <v>41</v>
      </c>
      <c r="Q195" s="21">
        <f>VLOOKUP(B195,'situazione contratti estate 24'!A:K,11,0)</f>
        <v>6.5</v>
      </c>
      <c r="R195" s="21">
        <f t="shared" si="61"/>
        <v>6.5</v>
      </c>
      <c r="S195" s="20"/>
      <c r="T195" s="22"/>
      <c r="U195" s="23"/>
    </row>
    <row r="196" ht="22.5" hidden="1" customHeight="1">
      <c r="A196" s="9">
        <f>VLOOKUP(B196,FVM_astainv!A:B,2,0)</f>
        <v>5526</v>
      </c>
      <c r="B196" s="25" t="s">
        <v>269</v>
      </c>
      <c r="C196" s="11" t="s">
        <v>235</v>
      </c>
      <c r="D196" s="12" t="str">
        <f>VLOOKUP(B196,FVM_astainv!A:F,6,0)</f>
        <v>Atalanta</v>
      </c>
      <c r="E196" s="13" t="str">
        <f>VLOOKUP(B196,FVM_astainv!A:D,4,0)</f>
        <v>Dc</v>
      </c>
      <c r="F196" s="17" t="str">
        <f>VLOOKUP(B196,'situazione contratti estate 24'!A:I,9,0)</f>
        <v>Obbligo 1+2</v>
      </c>
      <c r="G196" s="14">
        <v>45108.0</v>
      </c>
      <c r="H196" s="144">
        <f t="shared" si="58"/>
        <v>46204</v>
      </c>
      <c r="I196" s="11" t="s">
        <v>65</v>
      </c>
      <c r="J196" s="16" t="str">
        <f>VLOOKUP(A196,Asteriscati25!B:N,13,0)</f>
        <v>#N/A</v>
      </c>
      <c r="K196" s="26">
        <v>0.0</v>
      </c>
      <c r="L196" s="19" t="str">
        <f t="shared" si="62"/>
        <v>#REF!</v>
      </c>
      <c r="M196" s="19">
        <f>VLOOKUP(B196,FVM_Asta2324!C:M,11,0)</f>
        <v>30</v>
      </c>
      <c r="N196" s="19" t="str">
        <f t="shared" si="6"/>
        <v>#REF!</v>
      </c>
      <c r="O196" s="20">
        <f>VLOOKUP(B196,'FVM_1luglio-31luglio25'!D:Q,14,0)</f>
        <v>9</v>
      </c>
      <c r="P196" s="20">
        <f t="shared" si="55"/>
        <v>9</v>
      </c>
      <c r="Q196" s="21">
        <f>VLOOKUP(B196,'situazione contratti estate 24'!A:K,11,0)</f>
        <v>3.5</v>
      </c>
      <c r="R196" s="21">
        <f t="shared" si="61"/>
        <v>3.5</v>
      </c>
      <c r="S196" s="20"/>
      <c r="T196" s="22"/>
      <c r="U196" s="23"/>
    </row>
    <row r="197" ht="22.5" hidden="1" customHeight="1">
      <c r="A197" s="9">
        <f>VLOOKUP(B197,FVM_astainv!A:B,2,0)</f>
        <v>5513</v>
      </c>
      <c r="B197" s="25" t="s">
        <v>751</v>
      </c>
      <c r="C197" s="11" t="s">
        <v>235</v>
      </c>
      <c r="D197" s="12" t="str">
        <f>VLOOKUP(B197,FVM_astainv!A:F,6,0)</f>
        <v>Inter</v>
      </c>
      <c r="E197" s="13" t="str">
        <f>VLOOKUP(B197,FVM_astainv!A:D,4,0)</f>
        <v>E</v>
      </c>
      <c r="F197" s="17" t="str">
        <f>VLOOKUP(B197,'situazione contratti estate 24'!A:I,9,0)</f>
        <v>Obbligo 1+1</v>
      </c>
      <c r="G197" s="14">
        <v>45108.0</v>
      </c>
      <c r="H197" s="144">
        <f t="shared" si="58"/>
        <v>45839</v>
      </c>
      <c r="I197" s="11" t="s">
        <v>605</v>
      </c>
      <c r="J197" s="16" t="str">
        <f>VLOOKUP(A197,Asteriscati25!B:N,13,0)</f>
        <v>#N/A</v>
      </c>
      <c r="K197" s="26">
        <v>0.0</v>
      </c>
      <c r="L197" s="19" t="str">
        <f t="shared" si="62"/>
        <v>#REF!</v>
      </c>
      <c r="M197" s="19">
        <f>VLOOKUP(B197,FVM_Asta2324!C:M,11,0)</f>
        <v>39</v>
      </c>
      <c r="N197" s="19" t="str">
        <f t="shared" si="6"/>
        <v>#REF!</v>
      </c>
      <c r="O197" s="20">
        <f>VLOOKUP(B197,'FVM_1luglio-31luglio25'!D:Q,14,0)</f>
        <v>69</v>
      </c>
      <c r="P197" s="20">
        <f t="shared" si="55"/>
        <v>69</v>
      </c>
      <c r="Q197" s="21">
        <f>VLOOKUP(B197,'situazione contratti estate 24'!A:K,11,0)</f>
        <v>4.5</v>
      </c>
      <c r="R197" s="21" t="str">
        <f t="shared" si="61"/>
        <v/>
      </c>
      <c r="S197" s="20"/>
      <c r="T197" s="22"/>
      <c r="U197" s="23"/>
    </row>
    <row r="198" ht="22.5" hidden="1" customHeight="1">
      <c r="A198" s="9">
        <f>VLOOKUP(B198,FVM_astainv!A:B,2,0)</f>
        <v>5119</v>
      </c>
      <c r="B198" s="25" t="s">
        <v>387</v>
      </c>
      <c r="C198" s="11" t="s">
        <v>235</v>
      </c>
      <c r="D198" s="12" t="str">
        <f>VLOOKUP(B198,FVM_astainv!A:F,6,0)</f>
        <v>Atalanta</v>
      </c>
      <c r="E198" s="13" t="str">
        <f>VLOOKUP(B198,FVM_astainv!A:D,4,0)</f>
        <v>T</v>
      </c>
      <c r="F198" s="17" t="str">
        <f>VLOOKUP(B198,'situazione contratti estate 24'!A:I,9,0)</f>
        <v>Diritto 1+1</v>
      </c>
      <c r="G198" s="14">
        <v>45108.0</v>
      </c>
      <c r="H198" s="144">
        <f t="shared" si="58"/>
        <v>45839</v>
      </c>
      <c r="I198" s="11" t="s">
        <v>605</v>
      </c>
      <c r="J198" s="16" t="str">
        <f>VLOOKUP(A198,Asteriscati25!B:N,13,0)</f>
        <v>#N/A</v>
      </c>
      <c r="K198" s="26">
        <v>0.2</v>
      </c>
      <c r="L198" s="19" t="str">
        <f t="shared" si="62"/>
        <v>#REF!</v>
      </c>
      <c r="M198" s="19">
        <f>VLOOKUP(B198,FVM_Asta2324!C:M,11,0)</f>
        <v>50</v>
      </c>
      <c r="N198" s="19" t="str">
        <f t="shared" si="6"/>
        <v>#REF!</v>
      </c>
      <c r="O198" s="20">
        <f>VLOOKUP(B198,'FVM_1luglio-31luglio25'!D:Q,14,0)</f>
        <v>28</v>
      </c>
      <c r="P198" s="20">
        <f t="shared" si="55"/>
        <v>28</v>
      </c>
      <c r="Q198" s="21">
        <f>VLOOKUP(B198,'situazione contratti estate 24'!A:K,11,0)</f>
        <v>6.5</v>
      </c>
      <c r="R198" s="21" t="str">
        <f t="shared" si="61"/>
        <v/>
      </c>
      <c r="S198" s="20"/>
      <c r="T198" s="11" t="s">
        <v>235</v>
      </c>
      <c r="U198" s="10"/>
    </row>
    <row r="199" ht="22.5" hidden="1" customHeight="1">
      <c r="A199" s="9">
        <f>VLOOKUP(B199,FVM_astainv!A:B,2,0)</f>
        <v>632</v>
      </c>
      <c r="B199" s="25" t="s">
        <v>752</v>
      </c>
      <c r="C199" s="11" t="s">
        <v>235</v>
      </c>
      <c r="D199" s="12" t="str">
        <f>VLOOKUP(B199,FVM_astainv!A:F,6,0)</f>
        <v>Lazio</v>
      </c>
      <c r="E199" s="13" t="str">
        <f>VLOOKUP(B199,FVM_astainv!A:D,4,0)</f>
        <v>W;A</v>
      </c>
      <c r="F199" s="17" t="str">
        <f>VLOOKUP(B199,'situazione contratti estate 24'!A:I,9,0)</f>
        <v>Obbligo 1+1</v>
      </c>
      <c r="G199" s="14">
        <v>45108.0</v>
      </c>
      <c r="H199" s="144">
        <f t="shared" si="58"/>
        <v>45839</v>
      </c>
      <c r="I199" s="11" t="s">
        <v>605</v>
      </c>
      <c r="J199" s="16" t="str">
        <f>VLOOKUP(A199,Asteriscati25!B:N,13,0)</f>
        <v>#N/A</v>
      </c>
      <c r="K199" s="26">
        <v>0.0</v>
      </c>
      <c r="L199" s="19" t="str">
        <f t="shared" si="62"/>
        <v>#REF!</v>
      </c>
      <c r="M199" s="19">
        <f>VLOOKUP(B199,FVM_Asta2324!C:M,11,0)</f>
        <v>155</v>
      </c>
      <c r="N199" s="19" t="str">
        <f t="shared" si="6"/>
        <v>#REF!</v>
      </c>
      <c r="O199" s="20">
        <f>VLOOKUP(B199,'FVM_1luglio-31luglio25'!D:Q,14,0)</f>
        <v>152</v>
      </c>
      <c r="P199" s="20">
        <f t="shared" si="55"/>
        <v>152</v>
      </c>
      <c r="Q199" s="21">
        <f>VLOOKUP(B199,'situazione contratti estate 24'!A:K,11,0)</f>
        <v>18</v>
      </c>
      <c r="R199" s="21" t="str">
        <f t="shared" si="61"/>
        <v/>
      </c>
      <c r="S199" s="20"/>
      <c r="T199" s="22"/>
      <c r="U199" s="23"/>
    </row>
    <row r="200" ht="22.5" hidden="1" customHeight="1">
      <c r="A200" s="9">
        <f>VLOOKUP(B200,FVM_astainv!A:B,2,0)</f>
        <v>4730</v>
      </c>
      <c r="B200" s="25" t="s">
        <v>753</v>
      </c>
      <c r="C200" s="11" t="s">
        <v>235</v>
      </c>
      <c r="D200" s="12" t="str">
        <f>VLOOKUP(B200,FVM_astainv!A:F,6,0)</f>
        <v>Atalanta</v>
      </c>
      <c r="E200" s="13" t="str">
        <f>VLOOKUP(B200,FVM_astainv!A:D,4,0)</f>
        <v>A</v>
      </c>
      <c r="F200" s="17" t="str">
        <f>VLOOKUP(B200,'situazione contratti estate 24'!A:I,9,0)</f>
        <v>Diritto 1+1</v>
      </c>
      <c r="G200" s="14">
        <v>45108.0</v>
      </c>
      <c r="H200" s="144">
        <f t="shared" si="58"/>
        <v>45839</v>
      </c>
      <c r="I200" s="11" t="s">
        <v>605</v>
      </c>
      <c r="J200" s="16" t="str">
        <f>VLOOKUP(A200,Asteriscati25!B:N,13,0)</f>
        <v>#N/A</v>
      </c>
      <c r="K200" s="26">
        <v>0.0</v>
      </c>
      <c r="L200" s="19" t="str">
        <f t="shared" si="62"/>
        <v>#REF!</v>
      </c>
      <c r="M200" s="19">
        <f>VLOOKUP(B200,FVM_Asta2324!C:M,11,0)</f>
        <v>165</v>
      </c>
      <c r="N200" s="19" t="str">
        <f t="shared" si="6"/>
        <v>#REF!</v>
      </c>
      <c r="O200" s="20">
        <f>VLOOKUP(B200,'FVM_1luglio-31luglio25'!D:Q,14,0)</f>
        <v>282</v>
      </c>
      <c r="P200" s="20">
        <f t="shared" si="55"/>
        <v>282</v>
      </c>
      <c r="Q200" s="21">
        <f>VLOOKUP(B200,'situazione contratti estate 24'!A:K,11,0)</f>
        <v>21.5</v>
      </c>
      <c r="R200" s="21" t="str">
        <f t="shared" si="61"/>
        <v/>
      </c>
      <c r="S200" s="20"/>
      <c r="T200" s="22"/>
      <c r="U200" s="23"/>
    </row>
    <row r="201" ht="22.5" hidden="1" customHeight="1">
      <c r="A201" s="9">
        <f>VLOOKUP(B201,FVM_astainv!A:B,2,0)</f>
        <v>4911</v>
      </c>
      <c r="B201" s="25" t="s">
        <v>754</v>
      </c>
      <c r="C201" s="11" t="s">
        <v>235</v>
      </c>
      <c r="D201" s="12" t="str">
        <f>VLOOKUP(B201,FVM_astainv!A:F,6,0)</f>
        <v>Juventus</v>
      </c>
      <c r="E201" s="13" t="str">
        <f>VLOOKUP(B201,FVM_astainv!A:D,4,0)</f>
        <v>C</v>
      </c>
      <c r="F201" s="11" t="s">
        <v>59</v>
      </c>
      <c r="G201" s="14">
        <v>45474.0</v>
      </c>
      <c r="H201" s="144">
        <f t="shared" si="58"/>
        <v>46569</v>
      </c>
      <c r="I201" s="11" t="s">
        <v>605</v>
      </c>
      <c r="J201" s="16" t="str">
        <f>VLOOKUP(A201,Asteriscati25!B:N,13,0)</f>
        <v>#N/A</v>
      </c>
      <c r="K201" s="29">
        <v>0.0</v>
      </c>
      <c r="L201" s="19" t="str">
        <f t="shared" si="62"/>
        <v>#REF!</v>
      </c>
      <c r="M201" s="19">
        <f>VLOOKUP(B201,FVM_Asta2425!A:M,13,0)</f>
        <v>66</v>
      </c>
      <c r="N201" s="19" t="str">
        <f t="shared" si="6"/>
        <v>#REF!</v>
      </c>
      <c r="O201" s="20">
        <f>VLOOKUP(B201,'FVM_1luglio-31luglio25'!D:Q,14,0)</f>
        <v>37</v>
      </c>
      <c r="P201" s="20">
        <f t="shared" si="55"/>
        <v>37</v>
      </c>
      <c r="Q201" s="21">
        <f t="shared" ref="Q201:Q205" si="63">IF(F201="Standard",CEILING((M201/10),0.5),
IF(OR(F201="Diritto 1+1",M201="Inverno Diritto 0,5 + 1"),CEILING((M201/10)*1.3,0.5),
CEILING((M201/10)*1.15,0.5)))</f>
        <v>8</v>
      </c>
      <c r="R201" s="101">
        <v>0.0</v>
      </c>
      <c r="S201" s="20"/>
      <c r="T201" s="22"/>
      <c r="U201" s="23"/>
    </row>
    <row r="202" ht="22.5" hidden="1" customHeight="1">
      <c r="A202" s="9">
        <f>VLOOKUP(B202,FVM_astainv!A:B,2,0)</f>
        <v>5919</v>
      </c>
      <c r="B202" s="25" t="s">
        <v>741</v>
      </c>
      <c r="C202" s="11" t="s">
        <v>235</v>
      </c>
      <c r="D202" s="12" t="str">
        <f>VLOOKUP(B202,FVM_astainv!A:F,6,0)</f>
        <v>Lazio</v>
      </c>
      <c r="E202" s="13" t="str">
        <f>VLOOKUP(B202,FVM_astainv!A:D,4,0)</f>
        <v>W</v>
      </c>
      <c r="F202" s="11" t="s">
        <v>45</v>
      </c>
      <c r="G202" s="14">
        <v>45474.0</v>
      </c>
      <c r="H202" s="144">
        <f t="shared" si="58"/>
        <v>45839</v>
      </c>
      <c r="I202" s="11" t="s">
        <v>89</v>
      </c>
      <c r="J202" s="16" t="str">
        <f>VLOOKUP(A202,Asteriscati25!B:N,13,0)</f>
        <v>#N/A</v>
      </c>
      <c r="K202" s="26">
        <v>0.8</v>
      </c>
      <c r="L202" s="19" t="str">
        <f t="shared" si="62"/>
        <v>#REF!</v>
      </c>
      <c r="M202" s="19">
        <f>VLOOKUP(B202,FVM_Asta2425!A:M,13,0)</f>
        <v>15</v>
      </c>
      <c r="N202" s="19" t="str">
        <f t="shared" si="6"/>
        <v>#REF!</v>
      </c>
      <c r="O202" s="20">
        <f>VLOOKUP(B202,'FVM_1luglio-31luglio25'!D:Q,14,0)</f>
        <v>12</v>
      </c>
      <c r="P202" s="20">
        <f t="shared" si="55"/>
        <v>12</v>
      </c>
      <c r="Q202" s="21">
        <f t="shared" si="63"/>
        <v>1.5</v>
      </c>
      <c r="R202" s="21">
        <f t="shared" ref="R202:R209" si="64">IF(OR(I202="asta", I202="Svincolato riconferma anno corrente", I202="vivaio"), Q202,
IF(OR(I202="asta riparazione", I202="Svincolato obbligo anno precedente", I202="Svincolo pausa invernale"), MAX(0.5, CEILING(Q202 / 2, 0.5)),
IF(OR(I202="ceduto in prestito", I202="acquisito in prestito", I202="acquistato tit definitivo", I202="Ceduto tit definitivo"),CEILING(Q202 * K202, 0.5),
IF(I202="asteriscato", "inserire a mano", ""))))
</f>
        <v>1.5</v>
      </c>
      <c r="S202" s="20"/>
      <c r="T202" s="11" t="s">
        <v>193</v>
      </c>
      <c r="U202" s="23"/>
    </row>
    <row r="203" ht="22.5" hidden="1" customHeight="1">
      <c r="A203" s="9">
        <f>VLOOKUP(B203,FVM_astainv!A:B,2,0)</f>
        <v>610</v>
      </c>
      <c r="B203" s="25" t="s">
        <v>135</v>
      </c>
      <c r="C203" s="11" t="s">
        <v>235</v>
      </c>
      <c r="D203" s="12" t="str">
        <f>VLOOKUP(B203,FVM_astainv!A:F,6,0)</f>
        <v>Roma</v>
      </c>
      <c r="E203" s="13" t="str">
        <f>VLOOKUP(B203,FVM_astainv!A:D,4,0)</f>
        <v>Por</v>
      </c>
      <c r="F203" s="11" t="s">
        <v>45</v>
      </c>
      <c r="G203" s="14">
        <v>45474.0</v>
      </c>
      <c r="H203" s="144">
        <f t="shared" si="58"/>
        <v>45839</v>
      </c>
      <c r="I203" s="11" t="s">
        <v>122</v>
      </c>
      <c r="J203" s="16" t="str">
        <f>VLOOKUP(A203,Asteriscati25!B:N,13,0)</f>
        <v>#N/A</v>
      </c>
      <c r="K203" s="29">
        <v>0.6</v>
      </c>
      <c r="L203" s="19" t="str">
        <f t="shared" si="62"/>
        <v>#REF!</v>
      </c>
      <c r="M203" s="19">
        <f>VLOOKUP(B203,FVM_Asta2425!A:M,13,0)</f>
        <v>38</v>
      </c>
      <c r="N203" s="19" t="str">
        <f t="shared" si="6"/>
        <v>#REF!</v>
      </c>
      <c r="O203" s="20">
        <f>VLOOKUP(B203,'FVM_1luglio-31luglio25'!D:Q,14,0)</f>
        <v>19</v>
      </c>
      <c r="P203" s="20">
        <f t="shared" si="55"/>
        <v>19</v>
      </c>
      <c r="Q203" s="21">
        <f t="shared" si="63"/>
        <v>4</v>
      </c>
      <c r="R203" s="21">
        <f t="shared" si="64"/>
        <v>2.5</v>
      </c>
      <c r="S203" s="9">
        <v>1.0</v>
      </c>
      <c r="T203" s="11" t="s">
        <v>235</v>
      </c>
      <c r="U203" s="23"/>
    </row>
    <row r="204" ht="22.5" hidden="1" customHeight="1">
      <c r="A204" s="9">
        <f>VLOOKUP(B204,FVM_astainv!A:B,2,0)</f>
        <v>2406</v>
      </c>
      <c r="B204" s="25" t="s">
        <v>755</v>
      </c>
      <c r="C204" s="11" t="s">
        <v>235</v>
      </c>
      <c r="D204" s="12" t="str">
        <f>VLOOKUP(B204,FVM_astainv!A:F,6,0)</f>
        <v>Roma</v>
      </c>
      <c r="E204" s="13" t="str">
        <f>VLOOKUP(B204,FVM_astainv!A:D,4,0)</f>
        <v>Dc</v>
      </c>
      <c r="F204" s="11" t="s">
        <v>45</v>
      </c>
      <c r="G204" s="14">
        <v>45474.0</v>
      </c>
      <c r="H204" s="144">
        <f t="shared" si="58"/>
        <v>45839</v>
      </c>
      <c r="I204" s="11" t="s">
        <v>48</v>
      </c>
      <c r="J204" s="16" t="str">
        <f>VLOOKUP(A204,Asteriscati25!B:N,13,0)</f>
        <v>#N/A</v>
      </c>
      <c r="K204" s="29">
        <v>0.0</v>
      </c>
      <c r="L204" s="19" t="str">
        <f t="shared" si="62"/>
        <v>#REF!</v>
      </c>
      <c r="M204" s="19">
        <f>VLOOKUP(B204,FVM_Asta2425!A:M,13,0)</f>
        <v>19</v>
      </c>
      <c r="N204" s="19" t="str">
        <f t="shared" si="6"/>
        <v>#REF!</v>
      </c>
      <c r="O204" s="20">
        <f>VLOOKUP(B204,'FVM_1luglio-31luglio25'!D:Q,14,0)</f>
        <v>16</v>
      </c>
      <c r="P204" s="20">
        <f t="shared" si="55"/>
        <v>16</v>
      </c>
      <c r="Q204" s="21">
        <f t="shared" si="63"/>
        <v>2</v>
      </c>
      <c r="R204" s="21">
        <f t="shared" si="64"/>
        <v>2</v>
      </c>
      <c r="S204" s="20"/>
      <c r="T204" s="22"/>
      <c r="U204" s="23"/>
    </row>
    <row r="205" ht="22.5" hidden="1" customHeight="1">
      <c r="A205" s="9">
        <f>VLOOKUP(B205,FVM_astainv!A:B,2,0)</f>
        <v>4317</v>
      </c>
      <c r="B205" s="25" t="s">
        <v>756</v>
      </c>
      <c r="C205" s="11" t="s">
        <v>235</v>
      </c>
      <c r="D205" s="12" t="str">
        <f>VLOOKUP(B205,FVM_astainv!A:F,6,0)</f>
        <v>Roma</v>
      </c>
      <c r="E205" s="13" t="str">
        <f>VLOOKUP(B205,FVM_astainv!A:D,4,0)</f>
        <v>Dc</v>
      </c>
      <c r="F205" s="11" t="s">
        <v>45</v>
      </c>
      <c r="G205" s="14">
        <v>45474.0</v>
      </c>
      <c r="H205" s="144">
        <f t="shared" si="58"/>
        <v>45839</v>
      </c>
      <c r="I205" s="11" t="s">
        <v>122</v>
      </c>
      <c r="J205" s="16" t="str">
        <f>VLOOKUP(A205,Asteriscati25!B:N,13,0)</f>
        <v>#N/A</v>
      </c>
      <c r="K205" s="29">
        <v>0.6</v>
      </c>
      <c r="L205" s="19" t="str">
        <f t="shared" si="62"/>
        <v>#REF!</v>
      </c>
      <c r="M205" s="19">
        <f>VLOOKUP(B205,FVM_Asta2425!A:M,13,0)</f>
        <v>20</v>
      </c>
      <c r="N205" s="19" t="str">
        <f t="shared" si="6"/>
        <v>#REF!</v>
      </c>
      <c r="O205" s="20">
        <f>VLOOKUP(B205,'FVM_1luglio-31luglio25'!D:Q,14,0)</f>
        <v>22</v>
      </c>
      <c r="P205" s="20">
        <f t="shared" si="55"/>
        <v>22</v>
      </c>
      <c r="Q205" s="21">
        <f t="shared" si="63"/>
        <v>2</v>
      </c>
      <c r="R205" s="21">
        <f t="shared" si="64"/>
        <v>1.5</v>
      </c>
      <c r="S205" s="20"/>
      <c r="T205" s="22"/>
      <c r="U205" s="23"/>
    </row>
    <row r="206" ht="22.5" hidden="1" customHeight="1">
      <c r="A206" s="9">
        <f>VLOOKUP(B206,FVM_astainv!A:B,2,0)</f>
        <v>2816</v>
      </c>
      <c r="B206" s="25" t="s">
        <v>717</v>
      </c>
      <c r="C206" s="11" t="s">
        <v>235</v>
      </c>
      <c r="D206" s="12" t="str">
        <f>VLOOKUP(B206,FVM_astainv!A:F,6,0)</f>
        <v>Napoli</v>
      </c>
      <c r="E206" s="13" t="str">
        <f>VLOOKUP(B206,FVM_astainv!A:D,4,0)</f>
        <v>B;Dd;E</v>
      </c>
      <c r="F206" s="17" t="str">
        <f>VLOOKUP(B206,'situazione contratti estate 24'!A:I,9,0)</f>
        <v>Diritto 1+1</v>
      </c>
      <c r="G206" s="14">
        <v>45108.0</v>
      </c>
      <c r="H206" s="144">
        <f t="shared" si="58"/>
        <v>45839</v>
      </c>
      <c r="I206" s="11" t="s">
        <v>605</v>
      </c>
      <c r="J206" s="16" t="str">
        <f>VLOOKUP(A206,Asteriscati25!B:N,13,0)</f>
        <v>#N/A</v>
      </c>
      <c r="K206" s="26">
        <v>0.8</v>
      </c>
      <c r="L206" s="19" t="str">
        <f t="shared" si="62"/>
        <v>#REF!</v>
      </c>
      <c r="M206" s="19">
        <f>VLOOKUP(B206,FVM_Asta2324!C:M,11,0)</f>
        <v>96</v>
      </c>
      <c r="N206" s="19" t="str">
        <f t="shared" si="6"/>
        <v>#REF!</v>
      </c>
      <c r="O206" s="20">
        <f>VLOOKUP(B206,'FVM_1luglio-31luglio25'!D:Q,14,0)</f>
        <v>76</v>
      </c>
      <c r="P206" s="20">
        <f t="shared" si="55"/>
        <v>76</v>
      </c>
      <c r="Q206" s="21">
        <f>VLOOKUP(B206,'situazione contratti estate 24'!A:K,11,0)</f>
        <v>12.5</v>
      </c>
      <c r="R206" s="21" t="str">
        <f t="shared" si="64"/>
        <v/>
      </c>
      <c r="S206" s="20"/>
      <c r="T206" s="11" t="s">
        <v>193</v>
      </c>
      <c r="U206" s="23"/>
      <c r="V206" s="153"/>
      <c r="W206" s="153"/>
      <c r="X206" s="153"/>
      <c r="Y206" s="153"/>
      <c r="Z206" s="153"/>
      <c r="AA206" s="153"/>
      <c r="AB206" s="153"/>
      <c r="AC206" s="153"/>
      <c r="AD206" s="153"/>
      <c r="AE206" s="153"/>
      <c r="AF206" s="153"/>
      <c r="AG206" s="153"/>
      <c r="AH206" s="153"/>
      <c r="AI206" s="153"/>
      <c r="AJ206" s="153"/>
      <c r="AK206" s="153"/>
      <c r="AL206" s="153"/>
      <c r="AM206" s="153"/>
    </row>
    <row r="207" ht="22.5" hidden="1" customHeight="1">
      <c r="A207" s="9">
        <f>VLOOKUP(B207,FVM_astainv!A:B,2,0)</f>
        <v>5858</v>
      </c>
      <c r="B207" s="25" t="s">
        <v>757</v>
      </c>
      <c r="C207" s="11" t="s">
        <v>235</v>
      </c>
      <c r="D207" s="12" t="str">
        <f>VLOOKUP(B207,FVM_astainv!A:F,6,0)</f>
        <v>Bologna</v>
      </c>
      <c r="E207" s="13" t="str">
        <f>VLOOKUP(B207,FVM_astainv!A:D,4,0)</f>
        <v>C;T</v>
      </c>
      <c r="F207" s="17" t="str">
        <f>VLOOKUP(B207,'situazione contratti estate 24'!A:I,9,0)</f>
        <v>Obbligo 1+1</v>
      </c>
      <c r="G207" s="14">
        <v>45108.0</v>
      </c>
      <c r="H207" s="144">
        <f t="shared" si="58"/>
        <v>45839</v>
      </c>
      <c r="I207" s="11" t="s">
        <v>605</v>
      </c>
      <c r="J207" s="16" t="str">
        <f>VLOOKUP(A207,Asteriscati25!B:N,13,0)</f>
        <v>#N/A</v>
      </c>
      <c r="K207" s="26">
        <v>0.8</v>
      </c>
      <c r="L207" s="19" t="str">
        <f t="shared" si="62"/>
        <v>#REF!</v>
      </c>
      <c r="M207" s="19">
        <f>VLOOKUP(B207,FVM_Asta2324!C:M,11,0)</f>
        <v>74</v>
      </c>
      <c r="N207" s="19" t="str">
        <f t="shared" si="6"/>
        <v>#REF!</v>
      </c>
      <c r="O207" s="20">
        <f>VLOOKUP(B207,'FVM_1luglio-31luglio25'!D:Q,14,0)</f>
        <v>29</v>
      </c>
      <c r="P207" s="20">
        <f t="shared" si="55"/>
        <v>29</v>
      </c>
      <c r="Q207" s="21">
        <f>VLOOKUP(B207,'situazione contratti estate 24'!A:K,11,0)</f>
        <v>9</v>
      </c>
      <c r="R207" s="21" t="str">
        <f t="shared" si="64"/>
        <v/>
      </c>
      <c r="S207" s="20"/>
      <c r="T207" s="11" t="s">
        <v>90</v>
      </c>
      <c r="U207" s="10"/>
    </row>
    <row r="208" ht="22.5" hidden="1" customHeight="1">
      <c r="A208" s="9">
        <f>VLOOKUP(B208,FVM_astainv!A:B,2,0)</f>
        <v>4923</v>
      </c>
      <c r="B208" s="43" t="s">
        <v>758</v>
      </c>
      <c r="C208" s="44" t="s">
        <v>235</v>
      </c>
      <c r="D208" s="12" t="str">
        <f>VLOOKUP(B208,FVM_astainv!A:F,6,0)</f>
        <v>Empoli</v>
      </c>
      <c r="E208" s="13" t="str">
        <f>VLOOKUP(B208,FVM_astainv!A:D,4,0)</f>
        <v>Pc</v>
      </c>
      <c r="F208" s="192" t="str">
        <f>VLOOKUP(B208,'situazione contratti estate 24'!A:I,9,0)</f>
        <v>Obbligo 1+1</v>
      </c>
      <c r="G208" s="66">
        <v>45108.0</v>
      </c>
      <c r="H208" s="146">
        <f t="shared" si="58"/>
        <v>45839</v>
      </c>
      <c r="I208" s="11" t="s">
        <v>605</v>
      </c>
      <c r="J208" s="34" t="str">
        <f>VLOOKUP(A208,Asteriscati25!B:N,13,0)</f>
        <v>#N/A</v>
      </c>
      <c r="K208" s="193">
        <v>0.4</v>
      </c>
      <c r="L208" s="47" t="str">
        <f t="shared" si="62"/>
        <v>#REF!</v>
      </c>
      <c r="M208" s="47">
        <f>VLOOKUP(B208,FVM_Asta2324!C:M,11,0)</f>
        <v>33</v>
      </c>
      <c r="N208" s="19" t="str">
        <f t="shared" si="6"/>
        <v>#REF!</v>
      </c>
      <c r="O208" s="20">
        <f>VLOOKUP(B208,'FVM_1luglio-31luglio25'!D:Q,14,0)</f>
        <v>30</v>
      </c>
      <c r="P208" s="36">
        <f t="shared" si="55"/>
        <v>30</v>
      </c>
      <c r="Q208" s="119">
        <f>VLOOKUP(B208,'situazione contratti estate 24'!A:K,11,0)</f>
        <v>4</v>
      </c>
      <c r="R208" s="119" t="str">
        <f t="shared" si="64"/>
        <v/>
      </c>
      <c r="S208" s="37"/>
      <c r="T208" s="114" t="s">
        <v>90</v>
      </c>
      <c r="U208" s="115"/>
    </row>
    <row r="209" ht="22.5" hidden="1" customHeight="1">
      <c r="A209" s="9">
        <f>VLOOKUP(B209,FVM_astainv!A:B,2,0)</f>
        <v>6822</v>
      </c>
      <c r="B209" s="81" t="s">
        <v>251</v>
      </c>
      <c r="C209" s="11" t="s">
        <v>235</v>
      </c>
      <c r="D209" s="12" t="str">
        <f>VLOOKUP(B209,FVM_astainv!A:F,6,0)</f>
        <v>Genoa</v>
      </c>
      <c r="E209" s="13" t="str">
        <f>VLOOKUP(B209,FVM_astainv!A:D,4,0)</f>
        <v>Pc</v>
      </c>
      <c r="F209" s="11" t="s">
        <v>43</v>
      </c>
      <c r="G209" s="14">
        <v>45474.0</v>
      </c>
      <c r="H209" s="144">
        <f t="shared" si="58"/>
        <v>401768</v>
      </c>
      <c r="I209" s="11" t="s">
        <v>43</v>
      </c>
      <c r="J209" s="16" t="str">
        <f>VLOOKUP(A209,Asteriscati25!B:N,13,0)</f>
        <v>#N/A</v>
      </c>
      <c r="K209" s="29">
        <v>0.0</v>
      </c>
      <c r="L209" s="27">
        <v>1.0</v>
      </c>
      <c r="M209" s="19">
        <f>VLOOKUP(B209,FVM_Asta2425!A:M,13,0)</f>
        <v>1</v>
      </c>
      <c r="N209" s="19" t="str">
        <f t="shared" si="6"/>
        <v>#REF!</v>
      </c>
      <c r="O209" s="20">
        <f>VLOOKUP(B209,'FVM_1luglio-31luglio25'!D:Q,14,0)</f>
        <v>4</v>
      </c>
      <c r="P209" s="20">
        <f t="shared" si="55"/>
        <v>4</v>
      </c>
      <c r="Q209" s="21">
        <f t="shared" ref="Q209:Q212" si="65">IF(F209="Standard",CEILING((M209/10),0.5),
IF(OR(F209="Diritto 1+1",M209="Inverno Diritto 0,5 + 1"),CEILING((M209/10)*1.3,0.5),
CEILING((M209/10)*1.15,0.5)))</f>
        <v>0.5</v>
      </c>
      <c r="R209" s="21">
        <f t="shared" si="64"/>
        <v>0.5</v>
      </c>
      <c r="S209" s="20"/>
      <c r="T209" s="22"/>
      <c r="U209" s="23"/>
    </row>
    <row r="210" ht="22.5" hidden="1" customHeight="1">
      <c r="A210" s="9">
        <f>VLOOKUP(B210,FVM_astainv!A:B,2,0)</f>
        <v>6191</v>
      </c>
      <c r="B210" s="78" t="s">
        <v>288</v>
      </c>
      <c r="C210" s="11" t="s">
        <v>235</v>
      </c>
      <c r="D210" s="12" t="str">
        <f>VLOOKUP(B210,FVM_astainv!A:F,6,0)</f>
        <v>Verona</v>
      </c>
      <c r="E210" s="13" t="str">
        <f>VLOOKUP(B210,FVM_astainv!A:D,4,0)</f>
        <v>M;C</v>
      </c>
      <c r="F210" s="11" t="s">
        <v>43</v>
      </c>
      <c r="G210" s="14">
        <v>45474.0</v>
      </c>
      <c r="H210" s="144">
        <f t="shared" si="58"/>
        <v>401768</v>
      </c>
      <c r="I210" s="11" t="s">
        <v>46</v>
      </c>
      <c r="J210" s="16" t="str">
        <f>VLOOKUP(A210,Asteriscati25!B:N,13,0)</f>
        <v>#N/A</v>
      </c>
      <c r="K210" s="29">
        <v>0.0</v>
      </c>
      <c r="L210" s="27">
        <v>1.0</v>
      </c>
      <c r="M210" s="27">
        <v>1.0</v>
      </c>
      <c r="N210" s="19" t="str">
        <f t="shared" si="6"/>
        <v>#REF!</v>
      </c>
      <c r="O210" s="20">
        <f>VLOOKUP(B210,'FVM_1luglio-31luglio25'!D:Q,14,0)</f>
        <v>9</v>
      </c>
      <c r="P210" s="20">
        <f t="shared" si="55"/>
        <v>9</v>
      </c>
      <c r="Q210" s="21">
        <f t="shared" si="65"/>
        <v>0.5</v>
      </c>
      <c r="R210" s="21">
        <v>0.5</v>
      </c>
      <c r="S210" s="20"/>
      <c r="T210" s="22"/>
      <c r="U210" s="23"/>
    </row>
    <row r="211" ht="22.5" hidden="1" customHeight="1">
      <c r="A211" s="9">
        <f>VLOOKUP(B211,FVM_astainv!A:B,2,0)</f>
        <v>6824</v>
      </c>
      <c r="B211" s="78" t="s">
        <v>759</v>
      </c>
      <c r="C211" s="11" t="s">
        <v>235</v>
      </c>
      <c r="D211" s="12" t="str">
        <f>VLOOKUP(B211,FVM_astainv!A:F,6,0)</f>
        <v>Roma</v>
      </c>
      <c r="E211" s="13" t="str">
        <f>VLOOKUP(B211,FVM_astainv!A:D,4,0)</f>
        <v>Por</v>
      </c>
      <c r="F211" s="11" t="s">
        <v>43</v>
      </c>
      <c r="G211" s="14">
        <v>45474.0</v>
      </c>
      <c r="H211" s="144">
        <f t="shared" si="58"/>
        <v>401768</v>
      </c>
      <c r="I211" s="11" t="s">
        <v>43</v>
      </c>
      <c r="J211" s="16" t="str">
        <f>VLOOKUP(A211,Asteriscati25!B:N,13,0)</f>
        <v>#N/A</v>
      </c>
      <c r="K211" s="29">
        <v>0.0</v>
      </c>
      <c r="L211" s="27">
        <v>1.0</v>
      </c>
      <c r="M211" s="19">
        <f>VLOOKUP(B211,FVM_Asta2425!A:M,13,0)</f>
        <v>1</v>
      </c>
      <c r="N211" s="19" t="str">
        <f t="shared" si="6"/>
        <v>#REF!</v>
      </c>
      <c r="O211" s="20">
        <f>VLOOKUP(B211,'FVM_1luglio-31luglio25'!D:Q,14,0)</f>
        <v>1</v>
      </c>
      <c r="P211" s="20">
        <f t="shared" si="55"/>
        <v>1</v>
      </c>
      <c r="Q211" s="21">
        <f t="shared" si="65"/>
        <v>0.5</v>
      </c>
      <c r="R211" s="21">
        <f t="shared" ref="R211:R298" si="66">IF(OR(I211="asta", I211="Svincolato riconferma anno corrente", I211="vivaio"), Q211,
IF(OR(I211="asta riparazione", I211="Svincolato obbligo anno precedente", I211="Svincolo pausa invernale"), MAX(0.5, CEILING(Q211 / 2, 0.5)),
IF(OR(I211="ceduto in prestito", I211="acquisito in prestito", I211="acquistato tit definitivo", I211="Ceduto tit definitivo"),CEILING(Q211 * K211, 0.5),
IF(I211="asteriscato", "inserire a mano", ""))))
</f>
        <v>0.5</v>
      </c>
      <c r="S211" s="20"/>
      <c r="T211" s="22"/>
      <c r="U211" s="23"/>
    </row>
    <row r="212" ht="22.5" hidden="1" customHeight="1">
      <c r="A212" s="9">
        <f>VLOOKUP(B212,FVM_astainv!A:B,2,0)</f>
        <v>4</v>
      </c>
      <c r="B212" s="77" t="s">
        <v>760</v>
      </c>
      <c r="C212" s="11" t="s">
        <v>235</v>
      </c>
      <c r="D212" s="12" t="str">
        <f>VLOOKUP(B212,FVM_astainv!A:F,6,0)</f>
        <v>Milan</v>
      </c>
      <c r="E212" s="13" t="str">
        <f>VLOOKUP(B212,FVM_astainv!A:D,4,0)</f>
        <v>Por</v>
      </c>
      <c r="F212" s="11" t="s">
        <v>92</v>
      </c>
      <c r="G212" s="14">
        <v>45689.0</v>
      </c>
      <c r="H212" s="144">
        <f t="shared" si="58"/>
        <v>45839</v>
      </c>
      <c r="I212" s="11" t="s">
        <v>93</v>
      </c>
      <c r="J212" s="16" t="str">
        <f>VLOOKUP(A212,Asteriscati25!B:N,13,0)</f>
        <v>#N/A</v>
      </c>
      <c r="K212" s="29">
        <v>0.0</v>
      </c>
      <c r="L212" s="27">
        <v>1.0</v>
      </c>
      <c r="M212" s="19">
        <f>VLOOKUP(B212,FVM_astainv!A:N,14,0)</f>
        <v>1</v>
      </c>
      <c r="N212" s="19" t="str">
        <f t="shared" si="6"/>
        <v>#REF!</v>
      </c>
      <c r="O212" s="20">
        <f>VLOOKUP(B212,'FVM_1luglio-31luglio25'!D:Q,14,0)</f>
        <v>1</v>
      </c>
      <c r="P212" s="20">
        <f t="shared" si="55"/>
        <v>1</v>
      </c>
      <c r="Q212" s="21">
        <f t="shared" si="65"/>
        <v>0.5</v>
      </c>
      <c r="R212" s="21">
        <f t="shared" si="66"/>
        <v>0.5</v>
      </c>
      <c r="S212" s="20"/>
      <c r="T212" s="22"/>
      <c r="U212" s="23"/>
    </row>
    <row r="213" ht="22.5" hidden="1" customHeight="1">
      <c r="A213" s="9">
        <f>VLOOKUP(B213,FVM_astainv!A:B,2,0)</f>
        <v>6956</v>
      </c>
      <c r="B213" s="25" t="s">
        <v>676</v>
      </c>
      <c r="C213" s="11" t="s">
        <v>235</v>
      </c>
      <c r="D213" s="12" t="str">
        <f>VLOOKUP(B213,FVM_astainv!A:F,6,0)</f>
        <v>Udinese</v>
      </c>
      <c r="E213" s="13" t="str">
        <f>VLOOKUP(B213,FVM_astainv!A:D,4,0)</f>
        <v>Dc</v>
      </c>
      <c r="F213" s="11" t="s">
        <v>92</v>
      </c>
      <c r="G213" s="14">
        <v>45689.0</v>
      </c>
      <c r="H213" s="144">
        <f t="shared" si="58"/>
        <v>45839</v>
      </c>
      <c r="I213" s="11" t="s">
        <v>93</v>
      </c>
      <c r="J213" s="16" t="str">
        <f>VLOOKUP(A213,Asteriscati25!B:N,13,0)</f>
        <v>#N/A</v>
      </c>
      <c r="K213" s="29">
        <v>0.0</v>
      </c>
      <c r="L213" s="27">
        <v>41.0</v>
      </c>
      <c r="M213" s="19">
        <f>VLOOKUP(B213,FVM_astainv!A:N,14,0)</f>
        <v>12</v>
      </c>
      <c r="N213" s="19" t="str">
        <f t="shared" si="6"/>
        <v>#REF!</v>
      </c>
      <c r="O213" s="20">
        <f>VLOOKUP(B213,'FVM_1luglio-31luglio25'!D:Q,14,0)</f>
        <v>25</v>
      </c>
      <c r="P213" s="20">
        <f t="shared" si="55"/>
        <v>25</v>
      </c>
      <c r="Q213" s="21">
        <f t="shared" ref="Q213:Q218" si="67">IF(OR(F213="Standard",F213="Standard Inverno"),CEILING((M213/10),0.5),
IF(OR(F213="Diritto 1+1",F213="Inverno Diritto 0,5 + 1"),CEILING((M213/10)*1.3,0.5),
CEILING((M213/10)*1.15,0.5)))</f>
        <v>1.5</v>
      </c>
      <c r="R213" s="21">
        <f t="shared" si="66"/>
        <v>1</v>
      </c>
      <c r="S213" s="20"/>
      <c r="T213" s="17"/>
      <c r="U213" s="10"/>
    </row>
    <row r="214" ht="22.5" hidden="1" customHeight="1">
      <c r="A214" s="9">
        <f>VLOOKUP(B214,FVM_astainv!A:B,2,0)</f>
        <v>4401</v>
      </c>
      <c r="B214" s="25" t="s">
        <v>761</v>
      </c>
      <c r="C214" s="11" t="s">
        <v>235</v>
      </c>
      <c r="D214" s="12" t="str">
        <f>VLOOKUP(B214,FVM_astainv!A:F,6,0)</f>
        <v>Milan</v>
      </c>
      <c r="E214" s="13" t="str">
        <f>VLOOKUP(B214,FVM_astainv!A:D,4,0)</f>
        <v>Dc</v>
      </c>
      <c r="F214" s="11" t="s">
        <v>92</v>
      </c>
      <c r="G214" s="14">
        <v>45689.0</v>
      </c>
      <c r="H214" s="144">
        <f t="shared" si="58"/>
        <v>45839</v>
      </c>
      <c r="I214" s="11" t="s">
        <v>93</v>
      </c>
      <c r="J214" s="16" t="str">
        <f>VLOOKUP(A214,Asteriscati25!B:N,13,0)</f>
        <v>#N/A</v>
      </c>
      <c r="K214" s="29">
        <v>0.0</v>
      </c>
      <c r="L214" s="27">
        <v>25.0</v>
      </c>
      <c r="M214" s="19">
        <f>VLOOKUP(B214,FVM_astainv!A:N,14,0)</f>
        <v>15</v>
      </c>
      <c r="N214" s="19" t="str">
        <f t="shared" si="6"/>
        <v>#REF!</v>
      </c>
      <c r="O214" s="20">
        <f>VLOOKUP(B214,'FVM_1luglio-31luglio25'!D:Q,14,0)</f>
        <v>10</v>
      </c>
      <c r="P214" s="20">
        <f t="shared" si="55"/>
        <v>10</v>
      </c>
      <c r="Q214" s="21">
        <f t="shared" si="67"/>
        <v>1.5</v>
      </c>
      <c r="R214" s="21">
        <f t="shared" si="66"/>
        <v>1</v>
      </c>
      <c r="S214" s="20"/>
      <c r="T214" s="17"/>
      <c r="U214" s="10"/>
    </row>
    <row r="215" ht="22.5" hidden="1" customHeight="1">
      <c r="A215" s="9">
        <f>VLOOKUP(B215,FVM_astainv!A:B,2,0)</f>
        <v>6640</v>
      </c>
      <c r="B215" s="138" t="s">
        <v>762</v>
      </c>
      <c r="C215" s="88" t="s">
        <v>235</v>
      </c>
      <c r="D215" s="12" t="str">
        <f>VLOOKUP(B215,FVM_astainv!A:F,6,0)</f>
        <v>Cagliari</v>
      </c>
      <c r="E215" s="13" t="str">
        <f>VLOOKUP(B215,FVM_astainv!A:D,4,0)</f>
        <v>E;W</v>
      </c>
      <c r="F215" s="88" t="s">
        <v>92</v>
      </c>
      <c r="G215" s="154">
        <v>45689.0</v>
      </c>
      <c r="H215" s="151">
        <f t="shared" si="58"/>
        <v>45839</v>
      </c>
      <c r="I215" s="11" t="s">
        <v>93</v>
      </c>
      <c r="J215" s="92" t="str">
        <f>VLOOKUP(A215,Asteriscati25!B:N,13,0)</f>
        <v>#N/A</v>
      </c>
      <c r="K215" s="185">
        <v>0.0</v>
      </c>
      <c r="L215" s="186">
        <v>26.0</v>
      </c>
      <c r="M215" s="94">
        <f>VLOOKUP(B215,FVM_astainv!A:N,14,0)</f>
        <v>26</v>
      </c>
      <c r="N215" s="19" t="str">
        <f t="shared" si="6"/>
        <v>#REF!</v>
      </c>
      <c r="O215" s="20">
        <f>VLOOKUP(B215,'FVM_1luglio-31luglio25'!D:Q,14,0)</f>
        <v>15</v>
      </c>
      <c r="P215" s="20">
        <f t="shared" si="55"/>
        <v>15</v>
      </c>
      <c r="Q215" s="95">
        <f t="shared" si="67"/>
        <v>3</v>
      </c>
      <c r="R215" s="95">
        <f t="shared" si="66"/>
        <v>1.5</v>
      </c>
      <c r="S215" s="59"/>
      <c r="T215" s="93"/>
      <c r="U215" s="156"/>
    </row>
    <row r="216" ht="22.5" hidden="1" customHeight="1">
      <c r="A216" s="9">
        <f>VLOOKUP(B216,FVM_astainv!A:B,2,0)</f>
        <v>4973</v>
      </c>
      <c r="B216" s="25" t="s">
        <v>732</v>
      </c>
      <c r="C216" s="11" t="s">
        <v>235</v>
      </c>
      <c r="D216" s="12" t="str">
        <f>VLOOKUP(B216,FVM_astainv!A:F,6,0)</f>
        <v>Juventus</v>
      </c>
      <c r="E216" s="13" t="str">
        <f>VLOOKUP(B216,FVM_astainv!A:D,4,0)</f>
        <v>M;C</v>
      </c>
      <c r="F216" s="11" t="s">
        <v>92</v>
      </c>
      <c r="G216" s="14">
        <v>45689.0</v>
      </c>
      <c r="H216" s="144">
        <f t="shared" si="58"/>
        <v>45839</v>
      </c>
      <c r="I216" s="11" t="s">
        <v>93</v>
      </c>
      <c r="J216" s="16" t="str">
        <f>VLOOKUP(A216,Asteriscati25!B:N,13,0)</f>
        <v>#N/A</v>
      </c>
      <c r="K216" s="29">
        <v>0.0</v>
      </c>
      <c r="L216" s="27">
        <v>51.0</v>
      </c>
      <c r="M216" s="19">
        <f>VLOOKUP(B216,FVM_astainv!A:N,14,0)</f>
        <v>51</v>
      </c>
      <c r="N216" s="19" t="str">
        <f t="shared" si="6"/>
        <v>#REF!</v>
      </c>
      <c r="O216" s="20">
        <f>VLOOKUP(B216,'FVM_1luglio-31luglio25'!D:Q,14,0)</f>
        <v>23</v>
      </c>
      <c r="P216" s="20">
        <f t="shared" si="55"/>
        <v>23</v>
      </c>
      <c r="Q216" s="21">
        <f t="shared" si="67"/>
        <v>5.5</v>
      </c>
      <c r="R216" s="21">
        <f t="shared" si="66"/>
        <v>3</v>
      </c>
      <c r="S216" s="20"/>
      <c r="T216" s="17"/>
      <c r="U216" s="10"/>
    </row>
    <row r="217" ht="22.5" hidden="1" customHeight="1">
      <c r="A217" s="9">
        <f>VLOOKUP(B217,FVM_astainv!A:B,2,0)</f>
        <v>4870</v>
      </c>
      <c r="B217" s="25" t="s">
        <v>763</v>
      </c>
      <c r="C217" s="11" t="s">
        <v>235</v>
      </c>
      <c r="D217" s="12" t="str">
        <f>VLOOKUP(B217,FVM_astainv!A:F,6,0)</f>
        <v>Cagliari</v>
      </c>
      <c r="E217" s="13" t="str">
        <f>VLOOKUP(B217,FVM_astainv!A:D,4,0)</f>
        <v>M;C</v>
      </c>
      <c r="F217" s="11" t="s">
        <v>92</v>
      </c>
      <c r="G217" s="14">
        <v>45689.0</v>
      </c>
      <c r="H217" s="144">
        <f t="shared" si="58"/>
        <v>45839</v>
      </c>
      <c r="I217" s="11" t="s">
        <v>93</v>
      </c>
      <c r="J217" s="16" t="str">
        <f>VLOOKUP(A217,Asteriscati25!B:N,13,0)</f>
        <v>#N/A</v>
      </c>
      <c r="K217" s="29">
        <v>0.0</v>
      </c>
      <c r="L217" s="27">
        <v>17.0</v>
      </c>
      <c r="M217" s="19">
        <f>VLOOKUP(B217,FVM_astainv!A:N,14,0)</f>
        <v>17</v>
      </c>
      <c r="N217" s="19" t="str">
        <f t="shared" si="6"/>
        <v>#REF!</v>
      </c>
      <c r="O217" s="20">
        <f>VLOOKUP(B217,'FVM_1luglio-31luglio25'!D:Q,14,0)</f>
        <v>9</v>
      </c>
      <c r="P217" s="20">
        <f t="shared" si="55"/>
        <v>9</v>
      </c>
      <c r="Q217" s="21">
        <f t="shared" si="67"/>
        <v>2</v>
      </c>
      <c r="R217" s="21">
        <f t="shared" si="66"/>
        <v>1</v>
      </c>
      <c r="S217" s="20"/>
      <c r="T217" s="17"/>
      <c r="U217" s="10"/>
    </row>
    <row r="218" ht="22.5" hidden="1" customHeight="1">
      <c r="A218" s="9">
        <f>VLOOKUP(B218,FVM_astainv!A:B,2,0)</f>
        <v>6549</v>
      </c>
      <c r="B218" s="25" t="s">
        <v>764</v>
      </c>
      <c r="C218" s="11" t="s">
        <v>235</v>
      </c>
      <c r="D218" s="12" t="str">
        <f>VLOOKUP(B218,FVM_astainv!A:F,6,0)</f>
        <v>Lecce</v>
      </c>
      <c r="E218" s="13" t="str">
        <f>VLOOKUP(B218,FVM_astainv!A:D,4,0)</f>
        <v>W;A</v>
      </c>
      <c r="F218" s="11" t="s">
        <v>92</v>
      </c>
      <c r="G218" s="14">
        <v>45689.0</v>
      </c>
      <c r="H218" s="144">
        <f t="shared" si="58"/>
        <v>45839</v>
      </c>
      <c r="I218" s="11" t="s">
        <v>93</v>
      </c>
      <c r="J218" s="16" t="str">
        <f>VLOOKUP(A218,Asteriscati25!B:N,13,0)</f>
        <v>#N/A</v>
      </c>
      <c r="K218" s="29">
        <v>0.0</v>
      </c>
      <c r="L218" s="27">
        <v>36.0</v>
      </c>
      <c r="M218" s="19">
        <f>VLOOKUP(B218,FVM_astainv!A:N,14,0)</f>
        <v>24</v>
      </c>
      <c r="N218" s="19" t="str">
        <f t="shared" si="6"/>
        <v>#REF!</v>
      </c>
      <c r="O218" s="20">
        <f>VLOOKUP(B218,'FVM_1luglio-31luglio25'!D:Q,14,0)</f>
        <v>12</v>
      </c>
      <c r="P218" s="20">
        <f t="shared" si="55"/>
        <v>12</v>
      </c>
      <c r="Q218" s="21">
        <f t="shared" si="67"/>
        <v>2.5</v>
      </c>
      <c r="R218" s="21">
        <f t="shared" si="66"/>
        <v>1.5</v>
      </c>
      <c r="S218" s="20"/>
      <c r="T218" s="17"/>
      <c r="U218" s="10"/>
    </row>
    <row r="219" ht="22.5" hidden="1" customHeight="1">
      <c r="A219" s="9">
        <f>VLOOKUP(B219,FVM_astainv!A:B,2,0)</f>
        <v>188</v>
      </c>
      <c r="B219" s="25" t="s">
        <v>765</v>
      </c>
      <c r="C219" s="11" t="s">
        <v>235</v>
      </c>
      <c r="D219" s="12" t="str">
        <f>VLOOKUP(B219,FVM_astainv!A:F,6,0)</f>
        <v>Genoa</v>
      </c>
      <c r="E219" s="13" t="str">
        <f>VLOOKUP(B219,FVM_astainv!A:D,4,0)</f>
        <v>Por</v>
      </c>
      <c r="F219" s="11" t="s">
        <v>45</v>
      </c>
      <c r="G219" s="14">
        <v>45474.0</v>
      </c>
      <c r="H219" s="144">
        <f t="shared" si="58"/>
        <v>45839</v>
      </c>
      <c r="I219" s="11" t="s">
        <v>48</v>
      </c>
      <c r="J219" s="16" t="str">
        <f>VLOOKUP(A219,Asteriscati25!B:N,13,0)</f>
        <v>#N/A</v>
      </c>
      <c r="K219" s="29">
        <v>0.0</v>
      </c>
      <c r="L219" s="19" t="str">
        <f t="shared" ref="L219:L259" si="68">VLOOKUP(B219,Rose!B:D,3,0)</f>
        <v>#REF!</v>
      </c>
      <c r="M219" s="19">
        <f>VLOOKUP(B219,FVM_Asta2425!A:M,13,0)</f>
        <v>1</v>
      </c>
      <c r="N219" s="19" t="str">
        <f t="shared" si="6"/>
        <v>#REF!</v>
      </c>
      <c r="O219" s="20">
        <f>VLOOKUP(B219,'FVM_1luglio-31luglio25'!D:Q,14,0)</f>
        <v>14</v>
      </c>
      <c r="P219" s="20">
        <f t="shared" si="55"/>
        <v>14</v>
      </c>
      <c r="Q219" s="21">
        <f t="shared" ref="Q219:Q224" si="69">IF(F219="Standard",CEILING((M219/10),0.5),
IF(OR(F219="Diritto 1+1",M219="Inverno Diritto 0,5 + 1"),CEILING((M219/10)*1.3,0.5),
CEILING((M219/10)*1.15,0.5)))</f>
        <v>0.5</v>
      </c>
      <c r="R219" s="21">
        <f t="shared" si="66"/>
        <v>0.5</v>
      </c>
      <c r="S219" s="20"/>
      <c r="T219" s="22"/>
      <c r="U219" s="23"/>
    </row>
    <row r="220" ht="22.5" hidden="1" customHeight="1">
      <c r="A220" s="9">
        <f>VLOOKUP(B220,FVM_astainv!A:B,2,0)</f>
        <v>4312</v>
      </c>
      <c r="B220" s="25" t="s">
        <v>261</v>
      </c>
      <c r="C220" s="11" t="s">
        <v>235</v>
      </c>
      <c r="D220" s="12" t="str">
        <f>VLOOKUP(B220,FVM_astainv!A:F,6,0)</f>
        <v>Milan</v>
      </c>
      <c r="E220" s="13" t="str">
        <f>VLOOKUP(B220,FVM_astainv!A:D,4,0)</f>
        <v>Por</v>
      </c>
      <c r="F220" s="17" t="str">
        <f>VLOOKUP(B220,'situazione contratti estate 24'!A:I,9,0)</f>
        <v>Diritto 1+1</v>
      </c>
      <c r="G220" s="14">
        <v>45474.0</v>
      </c>
      <c r="H220" s="144">
        <f t="shared" si="58"/>
        <v>46204</v>
      </c>
      <c r="I220" s="11" t="s">
        <v>48</v>
      </c>
      <c r="J220" s="16" t="str">
        <f>VLOOKUP(A220,Asteriscati25!B:N,13,0)</f>
        <v>#N/A</v>
      </c>
      <c r="K220" s="29">
        <v>0.0</v>
      </c>
      <c r="L220" s="19" t="str">
        <f t="shared" si="68"/>
        <v>#REF!</v>
      </c>
      <c r="M220" s="19">
        <f>VLOOKUP(B220,FVM_Asta2425!A:M,13,0)</f>
        <v>78</v>
      </c>
      <c r="N220" s="19" t="str">
        <f t="shared" si="6"/>
        <v>#REF!</v>
      </c>
      <c r="O220" s="20">
        <f>VLOOKUP(B220,'FVM_1luglio-31luglio25'!D:Q,14,0)</f>
        <v>68</v>
      </c>
      <c r="P220" s="20">
        <f t="shared" si="55"/>
        <v>68</v>
      </c>
      <c r="Q220" s="21">
        <f t="shared" si="69"/>
        <v>10.5</v>
      </c>
      <c r="R220" s="21">
        <f t="shared" si="66"/>
        <v>10.5</v>
      </c>
      <c r="S220" s="20"/>
      <c r="T220" s="22"/>
      <c r="U220" s="23"/>
    </row>
    <row r="221" ht="22.5" hidden="1" customHeight="1">
      <c r="A221" s="9">
        <f>VLOOKUP(B221,FVM_astainv!A:B,2,0)</f>
        <v>6645</v>
      </c>
      <c r="B221" s="25" t="s">
        <v>766</v>
      </c>
      <c r="C221" s="11" t="s">
        <v>235</v>
      </c>
      <c r="D221" s="12" t="str">
        <f>VLOOKUP(B221,FVM_astainv!A:F,6,0)</f>
        <v>Lecce</v>
      </c>
      <c r="E221" s="13" t="str">
        <f>VLOOKUP(B221,FVM_astainv!A:D,4,0)</f>
        <v>T</v>
      </c>
      <c r="F221" s="11" t="s">
        <v>45</v>
      </c>
      <c r="G221" s="14">
        <v>45474.0</v>
      </c>
      <c r="H221" s="144">
        <f t="shared" si="58"/>
        <v>45839</v>
      </c>
      <c r="I221" s="11" t="s">
        <v>46</v>
      </c>
      <c r="J221" s="16" t="str">
        <f>VLOOKUP(A221,Asteriscati25!B:N,13,0)</f>
        <v>#N/A</v>
      </c>
      <c r="K221" s="29">
        <v>0.0</v>
      </c>
      <c r="L221" s="19" t="str">
        <f t="shared" si="68"/>
        <v>#REF!</v>
      </c>
      <c r="M221" s="19">
        <f>VLOOKUP(B221,FVM_Asta2425!A:M,13,0)</f>
        <v>13</v>
      </c>
      <c r="N221" s="19" t="str">
        <f t="shared" si="6"/>
        <v>#REF!</v>
      </c>
      <c r="O221" s="20">
        <f>VLOOKUP(B221,'FVM_1luglio-31luglio25'!D:Q,14,0)</f>
        <v>9</v>
      </c>
      <c r="P221" s="20">
        <f t="shared" si="55"/>
        <v>9</v>
      </c>
      <c r="Q221" s="21">
        <f t="shared" si="69"/>
        <v>1.5</v>
      </c>
      <c r="R221" s="21">
        <f t="shared" si="66"/>
        <v>1</v>
      </c>
      <c r="S221" s="20"/>
      <c r="T221" s="22"/>
      <c r="U221" s="23"/>
    </row>
    <row r="222" ht="22.5" hidden="1" customHeight="1">
      <c r="A222" s="9">
        <f>VLOOKUP(B222,FVM_astainv!A:B,2,0)</f>
        <v>5322</v>
      </c>
      <c r="B222" s="25" t="s">
        <v>728</v>
      </c>
      <c r="C222" s="11" t="s">
        <v>235</v>
      </c>
      <c r="D222" s="12" t="str">
        <f>VLOOKUP(B222,FVM_astainv!A:F,6,0)</f>
        <v>Parma</v>
      </c>
      <c r="E222" s="13" t="str">
        <f>VLOOKUP(B222,FVM_astainv!A:D,4,0)</f>
        <v>W;A</v>
      </c>
      <c r="F222" s="11" t="s">
        <v>45</v>
      </c>
      <c r="G222" s="14">
        <v>45474.0</v>
      </c>
      <c r="H222" s="144">
        <f t="shared" si="58"/>
        <v>45839</v>
      </c>
      <c r="I222" s="11" t="s">
        <v>46</v>
      </c>
      <c r="J222" s="16" t="str">
        <f>VLOOKUP(A222,Asteriscati25!B:N,13,0)</f>
        <v>#N/A</v>
      </c>
      <c r="K222" s="29">
        <v>0.0</v>
      </c>
      <c r="L222" s="19" t="str">
        <f t="shared" si="68"/>
        <v>#REF!</v>
      </c>
      <c r="M222" s="19">
        <f>VLOOKUP(B222,FVM_Asta2425!A:M,13,0)</f>
        <v>20</v>
      </c>
      <c r="N222" s="19" t="str">
        <f t="shared" si="6"/>
        <v>#REF!</v>
      </c>
      <c r="O222" s="20">
        <f>VLOOKUP(B222,'FVM_1luglio-31luglio25'!D:Q,14,0)</f>
        <v>14</v>
      </c>
      <c r="P222" s="20">
        <f t="shared" si="55"/>
        <v>14</v>
      </c>
      <c r="Q222" s="21">
        <f t="shared" si="69"/>
        <v>2</v>
      </c>
      <c r="R222" s="21">
        <f t="shared" si="66"/>
        <v>1</v>
      </c>
      <c r="S222" s="20"/>
      <c r="T222" s="22"/>
      <c r="U222" s="23"/>
    </row>
    <row r="223" ht="22.5" hidden="1" customHeight="1">
      <c r="A223" s="9">
        <f>VLOOKUP(B223,FVM_astainv!A:B,2,0)</f>
        <v>4359</v>
      </c>
      <c r="B223" s="25" t="s">
        <v>767</v>
      </c>
      <c r="C223" s="11" t="s">
        <v>235</v>
      </c>
      <c r="D223" s="12" t="str">
        <f>VLOOKUP(B223,FVM_astainv!A:F,6,0)</f>
        <v>Cagliari</v>
      </c>
      <c r="E223" s="13" t="str">
        <f>VLOOKUP(B223,FVM_astainv!A:D,4,0)</f>
        <v>Pc</v>
      </c>
      <c r="F223" s="11" t="s">
        <v>45</v>
      </c>
      <c r="G223" s="14">
        <v>45474.0</v>
      </c>
      <c r="H223" s="144">
        <f t="shared" si="58"/>
        <v>45839</v>
      </c>
      <c r="I223" s="11" t="s">
        <v>48</v>
      </c>
      <c r="J223" s="16" t="str">
        <f>VLOOKUP(A223,Asteriscati25!B:N,13,0)</f>
        <v>#N/A</v>
      </c>
      <c r="K223" s="29">
        <v>0.0</v>
      </c>
      <c r="L223" s="19" t="str">
        <f t="shared" si="68"/>
        <v>#REF!</v>
      </c>
      <c r="M223" s="19">
        <f>VLOOKUP(B223,FVM_Asta2425!A:M,13,0)</f>
        <v>50</v>
      </c>
      <c r="N223" s="19" t="str">
        <f t="shared" si="6"/>
        <v>#REF!</v>
      </c>
      <c r="O223" s="20">
        <f>VLOOKUP(B223,'FVM_1luglio-31luglio25'!D:Q,14,0)</f>
        <v>61</v>
      </c>
      <c r="P223" s="20">
        <f t="shared" si="55"/>
        <v>61</v>
      </c>
      <c r="Q223" s="21">
        <f t="shared" si="69"/>
        <v>5</v>
      </c>
      <c r="R223" s="21">
        <f t="shared" si="66"/>
        <v>5</v>
      </c>
      <c r="S223" s="20"/>
      <c r="T223" s="22"/>
      <c r="U223" s="23"/>
    </row>
    <row r="224" ht="22.5" hidden="1" customHeight="1">
      <c r="A224" s="9">
        <f>VLOOKUP(B224,FVM_astainv!A:B,2,0)</f>
        <v>6820</v>
      </c>
      <c r="B224" s="25" t="s">
        <v>768</v>
      </c>
      <c r="C224" s="11" t="s">
        <v>235</v>
      </c>
      <c r="D224" s="12" t="str">
        <f>VLOOKUP(B224,FVM_astainv!A:F,6,0)</f>
        <v>Torino</v>
      </c>
      <c r="E224" s="13" t="str">
        <f>VLOOKUP(B224,FVM_astainv!A:D,4,0)</f>
        <v>E</v>
      </c>
      <c r="F224" s="11" t="s">
        <v>45</v>
      </c>
      <c r="G224" s="14">
        <v>45474.0</v>
      </c>
      <c r="H224" s="144">
        <f t="shared" si="58"/>
        <v>45839</v>
      </c>
      <c r="I224" s="11" t="s">
        <v>46</v>
      </c>
      <c r="J224" s="16" t="str">
        <f>VLOOKUP(A224,Asteriscati25!B:N,13,0)</f>
        <v>#N/A</v>
      </c>
      <c r="K224" s="29">
        <v>0.0</v>
      </c>
      <c r="L224" s="19" t="str">
        <f t="shared" si="68"/>
        <v>#REF!</v>
      </c>
      <c r="M224" s="19">
        <f>VLOOKUP(B224,FVM_Asta2425!A:M,13,0)</f>
        <v>15</v>
      </c>
      <c r="N224" s="19" t="str">
        <f t="shared" si="6"/>
        <v>#REF!</v>
      </c>
      <c r="O224" s="20">
        <f>VLOOKUP(B224,'FVM_1luglio-31luglio25'!D:Q,14,0)</f>
        <v>11</v>
      </c>
      <c r="P224" s="20">
        <f t="shared" si="55"/>
        <v>11</v>
      </c>
      <c r="Q224" s="21">
        <f t="shared" si="69"/>
        <v>1.5</v>
      </c>
      <c r="R224" s="21">
        <f t="shared" si="66"/>
        <v>1</v>
      </c>
      <c r="S224" s="20"/>
      <c r="T224" s="22"/>
      <c r="U224" s="23"/>
    </row>
    <row r="225" ht="22.5" hidden="1" customHeight="1">
      <c r="A225" s="9">
        <f>VLOOKUP(B225,FVM_astainv!A:B,2,0)</f>
        <v>4871</v>
      </c>
      <c r="B225" s="25" t="s">
        <v>273</v>
      </c>
      <c r="C225" s="11" t="s">
        <v>235</v>
      </c>
      <c r="D225" s="12" t="str">
        <f>VLOOKUP(B225,FVM_astainv!A:F,6,0)</f>
        <v>Inter</v>
      </c>
      <c r="E225" s="13" t="str">
        <f>VLOOKUP(B225,FVM_astainv!A:D,4,0)</f>
        <v>Pc</v>
      </c>
      <c r="F225" s="17" t="str">
        <f>VLOOKUP(B225,'situazione contratti estate 24'!A:I,9,0)</f>
        <v>Obbligo 1+2</v>
      </c>
      <c r="G225" s="14">
        <v>45108.0</v>
      </c>
      <c r="H225" s="144">
        <f t="shared" si="58"/>
        <v>46204</v>
      </c>
      <c r="I225" s="11" t="s">
        <v>48</v>
      </c>
      <c r="J225" s="16" t="str">
        <f>VLOOKUP(A225,Asteriscati25!B:N,13,0)</f>
        <v>#N/A</v>
      </c>
      <c r="K225" s="26">
        <v>0.0</v>
      </c>
      <c r="L225" s="19" t="str">
        <f t="shared" si="68"/>
        <v>#REF!</v>
      </c>
      <c r="M225" s="19">
        <f>VLOOKUP(B225,FVM_Asta2324!C:M,11,0)</f>
        <v>185</v>
      </c>
      <c r="N225" s="19" t="str">
        <f t="shared" si="6"/>
        <v>#REF!</v>
      </c>
      <c r="O225" s="20">
        <f>VLOOKUP(B225,'FVM_1luglio-31luglio25'!D:Q,14,0)</f>
        <v>286</v>
      </c>
      <c r="P225" s="20">
        <f t="shared" si="55"/>
        <v>286</v>
      </c>
      <c r="Q225" s="21">
        <f>VLOOKUP(B225,'situazione contratti estate 24'!A:K,11,0)</f>
        <v>21.5</v>
      </c>
      <c r="R225" s="21">
        <f t="shared" si="66"/>
        <v>21.5</v>
      </c>
      <c r="S225" s="20"/>
      <c r="T225" s="22"/>
      <c r="U225" s="23"/>
    </row>
    <row r="226" ht="22.5" hidden="1" customHeight="1">
      <c r="A226" s="9">
        <f>VLOOKUP(B226,FVM_astainv!A:B,2,0)</f>
        <v>4751</v>
      </c>
      <c r="B226" s="25" t="s">
        <v>769</v>
      </c>
      <c r="C226" s="11" t="s">
        <v>235</v>
      </c>
      <c r="D226" s="12" t="str">
        <f>VLOOKUP(B226,FVM_astainv!A:F,6,0)</f>
        <v>Milan</v>
      </c>
      <c r="E226" s="13" t="str">
        <f>VLOOKUP(B226,FVM_astainv!A:D,4,0)</f>
        <v>Dc</v>
      </c>
      <c r="F226" s="11" t="s">
        <v>45</v>
      </c>
      <c r="G226" s="14">
        <v>45474.0</v>
      </c>
      <c r="H226" s="144">
        <f t="shared" si="58"/>
        <v>45839</v>
      </c>
      <c r="I226" s="11" t="s">
        <v>48</v>
      </c>
      <c r="J226" s="16" t="str">
        <f>VLOOKUP(A226,Asteriscati25!B:N,13,0)</f>
        <v>#N/A</v>
      </c>
      <c r="K226" s="29">
        <v>0.0</v>
      </c>
      <c r="L226" s="19" t="str">
        <f t="shared" si="68"/>
        <v>#REF!</v>
      </c>
      <c r="M226" s="19">
        <f>VLOOKUP(B226,FVM_Asta2425!A:M,13,0)</f>
        <v>41</v>
      </c>
      <c r="N226" s="19" t="str">
        <f t="shared" si="6"/>
        <v>#REF!</v>
      </c>
      <c r="O226" s="20">
        <f>VLOOKUP(B226,'FVM_1luglio-31luglio25'!D:Q,14,0)</f>
        <v>28</v>
      </c>
      <c r="P226" s="20">
        <f t="shared" si="55"/>
        <v>28</v>
      </c>
      <c r="Q226" s="21">
        <f t="shared" ref="Q226:Q237" si="70">IF(F226="Standard",CEILING((M226/10),0.5),
IF(OR(F226="Diritto 1+1",M226="Inverno Diritto 0,5 + 1"),CEILING((M226/10)*1.3,0.5),
CEILING((M226/10)*1.15,0.5)))</f>
        <v>4.5</v>
      </c>
      <c r="R226" s="21">
        <f t="shared" si="66"/>
        <v>4.5</v>
      </c>
      <c r="S226" s="20"/>
      <c r="T226" s="22"/>
      <c r="U226" s="23"/>
    </row>
    <row r="227" ht="22.5" hidden="1" customHeight="1">
      <c r="A227" s="9">
        <f>VLOOKUP(B227,FVM_astainv!A:B,2,0)</f>
        <v>5514</v>
      </c>
      <c r="B227" s="25" t="s">
        <v>770</v>
      </c>
      <c r="C227" s="11" t="s">
        <v>235</v>
      </c>
      <c r="D227" s="12" t="str">
        <f>VLOOKUP(B227,FVM_astainv!A:F,6,0)</f>
        <v>Genoa</v>
      </c>
      <c r="E227" s="13" t="str">
        <f>VLOOKUP(B227,FVM_astainv!A:D,4,0)</f>
        <v>Ds;Dc</v>
      </c>
      <c r="F227" s="11" t="s">
        <v>45</v>
      </c>
      <c r="G227" s="14">
        <v>45474.0</v>
      </c>
      <c r="H227" s="144">
        <f t="shared" si="58"/>
        <v>45839</v>
      </c>
      <c r="I227" s="11" t="s">
        <v>48</v>
      </c>
      <c r="J227" s="16" t="str">
        <f>VLOOKUP(A227,Asteriscati25!B:N,13,0)</f>
        <v>#N/A</v>
      </c>
      <c r="K227" s="29">
        <v>0.0</v>
      </c>
      <c r="L227" s="19" t="str">
        <f t="shared" si="68"/>
        <v>#REF!</v>
      </c>
      <c r="M227" s="19">
        <f>VLOOKUP(B227,FVM_Asta2425!A:M,13,0)</f>
        <v>18</v>
      </c>
      <c r="N227" s="19" t="str">
        <f t="shared" si="6"/>
        <v>#REF!</v>
      </c>
      <c r="O227" s="20">
        <f>VLOOKUP(B227,'FVM_1luglio-31luglio25'!D:Q,14,0)</f>
        <v>28</v>
      </c>
      <c r="P227" s="20">
        <f t="shared" si="55"/>
        <v>28</v>
      </c>
      <c r="Q227" s="21">
        <f t="shared" si="70"/>
        <v>2</v>
      </c>
      <c r="R227" s="21">
        <f t="shared" si="66"/>
        <v>2</v>
      </c>
      <c r="S227" s="20"/>
      <c r="T227" s="22"/>
      <c r="U227" s="23"/>
    </row>
    <row r="228" ht="22.5" hidden="1" customHeight="1">
      <c r="A228" s="9">
        <f>VLOOKUP(B228,FVM_astainv!A:B,2,0)</f>
        <v>181</v>
      </c>
      <c r="B228" s="25" t="s">
        <v>771</v>
      </c>
      <c r="C228" s="11" t="s">
        <v>235</v>
      </c>
      <c r="D228" s="12" t="str">
        <f>VLOOKUP(B228,FVM_astainv!A:F,6,0)</f>
        <v>Lazio</v>
      </c>
      <c r="E228" s="13" t="str">
        <f>VLOOKUP(B228,FVM_astainv!A:D,4,0)</f>
        <v>M;C</v>
      </c>
      <c r="F228" s="11" t="s">
        <v>45</v>
      </c>
      <c r="G228" s="14">
        <v>45474.0</v>
      </c>
      <c r="H228" s="144">
        <f t="shared" si="58"/>
        <v>45839</v>
      </c>
      <c r="I228" s="11" t="s">
        <v>46</v>
      </c>
      <c r="J228" s="16" t="str">
        <f>VLOOKUP(A228,Asteriscati25!B:N,13,0)</f>
        <v>#N/A</v>
      </c>
      <c r="K228" s="29">
        <v>0.0</v>
      </c>
      <c r="L228" s="19" t="str">
        <f t="shared" si="68"/>
        <v>#REF!</v>
      </c>
      <c r="M228" s="19">
        <f>VLOOKUP(B228,FVM_Asta2425!A:M,13,0)</f>
        <v>18</v>
      </c>
      <c r="N228" s="19" t="str">
        <f t="shared" si="6"/>
        <v>#REF!</v>
      </c>
      <c r="O228" s="20">
        <f>VLOOKUP(B228,'FVM_1luglio-31luglio25'!D:Q,14,0)</f>
        <v>15</v>
      </c>
      <c r="P228" s="20">
        <f t="shared" si="55"/>
        <v>15</v>
      </c>
      <c r="Q228" s="21">
        <f t="shared" si="70"/>
        <v>2</v>
      </c>
      <c r="R228" s="21">
        <f t="shared" si="66"/>
        <v>1</v>
      </c>
      <c r="S228" s="20"/>
      <c r="T228" s="22"/>
      <c r="U228" s="23"/>
    </row>
    <row r="229" ht="22.5" hidden="1" customHeight="1">
      <c r="A229" s="9">
        <f>VLOOKUP(B229,FVM_astainv!A:B,2,0)</f>
        <v>556</v>
      </c>
      <c r="B229" s="25" t="s">
        <v>772</v>
      </c>
      <c r="C229" s="11" t="s">
        <v>245</v>
      </c>
      <c r="D229" s="12" t="str">
        <f>VLOOKUP(B229,FVM_astainv!A:F,6,0)</f>
        <v>Como</v>
      </c>
      <c r="E229" s="13" t="str">
        <f>VLOOKUP(B229,FVM_astainv!A:D,4,0)</f>
        <v>M;C</v>
      </c>
      <c r="F229" s="11" t="s">
        <v>45</v>
      </c>
      <c r="G229" s="14">
        <v>45474.0</v>
      </c>
      <c r="H229" s="144">
        <f t="shared" si="58"/>
        <v>45839</v>
      </c>
      <c r="I229" s="11" t="s">
        <v>46</v>
      </c>
      <c r="J229" s="16" t="str">
        <f>VLOOKUP(A229,Asteriscati25!B:N,13,0)</f>
        <v>#N/A</v>
      </c>
      <c r="K229" s="26">
        <v>0.0</v>
      </c>
      <c r="L229" s="19" t="str">
        <f t="shared" si="68"/>
        <v>#REF!</v>
      </c>
      <c r="M229" s="19">
        <f>VLOOKUP(B229,FVM_Asta2425!A:M,13,0)</f>
        <v>9</v>
      </c>
      <c r="N229" s="19" t="str">
        <f t="shared" si="6"/>
        <v>#REF!</v>
      </c>
      <c r="O229" s="20" t="str">
        <f>VLOOKUP(B229,'FVM_1luglio-31luglio25'!D:Q,14,0)</f>
        <v>#N/A</v>
      </c>
      <c r="P229" s="9">
        <v>0.0</v>
      </c>
      <c r="Q229" s="21">
        <f t="shared" si="70"/>
        <v>1</v>
      </c>
      <c r="R229" s="21">
        <f t="shared" si="66"/>
        <v>0.5</v>
      </c>
      <c r="S229" s="20"/>
      <c r="T229" s="22"/>
      <c r="U229" s="23"/>
    </row>
    <row r="230" ht="22.5" hidden="1" customHeight="1">
      <c r="A230" s="9">
        <f>VLOOKUP(B230,FVM_astainv!A:B,2,0)</f>
        <v>6666</v>
      </c>
      <c r="B230" s="25" t="s">
        <v>773</v>
      </c>
      <c r="C230" s="11" t="s">
        <v>245</v>
      </c>
      <c r="D230" s="12" t="str">
        <f>VLOOKUP(B230,FVM_astainv!A:F,6,0)</f>
        <v>Parma</v>
      </c>
      <c r="E230" s="13" t="str">
        <f>VLOOKUP(B230,FVM_astainv!A:D,4,0)</f>
        <v>C;T</v>
      </c>
      <c r="F230" s="11" t="s">
        <v>45</v>
      </c>
      <c r="G230" s="14">
        <v>45474.0</v>
      </c>
      <c r="H230" s="144">
        <f t="shared" si="58"/>
        <v>45839</v>
      </c>
      <c r="I230" s="11" t="s">
        <v>48</v>
      </c>
      <c r="J230" s="16" t="str">
        <f>VLOOKUP(A230,Asteriscati25!B:N,13,0)</f>
        <v>#N/A</v>
      </c>
      <c r="K230" s="26">
        <v>0.0</v>
      </c>
      <c r="L230" s="19" t="str">
        <f t="shared" si="68"/>
        <v>#REF!</v>
      </c>
      <c r="M230" s="19">
        <f>VLOOKUP(B230,FVM_Asta2425!A:M,13,0)</f>
        <v>45</v>
      </c>
      <c r="N230" s="19" t="str">
        <f t="shared" si="6"/>
        <v>#REF!</v>
      </c>
      <c r="O230" s="20">
        <f>VLOOKUP(B230,'FVM_1luglio-31luglio25'!D:Q,14,0)</f>
        <v>32</v>
      </c>
      <c r="P230" s="20">
        <f t="shared" ref="P230:P255" si="71">IFERROR(N230,O230)</f>
        <v>32</v>
      </c>
      <c r="Q230" s="21">
        <f t="shared" si="70"/>
        <v>4.5</v>
      </c>
      <c r="R230" s="21">
        <f t="shared" si="66"/>
        <v>4.5</v>
      </c>
      <c r="S230" s="20"/>
      <c r="T230" s="22"/>
      <c r="U230" s="23"/>
    </row>
    <row r="231" ht="22.5" hidden="1" customHeight="1">
      <c r="A231" s="9">
        <f>VLOOKUP(B231,FVM_astainv!A:B,2,0)</f>
        <v>6656</v>
      </c>
      <c r="B231" s="25" t="s">
        <v>774</v>
      </c>
      <c r="C231" s="11" t="s">
        <v>245</v>
      </c>
      <c r="D231" s="12" t="str">
        <f>VLOOKUP(B231,FVM_astainv!A:F,6,0)</f>
        <v>Como</v>
      </c>
      <c r="E231" s="13" t="str">
        <f>VLOOKUP(B231,FVM_astainv!A:D,4,0)</f>
        <v>M;C</v>
      </c>
      <c r="F231" s="11" t="s">
        <v>45</v>
      </c>
      <c r="G231" s="14">
        <v>45474.0</v>
      </c>
      <c r="H231" s="144">
        <f t="shared" si="58"/>
        <v>45839</v>
      </c>
      <c r="I231" s="11" t="s">
        <v>46</v>
      </c>
      <c r="J231" s="16" t="str">
        <f>VLOOKUP(A231,Asteriscati25!B:N,13,0)</f>
        <v>#N/A</v>
      </c>
      <c r="K231" s="26">
        <v>0.0</v>
      </c>
      <c r="L231" s="19" t="str">
        <f t="shared" si="68"/>
        <v>#REF!</v>
      </c>
      <c r="M231" s="19">
        <f>VLOOKUP(B231,FVM_Asta2425!A:M,13,0)</f>
        <v>10</v>
      </c>
      <c r="N231" s="19" t="str">
        <f t="shared" si="6"/>
        <v>#REF!</v>
      </c>
      <c r="O231" s="20">
        <f>VLOOKUP(B231,'FVM_1luglio-31luglio25'!D:Q,14,0)</f>
        <v>9</v>
      </c>
      <c r="P231" s="20">
        <f t="shared" si="71"/>
        <v>9</v>
      </c>
      <c r="Q231" s="21">
        <f t="shared" si="70"/>
        <v>1</v>
      </c>
      <c r="R231" s="21">
        <f t="shared" si="66"/>
        <v>0.5</v>
      </c>
      <c r="S231" s="20"/>
      <c r="T231" s="22"/>
      <c r="U231" s="23"/>
    </row>
    <row r="232" ht="22.5" hidden="1" customHeight="1">
      <c r="A232" s="9">
        <f>VLOOKUP(B232,FVM_astainv!A:B,2,0)</f>
        <v>6653</v>
      </c>
      <c r="B232" s="78" t="s">
        <v>289</v>
      </c>
      <c r="C232" s="11" t="s">
        <v>245</v>
      </c>
      <c r="D232" s="12" t="str">
        <f>VLOOKUP(B232,FVM_astainv!A:F,6,0)</f>
        <v>Udinese</v>
      </c>
      <c r="E232" s="13" t="str">
        <f>VLOOKUP(B232,FVM_astainv!A:D,4,0)</f>
        <v>A</v>
      </c>
      <c r="F232" s="11" t="s">
        <v>55</v>
      </c>
      <c r="G232" s="14">
        <v>45474.0</v>
      </c>
      <c r="H232" s="144">
        <f t="shared" si="58"/>
        <v>46204</v>
      </c>
      <c r="I232" s="11" t="s">
        <v>48</v>
      </c>
      <c r="J232" s="16" t="str">
        <f>VLOOKUP(A232,Asteriscati25!B:N,13,0)</f>
        <v>#N/A</v>
      </c>
      <c r="K232" s="26">
        <v>0.0</v>
      </c>
      <c r="L232" s="19" t="str">
        <f t="shared" si="68"/>
        <v>#REF!</v>
      </c>
      <c r="M232" s="19">
        <f>VLOOKUP(B232,FVM_Asta2425!A:M,13,0)</f>
        <v>8</v>
      </c>
      <c r="N232" s="19" t="str">
        <f t="shared" si="6"/>
        <v>#REF!</v>
      </c>
      <c r="O232" s="20">
        <f>VLOOKUP(B232,'FVM_1luglio-31luglio25'!D:Q,14,0)</f>
        <v>9</v>
      </c>
      <c r="P232" s="20">
        <f t="shared" si="71"/>
        <v>9</v>
      </c>
      <c r="Q232" s="21">
        <f t="shared" si="70"/>
        <v>1.5</v>
      </c>
      <c r="R232" s="21">
        <f t="shared" si="66"/>
        <v>1.5</v>
      </c>
      <c r="S232" s="20"/>
      <c r="T232" s="22"/>
      <c r="U232" s="23"/>
    </row>
    <row r="233" ht="22.5" hidden="1" customHeight="1">
      <c r="A233" s="9">
        <f>VLOOKUP(B233,FVM_astainv!A:B,2,0)</f>
        <v>4925</v>
      </c>
      <c r="B233" s="25" t="s">
        <v>775</v>
      </c>
      <c r="C233" s="11" t="s">
        <v>245</v>
      </c>
      <c r="D233" s="12" t="str">
        <f>VLOOKUP(B233,FVM_astainv!A:F,6,0)</f>
        <v>Monza</v>
      </c>
      <c r="E233" s="13" t="str">
        <f>VLOOKUP(B233,FVM_astainv!A:D,4,0)</f>
        <v>Ds;Dc</v>
      </c>
      <c r="F233" s="11" t="s">
        <v>45</v>
      </c>
      <c r="G233" s="14">
        <v>45474.0</v>
      </c>
      <c r="H233" s="144">
        <f t="shared" si="58"/>
        <v>45839</v>
      </c>
      <c r="I233" s="11" t="s">
        <v>46</v>
      </c>
      <c r="J233" s="16" t="str">
        <f>VLOOKUP(A233,Asteriscati25!B:N,13,0)</f>
        <v>#N/A</v>
      </c>
      <c r="K233" s="26">
        <v>0.0</v>
      </c>
      <c r="L233" s="19" t="str">
        <f t="shared" si="68"/>
        <v>#REF!</v>
      </c>
      <c r="M233" s="19">
        <f>VLOOKUP(B233,FVM_Asta2425!A:M,13,0)</f>
        <v>9</v>
      </c>
      <c r="N233" s="19" t="str">
        <f t="shared" si="6"/>
        <v>#REF!</v>
      </c>
      <c r="O233" s="20">
        <f>VLOOKUP(B233,'FVM_1luglio-31luglio25'!D:Q,14,0)</f>
        <v>9</v>
      </c>
      <c r="P233" s="20">
        <f t="shared" si="71"/>
        <v>9</v>
      </c>
      <c r="Q233" s="21">
        <f t="shared" si="70"/>
        <v>1</v>
      </c>
      <c r="R233" s="21">
        <f t="shared" si="66"/>
        <v>0.5</v>
      </c>
      <c r="S233" s="20"/>
      <c r="T233" s="22"/>
      <c r="U233" s="23"/>
    </row>
    <row r="234" ht="22.5" hidden="1" customHeight="1">
      <c r="A234" s="9">
        <f>VLOOKUP(B234,FVM_astainv!A:B,2,0)</f>
        <v>6572</v>
      </c>
      <c r="B234" s="77" t="s">
        <v>291</v>
      </c>
      <c r="C234" s="11" t="s">
        <v>245</v>
      </c>
      <c r="D234" s="12" t="str">
        <f>VLOOKUP(B234,FVM_astainv!A:F,6,0)</f>
        <v>Bologna</v>
      </c>
      <c r="E234" s="13" t="str">
        <f>VLOOKUP(B234,FVM_astainv!A:D,4,0)</f>
        <v>Pc</v>
      </c>
      <c r="F234" s="11" t="s">
        <v>55</v>
      </c>
      <c r="G234" s="14">
        <v>45474.0</v>
      </c>
      <c r="H234" s="144">
        <f t="shared" si="58"/>
        <v>46204</v>
      </c>
      <c r="I234" s="11" t="s">
        <v>71</v>
      </c>
      <c r="J234" s="16" t="str">
        <f>VLOOKUP(A234,Asteriscati25!B:N,13,0)</f>
        <v>#N/A</v>
      </c>
      <c r="K234" s="26">
        <v>0.2</v>
      </c>
      <c r="L234" s="19" t="str">
        <f t="shared" si="68"/>
        <v>#REF!</v>
      </c>
      <c r="M234" s="19">
        <f>VLOOKUP(B234,FVM_Asta2425!A:M,13,0)</f>
        <v>45</v>
      </c>
      <c r="N234" s="19" t="str">
        <f t="shared" si="6"/>
        <v>#REF!</v>
      </c>
      <c r="O234" s="20">
        <f>VLOOKUP(B234,'FVM_1luglio-31luglio25'!D:Q,14,0)</f>
        <v>49</v>
      </c>
      <c r="P234" s="20">
        <f t="shared" si="71"/>
        <v>49</v>
      </c>
      <c r="Q234" s="21">
        <f t="shared" si="70"/>
        <v>6</v>
      </c>
      <c r="R234" s="21">
        <f t="shared" si="66"/>
        <v>1.5</v>
      </c>
      <c r="S234" s="20"/>
      <c r="T234" s="11" t="s">
        <v>245</v>
      </c>
      <c r="U234" s="10"/>
    </row>
    <row r="235" ht="22.5" hidden="1" customHeight="1">
      <c r="A235" s="9">
        <f>VLOOKUP(B235,FVM_astainv!A:B,2,0)</f>
        <v>322</v>
      </c>
      <c r="B235" s="25" t="s">
        <v>776</v>
      </c>
      <c r="C235" s="11" t="s">
        <v>245</v>
      </c>
      <c r="D235" s="12" t="str">
        <f>VLOOKUP(B235,FVM_astainv!A:F,6,0)</f>
        <v>Inter</v>
      </c>
      <c r="E235" s="13" t="str">
        <f>VLOOKUP(B235,FVM_astainv!A:D,4,0)</f>
        <v>Dc</v>
      </c>
      <c r="F235" s="11" t="s">
        <v>45</v>
      </c>
      <c r="G235" s="14">
        <v>45474.0</v>
      </c>
      <c r="H235" s="144">
        <f t="shared" si="58"/>
        <v>45839</v>
      </c>
      <c r="I235" s="11" t="s">
        <v>48</v>
      </c>
      <c r="J235" s="16" t="str">
        <f>VLOOKUP(A235,Asteriscati25!B:N,13,0)</f>
        <v>#N/A</v>
      </c>
      <c r="K235" s="26">
        <v>0.0</v>
      </c>
      <c r="L235" s="19" t="str">
        <f t="shared" si="68"/>
        <v>#REF!</v>
      </c>
      <c r="M235" s="19">
        <f>VLOOKUP(B235,FVM_Asta2425!A:M,13,0)</f>
        <v>18</v>
      </c>
      <c r="N235" s="19" t="str">
        <f t="shared" si="6"/>
        <v>#REF!</v>
      </c>
      <c r="O235" s="20">
        <f>VLOOKUP(B235,'FVM_1luglio-31luglio25'!D:Q,14,0)</f>
        <v>20</v>
      </c>
      <c r="P235" s="20">
        <f t="shared" si="71"/>
        <v>20</v>
      </c>
      <c r="Q235" s="21">
        <f t="shared" si="70"/>
        <v>2</v>
      </c>
      <c r="R235" s="21">
        <f t="shared" si="66"/>
        <v>2</v>
      </c>
      <c r="S235" s="20"/>
      <c r="T235" s="22"/>
      <c r="U235" s="23"/>
    </row>
    <row r="236" ht="22.5" hidden="1" customHeight="1">
      <c r="A236" s="9">
        <f>VLOOKUP(B236,FVM_astainv!A:B,2,0)</f>
        <v>5876</v>
      </c>
      <c r="B236" s="25" t="s">
        <v>295</v>
      </c>
      <c r="C236" s="11" t="s">
        <v>245</v>
      </c>
      <c r="D236" s="12" t="str">
        <f>VLOOKUP(B236,FVM_astainv!A:F,6,0)</f>
        <v>Juventus</v>
      </c>
      <c r="E236" s="13" t="str">
        <f>VLOOKUP(B236,FVM_astainv!A:D,4,0)</f>
        <v>Por</v>
      </c>
      <c r="F236" s="11" t="s">
        <v>59</v>
      </c>
      <c r="G236" s="14">
        <v>45474.0</v>
      </c>
      <c r="H236" s="144">
        <f t="shared" si="58"/>
        <v>46569</v>
      </c>
      <c r="I236" s="11" t="s">
        <v>48</v>
      </c>
      <c r="J236" s="16" t="str">
        <f>VLOOKUP(A236,Asteriscati25!B:N,13,0)</f>
        <v>#N/A</v>
      </c>
      <c r="K236" s="26">
        <v>0.0</v>
      </c>
      <c r="L236" s="19" t="str">
        <f t="shared" si="68"/>
        <v>#REF!</v>
      </c>
      <c r="M236" s="19">
        <f>VLOOKUP(B236,FVM_Asta2425!A:M,13,0)</f>
        <v>100</v>
      </c>
      <c r="N236" s="19" t="str">
        <f t="shared" si="6"/>
        <v>#REF!</v>
      </c>
      <c r="O236" s="20">
        <f>VLOOKUP(B236,'FVM_1luglio-31luglio25'!D:Q,14,0)</f>
        <v>86</v>
      </c>
      <c r="P236" s="20">
        <f t="shared" si="71"/>
        <v>86</v>
      </c>
      <c r="Q236" s="21">
        <f t="shared" si="70"/>
        <v>11.5</v>
      </c>
      <c r="R236" s="21">
        <f t="shared" si="66"/>
        <v>11.5</v>
      </c>
      <c r="S236" s="20"/>
      <c r="T236" s="22"/>
      <c r="U236" s="23"/>
    </row>
    <row r="237" ht="22.5" hidden="1" customHeight="1">
      <c r="A237" s="9">
        <f>VLOOKUP(B237,FVM_astainv!A:B,2,0)</f>
        <v>5672</v>
      </c>
      <c r="B237" s="25" t="s">
        <v>777</v>
      </c>
      <c r="C237" s="11" t="s">
        <v>245</v>
      </c>
      <c r="D237" s="12" t="str">
        <f>VLOOKUP(B237,FVM_astainv!A:F,6,0)</f>
        <v>Lazio</v>
      </c>
      <c r="E237" s="13" t="str">
        <f>VLOOKUP(B237,FVM_astainv!A:D,4,0)</f>
        <v>Pc</v>
      </c>
      <c r="F237" s="11" t="s">
        <v>45</v>
      </c>
      <c r="G237" s="14">
        <v>45474.0</v>
      </c>
      <c r="H237" s="144">
        <f t="shared" si="58"/>
        <v>45839</v>
      </c>
      <c r="I237" s="11" t="s">
        <v>48</v>
      </c>
      <c r="J237" s="16" t="str">
        <f>VLOOKUP(A237,Asteriscati25!B:N,13,0)</f>
        <v>#N/A</v>
      </c>
      <c r="K237" s="26">
        <v>0.0</v>
      </c>
      <c r="L237" s="19" t="str">
        <f t="shared" si="68"/>
        <v>#REF!</v>
      </c>
      <c r="M237" s="19">
        <f>VLOOKUP(B237,FVM_Asta2425!A:M,13,0)</f>
        <v>58</v>
      </c>
      <c r="N237" s="19" t="str">
        <f t="shared" si="6"/>
        <v>#REF!</v>
      </c>
      <c r="O237" s="20">
        <f>VLOOKUP(B237,'FVM_1luglio-31luglio25'!D:Q,14,0)</f>
        <v>67</v>
      </c>
      <c r="P237" s="20">
        <f t="shared" si="71"/>
        <v>67</v>
      </c>
      <c r="Q237" s="21">
        <f t="shared" si="70"/>
        <v>6</v>
      </c>
      <c r="R237" s="21">
        <f t="shared" si="66"/>
        <v>6</v>
      </c>
      <c r="S237" s="20"/>
      <c r="T237" s="22"/>
      <c r="U237" s="23"/>
    </row>
    <row r="238" ht="22.5" hidden="1" customHeight="1">
      <c r="A238" s="9">
        <f>VLOOKUP(B238,FVM_astainv!A:B,2,0)</f>
        <v>309</v>
      </c>
      <c r="B238" s="25" t="s">
        <v>297</v>
      </c>
      <c r="C238" s="11" t="s">
        <v>245</v>
      </c>
      <c r="D238" s="12" t="str">
        <f>VLOOKUP(B238,FVM_astainv!A:F,6,0)</f>
        <v>Roma</v>
      </c>
      <c r="E238" s="13" t="str">
        <f>VLOOKUP(B238,FVM_astainv!A:D,4,0)</f>
        <v>A</v>
      </c>
      <c r="F238" s="17" t="str">
        <f>VLOOKUP(B238,'situazione contratti estate 24'!A:I,9,0)</f>
        <v>Obbligo 1+2</v>
      </c>
      <c r="G238" s="14">
        <v>45108.0</v>
      </c>
      <c r="H238" s="144">
        <f t="shared" si="58"/>
        <v>46204</v>
      </c>
      <c r="I238" s="11" t="s">
        <v>48</v>
      </c>
      <c r="J238" s="16" t="str">
        <f>VLOOKUP(A238,Asteriscati25!B:N,13,0)</f>
        <v>#N/A</v>
      </c>
      <c r="K238" s="26">
        <v>0.0</v>
      </c>
      <c r="L238" s="19" t="str">
        <f t="shared" si="68"/>
        <v>#REF!</v>
      </c>
      <c r="M238" s="19">
        <f>VLOOKUP(B238,FVM_Asta2324!C:M,11,0)</f>
        <v>292</v>
      </c>
      <c r="N238" s="19" t="str">
        <f t="shared" si="6"/>
        <v>#REF!</v>
      </c>
      <c r="O238" s="20">
        <f>VLOOKUP(B238,'FVM_1luglio-31luglio25'!D:Q,14,0)</f>
        <v>206</v>
      </c>
      <c r="P238" s="20">
        <f t="shared" si="71"/>
        <v>206</v>
      </c>
      <c r="Q238" s="21">
        <f>VLOOKUP(B238,'situazione contratti estate 24'!A:K,11,0)</f>
        <v>34</v>
      </c>
      <c r="R238" s="21">
        <f t="shared" si="66"/>
        <v>34</v>
      </c>
      <c r="S238" s="20"/>
      <c r="T238" s="22"/>
      <c r="U238" s="23"/>
    </row>
    <row r="239" ht="22.5" hidden="1" customHeight="1">
      <c r="A239" s="9">
        <f>VLOOKUP(B239,FVM_astainv!A:B,2,0)</f>
        <v>795</v>
      </c>
      <c r="B239" s="25" t="s">
        <v>778</v>
      </c>
      <c r="C239" s="11" t="s">
        <v>245</v>
      </c>
      <c r="D239" s="12" t="str">
        <f>VLOOKUP(B239,FVM_astainv!A:F,6,0)</f>
        <v>Roma</v>
      </c>
      <c r="E239" s="13" t="str">
        <f>VLOOKUP(B239,FVM_astainv!A:D,4,0)</f>
        <v>W</v>
      </c>
      <c r="F239" s="11" t="s">
        <v>45</v>
      </c>
      <c r="G239" s="14">
        <v>45474.0</v>
      </c>
      <c r="H239" s="144">
        <f t="shared" si="58"/>
        <v>45839</v>
      </c>
      <c r="I239" s="11" t="s">
        <v>71</v>
      </c>
      <c r="J239" s="16" t="str">
        <f>VLOOKUP(A239,Asteriscati25!B:N,13,0)</f>
        <v>#N/A</v>
      </c>
      <c r="K239" s="26">
        <v>0.2</v>
      </c>
      <c r="L239" s="19" t="str">
        <f t="shared" si="68"/>
        <v>#REF!</v>
      </c>
      <c r="M239" s="19">
        <f>VLOOKUP(B239,FVM_Asta2425!A:M,13,0)</f>
        <v>17</v>
      </c>
      <c r="N239" s="19" t="str">
        <f t="shared" si="6"/>
        <v>#REF!</v>
      </c>
      <c r="O239" s="20">
        <f>VLOOKUP(B239,'FVM_1luglio-31luglio25'!D:Q,14,0)</f>
        <v>16</v>
      </c>
      <c r="P239" s="20">
        <f t="shared" si="71"/>
        <v>16</v>
      </c>
      <c r="Q239" s="21">
        <f t="shared" ref="Q239:Q243" si="72">IF(F239="Standard",CEILING((M239/10),0.5),
IF(OR(F239="Diritto 1+1",M239="Inverno Diritto 0,5 + 1"),CEILING((M239/10)*1.3,0.5),
CEILING((M239/10)*1.15,0.5)))</f>
        <v>2</v>
      </c>
      <c r="R239" s="21">
        <f t="shared" si="66"/>
        <v>0.5</v>
      </c>
      <c r="S239" s="20"/>
      <c r="T239" s="11" t="s">
        <v>245</v>
      </c>
      <c r="U239" s="10"/>
    </row>
    <row r="240" ht="22.5" hidden="1" customHeight="1">
      <c r="A240" s="9">
        <f>VLOOKUP(B240,FVM_astainv!A:B,2,0)</f>
        <v>4465</v>
      </c>
      <c r="B240" s="25" t="s">
        <v>779</v>
      </c>
      <c r="C240" s="11" t="s">
        <v>245</v>
      </c>
      <c r="D240" s="12" t="str">
        <f>VLOOKUP(B240,FVM_astainv!A:F,6,0)</f>
        <v>Juventus</v>
      </c>
      <c r="E240" s="13" t="str">
        <f>VLOOKUP(B240,FVM_astainv!A:D,4,0)</f>
        <v>C;T</v>
      </c>
      <c r="F240" s="11" t="s">
        <v>45</v>
      </c>
      <c r="G240" s="14">
        <v>45474.0</v>
      </c>
      <c r="H240" s="144">
        <f t="shared" si="58"/>
        <v>45839</v>
      </c>
      <c r="I240" s="11" t="s">
        <v>48</v>
      </c>
      <c r="J240" s="16" t="str">
        <f>VLOOKUP(A240,Asteriscati25!B:N,13,0)</f>
        <v>#N/A</v>
      </c>
      <c r="K240" s="26">
        <v>0.0</v>
      </c>
      <c r="L240" s="19" t="str">
        <f t="shared" si="68"/>
        <v>#REF!</v>
      </c>
      <c r="M240" s="19">
        <f>VLOOKUP(B240,FVM_Asta2425!A:M,13,0)</f>
        <v>18</v>
      </c>
      <c r="N240" s="19" t="str">
        <f t="shared" si="6"/>
        <v>#REF!</v>
      </c>
      <c r="O240" s="20">
        <f>VLOOKUP(B240,'FVM_1luglio-31luglio25'!D:Q,14,0)</f>
        <v>19</v>
      </c>
      <c r="P240" s="20">
        <f t="shared" si="71"/>
        <v>19</v>
      </c>
      <c r="Q240" s="21">
        <f t="shared" si="72"/>
        <v>2</v>
      </c>
      <c r="R240" s="21">
        <f t="shared" si="66"/>
        <v>2</v>
      </c>
      <c r="S240" s="20"/>
      <c r="T240" s="22"/>
      <c r="U240" s="23"/>
    </row>
    <row r="241" ht="22.5" hidden="1" customHeight="1">
      <c r="A241" s="9">
        <f>VLOOKUP(B241,FVM_astainv!A:B,2,0)</f>
        <v>5831</v>
      </c>
      <c r="B241" s="25" t="s">
        <v>780</v>
      </c>
      <c r="C241" s="11" t="s">
        <v>245</v>
      </c>
      <c r="D241" s="12" t="str">
        <f>VLOOKUP(B241,FVM_astainv!A:F,6,0)</f>
        <v>Juventus</v>
      </c>
      <c r="E241" s="13" t="str">
        <f>VLOOKUP(B241,FVM_astainv!A:D,4,0)</f>
        <v>Dc</v>
      </c>
      <c r="F241" s="11" t="s">
        <v>45</v>
      </c>
      <c r="G241" s="14">
        <v>45474.0</v>
      </c>
      <c r="H241" s="144">
        <f t="shared" si="58"/>
        <v>45839</v>
      </c>
      <c r="I241" s="11" t="s">
        <v>48</v>
      </c>
      <c r="J241" s="16" t="str">
        <f>VLOOKUP(A241,Asteriscati25!B:N,13,0)</f>
        <v>#N/A</v>
      </c>
      <c r="K241" s="26">
        <v>0.0</v>
      </c>
      <c r="L241" s="19" t="str">
        <f t="shared" si="68"/>
        <v>#REF!</v>
      </c>
      <c r="M241" s="19">
        <f>VLOOKUP(B241,FVM_Asta2425!A:M,13,0)</f>
        <v>16</v>
      </c>
      <c r="N241" s="19" t="str">
        <f t="shared" si="6"/>
        <v>#REF!</v>
      </c>
      <c r="O241" s="20">
        <f>VLOOKUP(B241,'FVM_1luglio-31luglio25'!D:Q,14,0)</f>
        <v>15</v>
      </c>
      <c r="P241" s="20">
        <f t="shared" si="71"/>
        <v>15</v>
      </c>
      <c r="Q241" s="21">
        <f t="shared" si="72"/>
        <v>2</v>
      </c>
      <c r="R241" s="21">
        <f t="shared" si="66"/>
        <v>2</v>
      </c>
      <c r="S241" s="20"/>
      <c r="T241" s="22"/>
      <c r="U241" s="23"/>
    </row>
    <row r="242" ht="22.5" hidden="1" customHeight="1">
      <c r="A242" s="9">
        <f>VLOOKUP(B242,FVM_astainv!A:B,2,0)</f>
        <v>6046</v>
      </c>
      <c r="B242" s="25" t="s">
        <v>781</v>
      </c>
      <c r="C242" s="11" t="s">
        <v>245</v>
      </c>
      <c r="D242" s="12" t="str">
        <f>VLOOKUP(B242,FVM_astainv!A:F,6,0)</f>
        <v>Atalanta</v>
      </c>
      <c r="E242" s="13" t="str">
        <f>VLOOKUP(B242,FVM_astainv!A:D,4,0)</f>
        <v>Dc</v>
      </c>
      <c r="F242" s="11" t="s">
        <v>45</v>
      </c>
      <c r="G242" s="14">
        <v>45474.0</v>
      </c>
      <c r="H242" s="144">
        <f t="shared" si="58"/>
        <v>45839</v>
      </c>
      <c r="I242" s="11" t="s">
        <v>48</v>
      </c>
      <c r="J242" s="16" t="str">
        <f>VLOOKUP(A242,Asteriscati25!B:N,13,0)</f>
        <v>#N/A</v>
      </c>
      <c r="K242" s="26">
        <v>0.0</v>
      </c>
      <c r="L242" s="19" t="str">
        <f t="shared" si="68"/>
        <v>#REF!</v>
      </c>
      <c r="M242" s="19">
        <f>VLOOKUP(B242,FVM_Asta2425!A:M,13,0)</f>
        <v>21</v>
      </c>
      <c r="N242" s="19" t="str">
        <f t="shared" si="6"/>
        <v>#REF!</v>
      </c>
      <c r="O242" s="20">
        <f>VLOOKUP(B242,'FVM_1luglio-31luglio25'!D:Q,14,0)</f>
        <v>20</v>
      </c>
      <c r="P242" s="20">
        <f t="shared" si="71"/>
        <v>20</v>
      </c>
      <c r="Q242" s="21">
        <f t="shared" si="72"/>
        <v>2.5</v>
      </c>
      <c r="R242" s="21">
        <f t="shared" si="66"/>
        <v>2.5</v>
      </c>
      <c r="S242" s="20"/>
      <c r="T242" s="22"/>
      <c r="U242" s="23"/>
      <c r="V242" s="153"/>
      <c r="W242" s="153"/>
      <c r="X242" s="153"/>
      <c r="Y242" s="153"/>
      <c r="Z242" s="153"/>
      <c r="AA242" s="153"/>
      <c r="AB242" s="153"/>
      <c r="AC242" s="153"/>
      <c r="AD242" s="153"/>
      <c r="AE242" s="153"/>
      <c r="AF242" s="153"/>
      <c r="AG242" s="153"/>
      <c r="AH242" s="153"/>
      <c r="AI242" s="153"/>
      <c r="AJ242" s="153"/>
      <c r="AK242" s="153"/>
      <c r="AL242" s="153"/>
      <c r="AM242" s="153"/>
    </row>
    <row r="243" ht="22.5" hidden="1" customHeight="1">
      <c r="A243" s="9">
        <f>VLOOKUP(B243,FVM_astainv!A:B,2,0)</f>
        <v>6672</v>
      </c>
      <c r="B243" s="25" t="s">
        <v>782</v>
      </c>
      <c r="C243" s="11" t="s">
        <v>245</v>
      </c>
      <c r="D243" s="12" t="str">
        <f>VLOOKUP(B243,FVM_astainv!A:F,6,0)</f>
        <v>Venezia</v>
      </c>
      <c r="E243" s="13" t="str">
        <f>VLOOKUP(B243,FVM_astainv!A:D,4,0)</f>
        <v>Dc</v>
      </c>
      <c r="F243" s="11" t="s">
        <v>45</v>
      </c>
      <c r="G243" s="14">
        <v>45474.0</v>
      </c>
      <c r="H243" s="144">
        <f t="shared" si="58"/>
        <v>45839</v>
      </c>
      <c r="I243" s="11" t="s">
        <v>48</v>
      </c>
      <c r="J243" s="16" t="str">
        <f>VLOOKUP(A243,Asteriscati25!B:N,13,0)</f>
        <v>#N/A</v>
      </c>
      <c r="K243" s="26">
        <v>0.0</v>
      </c>
      <c r="L243" s="19" t="str">
        <f t="shared" si="68"/>
        <v>#REF!</v>
      </c>
      <c r="M243" s="19">
        <f>VLOOKUP(B243,FVM_Asta2425!A:M,13,0)</f>
        <v>9</v>
      </c>
      <c r="N243" s="19" t="str">
        <f t="shared" si="6"/>
        <v>#REF!</v>
      </c>
      <c r="O243" s="20">
        <f>VLOOKUP(B243,'FVM_1luglio-31luglio25'!D:Q,14,0)</f>
        <v>12</v>
      </c>
      <c r="P243" s="20">
        <f t="shared" si="71"/>
        <v>12</v>
      </c>
      <c r="Q243" s="21">
        <f t="shared" si="72"/>
        <v>1</v>
      </c>
      <c r="R243" s="21">
        <f t="shared" si="66"/>
        <v>1</v>
      </c>
      <c r="S243" s="20"/>
      <c r="T243" s="22"/>
      <c r="U243" s="23"/>
    </row>
    <row r="244" ht="22.5" hidden="1" customHeight="1">
      <c r="A244" s="9">
        <f>VLOOKUP(B244,FVM_astainv!A:B,2,0)</f>
        <v>5685</v>
      </c>
      <c r="B244" s="25" t="s">
        <v>305</v>
      </c>
      <c r="C244" s="11" t="s">
        <v>245</v>
      </c>
      <c r="D244" s="12" t="str">
        <f>VLOOKUP(B244,FVM_astainv!A:F,6,0)</f>
        <v>Juventus</v>
      </c>
      <c r="E244" s="13" t="str">
        <f>VLOOKUP(B244,FVM_astainv!A:D,4,0)</f>
        <v>T</v>
      </c>
      <c r="F244" s="17" t="str">
        <f>VLOOKUP(B244,'situazione contratti estate 24'!A:I,9,0)</f>
        <v>Obbligo 1+2</v>
      </c>
      <c r="G244" s="14">
        <v>45108.0</v>
      </c>
      <c r="H244" s="144">
        <f t="shared" si="58"/>
        <v>46204</v>
      </c>
      <c r="I244" s="11" t="s">
        <v>71</v>
      </c>
      <c r="J244" s="16" t="str">
        <f>VLOOKUP(A244,Asteriscati25!B:N,13,0)</f>
        <v>#N/A</v>
      </c>
      <c r="K244" s="26">
        <v>0.0</v>
      </c>
      <c r="L244" s="19" t="str">
        <f t="shared" si="68"/>
        <v>#REF!</v>
      </c>
      <c r="M244" s="19">
        <f>VLOOKUP(B244,FVM_Asta2324!C:M,11,0)</f>
        <v>112</v>
      </c>
      <c r="N244" s="19" t="str">
        <f t="shared" si="6"/>
        <v>#REF!</v>
      </c>
      <c r="O244" s="20">
        <f>VLOOKUP(B244,'FVM_1luglio-31luglio25'!D:Q,14,0)</f>
        <v>90</v>
      </c>
      <c r="P244" s="20">
        <f t="shared" si="71"/>
        <v>90</v>
      </c>
      <c r="Q244" s="21">
        <f>VLOOKUP(B244,'situazione contratti estate 24'!A:K,11,0)</f>
        <v>13</v>
      </c>
      <c r="R244" s="21">
        <f t="shared" si="66"/>
        <v>0</v>
      </c>
      <c r="S244" s="20"/>
      <c r="T244" s="11" t="s">
        <v>245</v>
      </c>
      <c r="U244" s="10"/>
    </row>
    <row r="245" ht="22.5" hidden="1" customHeight="1">
      <c r="A245" s="9">
        <f>VLOOKUP(B245,FVM_astainv!A:B,2,0)</f>
        <v>5578</v>
      </c>
      <c r="B245" s="25" t="s">
        <v>783</v>
      </c>
      <c r="C245" s="11" t="s">
        <v>245</v>
      </c>
      <c r="D245" s="12" t="str">
        <f>VLOOKUP(B245,FVM_astainv!A:F,6,0)</f>
        <v>Atalanta</v>
      </c>
      <c r="E245" s="13" t="str">
        <f>VLOOKUP(B245,FVM_astainv!A:D,4,0)</f>
        <v>Dd;Dc</v>
      </c>
      <c r="F245" s="11" t="s">
        <v>45</v>
      </c>
      <c r="G245" s="14">
        <v>45474.0</v>
      </c>
      <c r="H245" s="144">
        <f t="shared" si="58"/>
        <v>45839</v>
      </c>
      <c r="I245" s="11" t="s">
        <v>46</v>
      </c>
      <c r="J245" s="16" t="str">
        <f>VLOOKUP(A245,Asteriscati25!B:N,13,0)</f>
        <v>#N/A</v>
      </c>
      <c r="K245" s="26">
        <v>0.8</v>
      </c>
      <c r="L245" s="19" t="str">
        <f t="shared" si="68"/>
        <v>#REF!</v>
      </c>
      <c r="M245" s="19">
        <f>VLOOKUP(B245,FVM_Asta2425!A:M,13,0)</f>
        <v>26</v>
      </c>
      <c r="N245" s="19" t="str">
        <f t="shared" si="6"/>
        <v>#REF!</v>
      </c>
      <c r="O245" s="20">
        <f>VLOOKUP(B245,'FVM_1luglio-31luglio25'!D:Q,14,0)</f>
        <v>19</v>
      </c>
      <c r="P245" s="20">
        <f t="shared" si="71"/>
        <v>19</v>
      </c>
      <c r="Q245" s="21">
        <f>IF(F245="Standard",CEILING((M245/10),0.5),
IF(OR(F245="Diritto 1+1",M245="Inverno Diritto 0,5 + 1"),CEILING((M245/10)*1.3,0.5),
CEILING((M245/10)*1.15,0.5)))</f>
        <v>3</v>
      </c>
      <c r="R245" s="21">
        <f t="shared" si="66"/>
        <v>1.5</v>
      </c>
      <c r="S245" s="20"/>
      <c r="T245" s="11" t="s">
        <v>90</v>
      </c>
      <c r="U245" s="10" t="s">
        <v>784</v>
      </c>
    </row>
    <row r="246" ht="22.5" hidden="1" customHeight="1">
      <c r="A246" s="9">
        <f>VLOOKUP(B246,FVM_astainv!A:B,2,0)</f>
        <v>5995</v>
      </c>
      <c r="B246" s="25" t="s">
        <v>785</v>
      </c>
      <c r="C246" s="11" t="s">
        <v>245</v>
      </c>
      <c r="D246" s="12" t="str">
        <f>VLOOKUP(B246,FVM_astainv!A:F,6,0)</f>
        <v>Atalanta</v>
      </c>
      <c r="E246" s="13" t="str">
        <f>VLOOKUP(B246,FVM_astainv!A:D,4,0)</f>
        <v>A</v>
      </c>
      <c r="F246" s="17" t="str">
        <f>VLOOKUP(B246,'situazione contratti estate 24'!A:I,9,0)</f>
        <v>Diritto 1+1</v>
      </c>
      <c r="G246" s="14">
        <v>45108.0</v>
      </c>
      <c r="H246" s="144">
        <f t="shared" si="58"/>
        <v>45839</v>
      </c>
      <c r="I246" s="11" t="s">
        <v>605</v>
      </c>
      <c r="J246" s="16" t="str">
        <f>VLOOKUP(A246,Asteriscati25!B:N,13,0)</f>
        <v>#N/A</v>
      </c>
      <c r="K246" s="26">
        <v>1.0</v>
      </c>
      <c r="L246" s="19" t="str">
        <f t="shared" si="68"/>
        <v>#REF!</v>
      </c>
      <c r="M246" s="19">
        <f>VLOOKUP(B246,FVM_Asta2324!C:M,11,0)</f>
        <v>37</v>
      </c>
      <c r="N246" s="19" t="str">
        <f t="shared" si="6"/>
        <v>#REF!</v>
      </c>
      <c r="O246" s="20">
        <f>VLOOKUP(B246,'FVM_1luglio-31luglio25'!D:Q,14,0)</f>
        <v>110</v>
      </c>
      <c r="P246" s="20">
        <f t="shared" si="71"/>
        <v>110</v>
      </c>
      <c r="Q246" s="21">
        <f>VLOOKUP(B246,'situazione contratti estate 24'!A:K,11,0)</f>
        <v>5</v>
      </c>
      <c r="R246" s="21" t="str">
        <f t="shared" si="66"/>
        <v/>
      </c>
      <c r="S246" s="20"/>
      <c r="T246" s="11" t="s">
        <v>148</v>
      </c>
      <c r="U246" s="10"/>
      <c r="V246" s="153"/>
      <c r="W246" s="153"/>
      <c r="X246" s="153"/>
      <c r="Y246" s="153"/>
      <c r="Z246" s="153"/>
      <c r="AA246" s="153"/>
      <c r="AB246" s="153"/>
      <c r="AC246" s="153"/>
      <c r="AD246" s="153"/>
      <c r="AE246" s="153"/>
      <c r="AF246" s="153"/>
      <c r="AG246" s="153"/>
      <c r="AH246" s="153"/>
      <c r="AI246" s="153"/>
      <c r="AJ246" s="153"/>
      <c r="AK246" s="153"/>
      <c r="AL246" s="153"/>
      <c r="AM246" s="153"/>
    </row>
    <row r="247" ht="22.5" hidden="1" customHeight="1">
      <c r="A247" s="9">
        <f>VLOOKUP(B247,FVM_astainv!A:B,2,0)</f>
        <v>6206</v>
      </c>
      <c r="B247" s="25" t="s">
        <v>786</v>
      </c>
      <c r="C247" s="11" t="s">
        <v>245</v>
      </c>
      <c r="D247" s="12" t="str">
        <f>VLOOKUP(B247,FVM_astainv!A:F,6,0)</f>
        <v>Bologna</v>
      </c>
      <c r="E247" s="13" t="str">
        <f>VLOOKUP(B247,FVM_astainv!A:D,4,0)</f>
        <v>C;T</v>
      </c>
      <c r="F247" s="17" t="str">
        <f>VLOOKUP(B247,'situazione contratti estate 24'!A:I,9,0)</f>
        <v>Diritto 1+1</v>
      </c>
      <c r="G247" s="14">
        <v>45108.0</v>
      </c>
      <c r="H247" s="144">
        <f t="shared" si="58"/>
        <v>45839</v>
      </c>
      <c r="I247" s="11" t="s">
        <v>605</v>
      </c>
      <c r="J247" s="16" t="str">
        <f>VLOOKUP(A247,Asteriscati25!B:N,13,0)</f>
        <v>#N/A</v>
      </c>
      <c r="K247" s="26">
        <v>0.0</v>
      </c>
      <c r="L247" s="19" t="str">
        <f t="shared" si="68"/>
        <v>#REF!</v>
      </c>
      <c r="M247" s="19">
        <f>VLOOKUP(B247,FVM_Asta2324!C:M,11,0)</f>
        <v>18</v>
      </c>
      <c r="N247" s="19" t="str">
        <f t="shared" si="6"/>
        <v>#REF!</v>
      </c>
      <c r="O247" s="20">
        <f>VLOOKUP(B247,'FVM_1luglio-31luglio25'!D:Q,14,0)</f>
        <v>28</v>
      </c>
      <c r="P247" s="20">
        <f t="shared" si="71"/>
        <v>28</v>
      </c>
      <c r="Q247" s="21">
        <f>VLOOKUP(B247,'situazione contratti estate 24'!A:K,11,0)</f>
        <v>2.5</v>
      </c>
      <c r="R247" s="21" t="str">
        <f t="shared" si="66"/>
        <v/>
      </c>
      <c r="S247" s="20"/>
      <c r="T247" s="22"/>
      <c r="U247" s="23"/>
      <c r="V247" s="153"/>
      <c r="W247" s="153"/>
      <c r="X247" s="153"/>
      <c r="Y247" s="153"/>
      <c r="Z247" s="153"/>
      <c r="AA247" s="153"/>
      <c r="AB247" s="153"/>
      <c r="AC247" s="153"/>
      <c r="AD247" s="153"/>
      <c r="AE247" s="153"/>
      <c r="AF247" s="153"/>
      <c r="AG247" s="153"/>
      <c r="AH247" s="153"/>
      <c r="AI247" s="153"/>
      <c r="AJ247" s="153"/>
      <c r="AK247" s="153"/>
      <c r="AL247" s="153"/>
      <c r="AM247" s="153"/>
    </row>
    <row r="248" ht="22.5" hidden="1" customHeight="1">
      <c r="A248" s="9">
        <f>VLOOKUP(B248,FVM_astainv!A:B,2,0)</f>
        <v>2766</v>
      </c>
      <c r="B248" s="78" t="s">
        <v>787</v>
      </c>
      <c r="C248" s="11" t="s">
        <v>245</v>
      </c>
      <c r="D248" s="12" t="str">
        <f>VLOOKUP(B248,FVM_astainv!A:F,6,0)</f>
        <v>Atalanta</v>
      </c>
      <c r="E248" s="13" t="str">
        <f>VLOOKUP(B248,FVM_astainv!A:D,4,0)</f>
        <v>T;A</v>
      </c>
      <c r="F248" s="11" t="s">
        <v>55</v>
      </c>
      <c r="G248" s="14">
        <v>45474.0</v>
      </c>
      <c r="H248" s="144">
        <f t="shared" si="58"/>
        <v>46204</v>
      </c>
      <c r="I248" s="11" t="s">
        <v>605</v>
      </c>
      <c r="J248" s="16" t="str">
        <f>VLOOKUP(A248,Asteriscati25!B:N,13,0)</f>
        <v>#N/A</v>
      </c>
      <c r="K248" s="26">
        <v>0.0</v>
      </c>
      <c r="L248" s="19" t="str">
        <f t="shared" si="68"/>
        <v>#REF!</v>
      </c>
      <c r="M248" s="19">
        <f>VLOOKUP(B248,FVM_Asta2425!A:M,13,0)</f>
        <v>30</v>
      </c>
      <c r="N248" s="19" t="str">
        <f t="shared" si="6"/>
        <v>#REF!</v>
      </c>
      <c r="O248" s="20">
        <f>VLOOKUP(B248,'FVM_1luglio-31luglio25'!D:Q,14,0)</f>
        <v>20</v>
      </c>
      <c r="P248" s="20">
        <f t="shared" si="71"/>
        <v>20</v>
      </c>
      <c r="Q248" s="21">
        <f t="shared" ref="Q248:Q249" si="73">IF(F248="Standard",CEILING((M248/10),0.5),
IF(OR(F248="Diritto 1+1",M248="Inverno Diritto 0,5 + 1"),CEILING((M248/10)*1.3,0.5),
CEILING((M248/10)*1.15,0.5)))</f>
        <v>4</v>
      </c>
      <c r="R248" s="21" t="str">
        <f t="shared" si="66"/>
        <v/>
      </c>
      <c r="S248" s="20"/>
      <c r="T248" s="22"/>
      <c r="U248" s="23"/>
    </row>
    <row r="249" ht="22.5" hidden="1" customHeight="1">
      <c r="A249" s="9">
        <f>VLOOKUP(B249,FVM_astainv!A:B,2,0)</f>
        <v>2263</v>
      </c>
      <c r="B249" s="25" t="s">
        <v>788</v>
      </c>
      <c r="C249" s="11" t="s">
        <v>245</v>
      </c>
      <c r="D249" s="12" t="str">
        <f>VLOOKUP(B249,FVM_astainv!A:F,6,0)</f>
        <v>Lazio</v>
      </c>
      <c r="E249" s="13" t="str">
        <f>VLOOKUP(B249,FVM_astainv!A:D,4,0)</f>
        <v>Dd;E</v>
      </c>
      <c r="F249" s="11" t="s">
        <v>45</v>
      </c>
      <c r="G249" s="14">
        <v>45474.0</v>
      </c>
      <c r="H249" s="144">
        <f t="shared" si="58"/>
        <v>45839</v>
      </c>
      <c r="I249" s="11" t="s">
        <v>48</v>
      </c>
      <c r="J249" s="16" t="str">
        <f>VLOOKUP(A249,Asteriscati25!B:N,13,0)</f>
        <v>#N/A</v>
      </c>
      <c r="K249" s="26">
        <v>0.0</v>
      </c>
      <c r="L249" s="19" t="str">
        <f t="shared" si="68"/>
        <v>#REF!</v>
      </c>
      <c r="M249" s="19">
        <f>VLOOKUP(B249,FVM_Asta2425!A:M,13,0)</f>
        <v>12</v>
      </c>
      <c r="N249" s="19" t="str">
        <f t="shared" si="6"/>
        <v>#REF!</v>
      </c>
      <c r="O249" s="20">
        <f>VLOOKUP(B249,'FVM_1luglio-31luglio25'!D:Q,14,0)</f>
        <v>10</v>
      </c>
      <c r="P249" s="20">
        <f t="shared" si="71"/>
        <v>10</v>
      </c>
      <c r="Q249" s="21">
        <f t="shared" si="73"/>
        <v>1.5</v>
      </c>
      <c r="R249" s="21">
        <f t="shared" si="66"/>
        <v>1.5</v>
      </c>
      <c r="S249" s="20"/>
      <c r="T249" s="22"/>
      <c r="U249" s="23"/>
    </row>
    <row r="250" ht="22.5" hidden="1" customHeight="1">
      <c r="A250" s="9">
        <f>VLOOKUP(B250,FVM_astainv!A:B,2,0)</f>
        <v>4510</v>
      </c>
      <c r="B250" s="25" t="s">
        <v>306</v>
      </c>
      <c r="C250" s="11" t="s">
        <v>245</v>
      </c>
      <c r="D250" s="12" t="str">
        <f>VLOOKUP(B250,FVM_astainv!A:F,6,0)</f>
        <v>Milan</v>
      </c>
      <c r="E250" s="13" t="str">
        <f>VLOOKUP(B250,FVM_astainv!A:D,4,0)</f>
        <v>A</v>
      </c>
      <c r="F250" s="17" t="str">
        <f>VLOOKUP(B250,'situazione contratti estate 24'!A:I,9,0)</f>
        <v>Obbligo 1+2</v>
      </c>
      <c r="G250" s="14">
        <v>45108.0</v>
      </c>
      <c r="H250" s="144">
        <f t="shared" si="58"/>
        <v>46204</v>
      </c>
      <c r="I250" s="11" t="s">
        <v>48</v>
      </c>
      <c r="J250" s="16" t="str">
        <f>VLOOKUP(A250,Asteriscati25!B:N,13,0)</f>
        <v>#N/A</v>
      </c>
      <c r="K250" s="26">
        <v>0.0</v>
      </c>
      <c r="L250" s="19" t="str">
        <f t="shared" si="68"/>
        <v>#REF!</v>
      </c>
      <c r="M250" s="19">
        <f>VLOOKUP(B250,FVM_Asta2324!C:M,11,0)</f>
        <v>282</v>
      </c>
      <c r="N250" s="19" t="str">
        <f t="shared" si="6"/>
        <v>#REF!</v>
      </c>
      <c r="O250" s="20">
        <f>VLOOKUP(B250,'FVM_1luglio-31luglio25'!D:Q,14,0)</f>
        <v>177</v>
      </c>
      <c r="P250" s="20">
        <f t="shared" si="71"/>
        <v>177</v>
      </c>
      <c r="Q250" s="21">
        <f>VLOOKUP(B250,'situazione contratti estate 24'!A:K,11,0)</f>
        <v>32.5</v>
      </c>
      <c r="R250" s="21">
        <f t="shared" si="66"/>
        <v>32.5</v>
      </c>
      <c r="S250" s="20"/>
      <c r="T250" s="22"/>
      <c r="U250" s="23"/>
    </row>
    <row r="251" ht="22.5" hidden="1" customHeight="1">
      <c r="A251" s="9">
        <f>VLOOKUP(B251,FVM_astainv!A:B,2,0)</f>
        <v>827</v>
      </c>
      <c r="B251" s="25" t="s">
        <v>789</v>
      </c>
      <c r="C251" s="11" t="s">
        <v>245</v>
      </c>
      <c r="D251" s="12" t="str">
        <f>VLOOKUP(B251,FVM_astainv!A:F,6,0)</f>
        <v>Juventus</v>
      </c>
      <c r="E251" s="13" t="str">
        <f>VLOOKUP(B251,FVM_astainv!A:D,4,0)</f>
        <v>M;C</v>
      </c>
      <c r="F251" s="11" t="s">
        <v>45</v>
      </c>
      <c r="G251" s="14">
        <v>45474.0</v>
      </c>
      <c r="H251" s="144">
        <f t="shared" si="58"/>
        <v>45839</v>
      </c>
      <c r="I251" s="11" t="s">
        <v>48</v>
      </c>
      <c r="J251" s="16" t="str">
        <f>VLOOKUP(A251,Asteriscati25!B:N,13,0)</f>
        <v>#N/A</v>
      </c>
      <c r="K251" s="26">
        <v>0.0</v>
      </c>
      <c r="L251" s="19" t="str">
        <f t="shared" si="68"/>
        <v>#REF!</v>
      </c>
      <c r="M251" s="19">
        <f>VLOOKUP(B251,FVM_Asta2425!A:M,13,0)</f>
        <v>22</v>
      </c>
      <c r="N251" s="19" t="str">
        <f t="shared" si="6"/>
        <v>#REF!</v>
      </c>
      <c r="O251" s="20">
        <f>VLOOKUP(B251,'FVM_1luglio-31luglio25'!D:Q,14,0)</f>
        <v>30</v>
      </c>
      <c r="P251" s="20">
        <f t="shared" si="71"/>
        <v>30</v>
      </c>
      <c r="Q251" s="21">
        <f t="shared" ref="Q251:Q253" si="74">IF(F251="Standard",CEILING((M251/10),0.5),
IF(OR(F251="Diritto 1+1",M251="Inverno Diritto 0,5 + 1"),CEILING((M251/10)*1.3,0.5),
CEILING((M251/10)*1.15,0.5)))</f>
        <v>2.5</v>
      </c>
      <c r="R251" s="21">
        <f t="shared" si="66"/>
        <v>2.5</v>
      </c>
      <c r="S251" s="20"/>
      <c r="T251" s="22"/>
      <c r="U251" s="23"/>
    </row>
    <row r="252" ht="22.5" hidden="1" customHeight="1">
      <c r="A252" s="9">
        <f>VLOOKUP(B252,FVM_astainv!A:B,2,0)</f>
        <v>5589</v>
      </c>
      <c r="B252" s="25" t="s">
        <v>790</v>
      </c>
      <c r="C252" s="11" t="s">
        <v>245</v>
      </c>
      <c r="D252" s="12" t="str">
        <f>VLOOKUP(B252,FVM_astainv!A:F,6,0)</f>
        <v>Roma</v>
      </c>
      <c r="E252" s="13" t="str">
        <f>VLOOKUP(B252,FVM_astainv!A:D,4,0)</f>
        <v>M;C</v>
      </c>
      <c r="F252" s="11" t="s">
        <v>45</v>
      </c>
      <c r="G252" s="14">
        <v>45474.0</v>
      </c>
      <c r="H252" s="144">
        <f t="shared" si="58"/>
        <v>45839</v>
      </c>
      <c r="I252" s="11" t="s">
        <v>89</v>
      </c>
      <c r="J252" s="16" t="str">
        <f>VLOOKUP(A252,Asteriscati25!B:N,13,0)</f>
        <v>#N/A</v>
      </c>
      <c r="K252" s="26">
        <v>0.8</v>
      </c>
      <c r="L252" s="19" t="str">
        <f t="shared" si="68"/>
        <v>#REF!</v>
      </c>
      <c r="M252" s="19">
        <f>VLOOKUP(B252,FVM_Asta2425!A:M,13,0)</f>
        <v>19</v>
      </c>
      <c r="N252" s="19" t="str">
        <f t="shared" si="6"/>
        <v>#REF!</v>
      </c>
      <c r="O252" s="20">
        <f>VLOOKUP(B252,'FVM_1luglio-31luglio25'!D:Q,14,0)</f>
        <v>32</v>
      </c>
      <c r="P252" s="20">
        <f t="shared" si="71"/>
        <v>32</v>
      </c>
      <c r="Q252" s="21">
        <f t="shared" si="74"/>
        <v>2</v>
      </c>
      <c r="R252" s="21">
        <f t="shared" si="66"/>
        <v>2</v>
      </c>
      <c r="S252" s="20"/>
      <c r="T252" s="11" t="s">
        <v>90</v>
      </c>
      <c r="U252" s="10"/>
    </row>
    <row r="253" ht="22.5" hidden="1" customHeight="1">
      <c r="A253" s="9">
        <f>VLOOKUP(B253,FVM_astainv!A:B,2,0)</f>
        <v>6638</v>
      </c>
      <c r="B253" s="25" t="s">
        <v>791</v>
      </c>
      <c r="C253" s="11" t="s">
        <v>245</v>
      </c>
      <c r="D253" s="12" t="str">
        <f>VLOOKUP(B253,FVM_astainv!A:F,6,0)</f>
        <v>Napoli</v>
      </c>
      <c r="E253" s="13" t="str">
        <f>VLOOKUP(B253,FVM_astainv!A:D,4,0)</f>
        <v>Dc</v>
      </c>
      <c r="F253" s="11" t="s">
        <v>45</v>
      </c>
      <c r="G253" s="14">
        <v>45474.0</v>
      </c>
      <c r="H253" s="144">
        <f t="shared" si="58"/>
        <v>45839</v>
      </c>
      <c r="I253" s="11" t="s">
        <v>46</v>
      </c>
      <c r="J253" s="16" t="str">
        <f>VLOOKUP(A253,Asteriscati25!B:N,13,0)</f>
        <v>#N/A</v>
      </c>
      <c r="K253" s="26">
        <v>0.0</v>
      </c>
      <c r="L253" s="19" t="str">
        <f t="shared" si="68"/>
        <v>#REF!</v>
      </c>
      <c r="M253" s="19">
        <f>VLOOKUP(B253,FVM_Asta2425!A:M,13,0)</f>
        <v>18</v>
      </c>
      <c r="N253" s="19" t="str">
        <f t="shared" si="6"/>
        <v>#REF!</v>
      </c>
      <c r="O253" s="20">
        <f>VLOOKUP(B253,'FVM_1luglio-31luglio25'!D:Q,14,0)</f>
        <v>11</v>
      </c>
      <c r="P253" s="20">
        <f t="shared" si="71"/>
        <v>11</v>
      </c>
      <c r="Q253" s="21">
        <f t="shared" si="74"/>
        <v>2</v>
      </c>
      <c r="R253" s="21">
        <f t="shared" si="66"/>
        <v>1</v>
      </c>
      <c r="S253" s="20"/>
      <c r="T253" s="22"/>
      <c r="U253" s="23"/>
    </row>
    <row r="254" ht="22.5" hidden="1" customHeight="1">
      <c r="A254" s="9">
        <f>VLOOKUP(B254,FVM_astainv!A:B,2,0)</f>
        <v>6459</v>
      </c>
      <c r="B254" s="102" t="s">
        <v>792</v>
      </c>
      <c r="C254" s="157" t="s">
        <v>245</v>
      </c>
      <c r="D254" s="12" t="str">
        <f>VLOOKUP(B254,FVM_astainv!A:F,6,0)</f>
        <v>Lecce</v>
      </c>
      <c r="E254" s="13" t="str">
        <f>VLOOKUP(B254,FVM_astainv!A:D,4,0)</f>
        <v>W;A</v>
      </c>
      <c r="F254" s="190" t="str">
        <f>VLOOKUP(B254,'situazione contratti estate 24'!A:I,9,0)</f>
        <v>Diritto 1+1</v>
      </c>
      <c r="G254" s="66">
        <v>45108.0</v>
      </c>
      <c r="H254" s="146">
        <f t="shared" si="58"/>
        <v>45839</v>
      </c>
      <c r="I254" s="11" t="s">
        <v>605</v>
      </c>
      <c r="J254" s="104" t="str">
        <f>VLOOKUP(A254,Asteriscati25!B:N,13,0)</f>
        <v>#N/A</v>
      </c>
      <c r="K254" s="158">
        <v>0.4</v>
      </c>
      <c r="L254" s="106" t="str">
        <f t="shared" si="68"/>
        <v>#REF!</v>
      </c>
      <c r="M254" s="106">
        <f>VLOOKUP(B254,FVM_Asta2324!C:M,11,0)</f>
        <v>25</v>
      </c>
      <c r="N254" s="19" t="str">
        <f t="shared" si="6"/>
        <v>#REF!</v>
      </c>
      <c r="O254" s="20">
        <f>VLOOKUP(B254,'FVM_1luglio-31luglio25'!D:Q,14,0)</f>
        <v>10</v>
      </c>
      <c r="P254" s="159">
        <f t="shared" si="71"/>
        <v>10</v>
      </c>
      <c r="Q254" s="160">
        <f>VLOOKUP(B254,'situazione contratti estate 24'!A:K,11,0)</f>
        <v>3.5</v>
      </c>
      <c r="R254" s="160" t="str">
        <f t="shared" si="66"/>
        <v/>
      </c>
      <c r="S254" s="108"/>
      <c r="T254" s="134" t="s">
        <v>172</v>
      </c>
      <c r="U254" s="162"/>
    </row>
    <row r="255" ht="22.5" hidden="1" customHeight="1">
      <c r="A255" s="9">
        <f>VLOOKUP(B255,FVM_astainv!A:B,2,0)</f>
        <v>2188</v>
      </c>
      <c r="B255" s="25" t="s">
        <v>793</v>
      </c>
      <c r="C255" s="11" t="s">
        <v>245</v>
      </c>
      <c r="D255" s="12" t="str">
        <f>VLOOKUP(B255,FVM_astainv!A:F,6,0)</f>
        <v>Lazio</v>
      </c>
      <c r="E255" s="13" t="str">
        <f>VLOOKUP(B255,FVM_astainv!A:D,4,0)</f>
        <v>Dd;Ds;E</v>
      </c>
      <c r="F255" s="11" t="s">
        <v>45</v>
      </c>
      <c r="G255" s="14">
        <v>45474.0</v>
      </c>
      <c r="H255" s="144">
        <f t="shared" si="58"/>
        <v>45839</v>
      </c>
      <c r="I255" s="11" t="s">
        <v>48</v>
      </c>
      <c r="J255" s="16" t="str">
        <f>VLOOKUP(A255,Asteriscati25!B:N,13,0)</f>
        <v>#N/A</v>
      </c>
      <c r="K255" s="26">
        <v>0.0</v>
      </c>
      <c r="L255" s="19" t="str">
        <f t="shared" si="68"/>
        <v>#REF!</v>
      </c>
      <c r="M255" s="19">
        <f>VLOOKUP(B255,FVM_Asta2425!A:M,13,0)</f>
        <v>12</v>
      </c>
      <c r="N255" s="19" t="str">
        <f t="shared" si="6"/>
        <v>#REF!</v>
      </c>
      <c r="O255" s="20">
        <f>VLOOKUP(B255,'FVM_1luglio-31luglio25'!D:Q,14,0)</f>
        <v>21</v>
      </c>
      <c r="P255" s="20">
        <f t="shared" si="71"/>
        <v>21</v>
      </c>
      <c r="Q255" s="21">
        <f t="shared" ref="Q255:Q259" si="75">IF(F255="Standard",CEILING((M255/10),0.5),
IF(OR(F255="Diritto 1+1",M255="Inverno Diritto 0,5 + 1"),CEILING((M255/10)*1.3,0.5),
CEILING((M255/10)*1.15,0.5)))</f>
        <v>1.5</v>
      </c>
      <c r="R255" s="21">
        <f t="shared" si="66"/>
        <v>1.5</v>
      </c>
      <c r="S255" s="20"/>
      <c r="T255" s="22"/>
      <c r="U255" s="23"/>
    </row>
    <row r="256" ht="22.5" hidden="1" customHeight="1">
      <c r="A256" s="9" t="str">
        <f>VLOOKUP(B256,FVM_astainv!A:B,2,0)</f>
        <v>#N/A</v>
      </c>
      <c r="B256" s="25" t="s">
        <v>794</v>
      </c>
      <c r="C256" s="11" t="s">
        <v>245</v>
      </c>
      <c r="D256" s="12" t="str">
        <f>VLOOKUP(B256,FVM_astainv!A:F,6,0)</f>
        <v>#N/A</v>
      </c>
      <c r="E256" s="13" t="str">
        <f>VLOOKUP(B256,FVM_astainv!A:D,4,0)</f>
        <v>#N/A</v>
      </c>
      <c r="F256" s="11" t="s">
        <v>43</v>
      </c>
      <c r="G256" s="14">
        <v>45474.0</v>
      </c>
      <c r="H256" s="144">
        <f t="shared" si="58"/>
        <v>401768</v>
      </c>
      <c r="I256" s="11" t="s">
        <v>43</v>
      </c>
      <c r="J256" s="16" t="str">
        <f>VLOOKUP(A256,Asteriscati25!B:N,13,0)</f>
        <v>#N/A</v>
      </c>
      <c r="K256" s="26">
        <v>0.0</v>
      </c>
      <c r="L256" s="19" t="str">
        <f t="shared" si="68"/>
        <v>#REF!</v>
      </c>
      <c r="M256" s="27">
        <v>1.0</v>
      </c>
      <c r="N256" s="19" t="str">
        <f t="shared" si="6"/>
        <v>#REF!</v>
      </c>
      <c r="O256" s="20" t="str">
        <f>VLOOKUP(B256,'FVM_1luglio-31luglio25'!D:Q,14,0)</f>
        <v>#N/A</v>
      </c>
      <c r="P256" s="9">
        <v>0.0</v>
      </c>
      <c r="Q256" s="21">
        <f t="shared" si="75"/>
        <v>0.5</v>
      </c>
      <c r="R256" s="21">
        <f t="shared" si="66"/>
        <v>0.5</v>
      </c>
      <c r="S256" s="20"/>
      <c r="T256" s="22"/>
      <c r="U256" s="23"/>
    </row>
    <row r="257" ht="22.5" hidden="1" customHeight="1">
      <c r="A257" s="9">
        <f>VLOOKUP(B257,FVM_astainv!A:B,2,0)</f>
        <v>6244</v>
      </c>
      <c r="B257" s="163" t="s">
        <v>795</v>
      </c>
      <c r="C257" s="70" t="s">
        <v>245</v>
      </c>
      <c r="D257" s="12" t="str">
        <f>VLOOKUP(B257,FVM_astainv!A:F,6,0)</f>
        <v>Genoa</v>
      </c>
      <c r="E257" s="13" t="str">
        <f>VLOOKUP(B257,FVM_astainv!A:D,4,0)</f>
        <v>Dc</v>
      </c>
      <c r="F257" s="70" t="s">
        <v>43</v>
      </c>
      <c r="G257" s="154">
        <v>45474.0</v>
      </c>
      <c r="H257" s="151">
        <f t="shared" si="58"/>
        <v>401768</v>
      </c>
      <c r="I257" s="11" t="s">
        <v>43</v>
      </c>
      <c r="J257" s="71" t="str">
        <f>VLOOKUP(A257,Asteriscati25!B:N,13,0)</f>
        <v>#N/A</v>
      </c>
      <c r="K257" s="194">
        <v>0.0</v>
      </c>
      <c r="L257" s="166" t="str">
        <f t="shared" si="68"/>
        <v>#REF!</v>
      </c>
      <c r="M257" s="166">
        <f>VLOOKUP(B257,FVM_Asta2425!A:M,13,0)</f>
        <v>1</v>
      </c>
      <c r="N257" s="19" t="str">
        <f t="shared" si="6"/>
        <v>#REF!</v>
      </c>
      <c r="O257" s="20">
        <f>VLOOKUP(B257,'FVM_1luglio-31luglio25'!D:Q,14,0)</f>
        <v>3</v>
      </c>
      <c r="P257" s="20">
        <f t="shared" ref="P257:P272" si="76">IFERROR(N257,O257)</f>
        <v>3</v>
      </c>
      <c r="Q257" s="167">
        <f t="shared" si="75"/>
        <v>0.5</v>
      </c>
      <c r="R257" s="167">
        <f t="shared" si="66"/>
        <v>0.5</v>
      </c>
      <c r="S257" s="73"/>
      <c r="T257" s="99"/>
      <c r="U257" s="100"/>
    </row>
    <row r="258" ht="22.5" hidden="1" customHeight="1">
      <c r="A258" s="9">
        <f>VLOOKUP(B258,FVM_astainv!A:B,2,0)</f>
        <v>6184</v>
      </c>
      <c r="B258" s="25" t="s">
        <v>796</v>
      </c>
      <c r="C258" s="11" t="s">
        <v>245</v>
      </c>
      <c r="D258" s="12" t="str">
        <f>VLOOKUP(B258,FVM_astainv!A:F,6,0)</f>
        <v>Fiorentina</v>
      </c>
      <c r="E258" s="13" t="str">
        <f>VLOOKUP(B258,FVM_astainv!A:D,4,0)</f>
        <v>Por</v>
      </c>
      <c r="F258" s="11" t="s">
        <v>43</v>
      </c>
      <c r="G258" s="14">
        <v>45474.0</v>
      </c>
      <c r="H258" s="144">
        <f t="shared" si="58"/>
        <v>401768</v>
      </c>
      <c r="I258" s="11" t="s">
        <v>43</v>
      </c>
      <c r="J258" s="16" t="str">
        <f>VLOOKUP(A258,Asteriscati25!B:N,13,0)</f>
        <v>#N/A</v>
      </c>
      <c r="K258" s="26">
        <v>0.0</v>
      </c>
      <c r="L258" s="19" t="str">
        <f t="shared" si="68"/>
        <v>#REF!</v>
      </c>
      <c r="M258" s="19">
        <f>VLOOKUP(B258,FVM_Asta2425!A:M,13,0)</f>
        <v>1</v>
      </c>
      <c r="N258" s="19" t="str">
        <f t="shared" si="6"/>
        <v>#REF!</v>
      </c>
      <c r="O258" s="20">
        <f>VLOOKUP(B258,'FVM_1luglio-31luglio25'!D:Q,14,0)</f>
        <v>1</v>
      </c>
      <c r="P258" s="20">
        <f t="shared" si="76"/>
        <v>1</v>
      </c>
      <c r="Q258" s="21">
        <f t="shared" si="75"/>
        <v>0.5</v>
      </c>
      <c r="R258" s="21">
        <f t="shared" si="66"/>
        <v>0.5</v>
      </c>
      <c r="S258" s="20"/>
      <c r="T258" s="22"/>
      <c r="U258" s="23"/>
    </row>
    <row r="259" ht="22.5" hidden="1" customHeight="1">
      <c r="A259" s="9">
        <f>VLOOKUP(B259,FVM_astainv!A:B,2,0)</f>
        <v>186</v>
      </c>
      <c r="B259" s="163" t="s">
        <v>797</v>
      </c>
      <c r="C259" s="70" t="s">
        <v>245</v>
      </c>
      <c r="D259" s="12" t="str">
        <f>VLOOKUP(B259,FVM_astainv!A:F,6,0)</f>
        <v>Lecce</v>
      </c>
      <c r="E259" s="13" t="str">
        <f>VLOOKUP(B259,FVM_astainv!A:D,4,0)</f>
        <v>A</v>
      </c>
      <c r="F259" s="70" t="s">
        <v>45</v>
      </c>
      <c r="G259" s="154">
        <v>45474.0</v>
      </c>
      <c r="H259" s="151">
        <f t="shared" si="58"/>
        <v>45839</v>
      </c>
      <c r="I259" s="70" t="s">
        <v>122</v>
      </c>
      <c r="J259" s="16" t="str">
        <f>VLOOKUP(A259,Asteriscati25!B:N,13,0)</f>
        <v>#N/A</v>
      </c>
      <c r="K259" s="194">
        <v>0.6</v>
      </c>
      <c r="L259" s="166" t="str">
        <f t="shared" si="68"/>
        <v>#REF!</v>
      </c>
      <c r="M259" s="166">
        <f>VLOOKUP(B259,FVM_Asta2425!A:M,13,0)</f>
        <v>7</v>
      </c>
      <c r="N259" s="19" t="str">
        <f t="shared" si="6"/>
        <v>#REF!</v>
      </c>
      <c r="O259" s="20">
        <f>VLOOKUP(B259,'FVM_1luglio-31luglio25'!D:Q,14,0)</f>
        <v>7</v>
      </c>
      <c r="P259" s="20">
        <f t="shared" si="76"/>
        <v>7</v>
      </c>
      <c r="Q259" s="167">
        <f t="shared" si="75"/>
        <v>1</v>
      </c>
      <c r="R259" s="167">
        <f t="shared" si="66"/>
        <v>1</v>
      </c>
      <c r="S259" s="73"/>
      <c r="T259" s="99"/>
      <c r="U259" s="100"/>
    </row>
    <row r="260" ht="22.5" hidden="1" customHeight="1">
      <c r="A260" s="9">
        <f>VLOOKUP(B260,FVM_astainv!A:B,2,0)</f>
        <v>6874</v>
      </c>
      <c r="B260" s="25" t="s">
        <v>798</v>
      </c>
      <c r="C260" s="11" t="s">
        <v>245</v>
      </c>
      <c r="D260" s="12" t="str">
        <f>VLOOKUP(B260,FVM_astainv!A:F,6,0)</f>
        <v>Monza</v>
      </c>
      <c r="E260" s="13" t="str">
        <f>VLOOKUP(B260,FVM_astainv!A:D,4,0)</f>
        <v>Dc</v>
      </c>
      <c r="F260" s="11" t="s">
        <v>92</v>
      </c>
      <c r="G260" s="14">
        <v>45689.0</v>
      </c>
      <c r="H260" s="144">
        <f t="shared" si="58"/>
        <v>45839</v>
      </c>
      <c r="I260" s="11" t="s">
        <v>93</v>
      </c>
      <c r="J260" s="16" t="str">
        <f>VLOOKUP(A260,Asteriscati25!B:N,13,0)</f>
        <v>#N/A</v>
      </c>
      <c r="K260" s="26">
        <v>0.0</v>
      </c>
      <c r="L260" s="27">
        <v>7.0</v>
      </c>
      <c r="M260" s="19">
        <v>7.0</v>
      </c>
      <c r="N260" s="19" t="str">
        <f t="shared" si="6"/>
        <v>#REF!</v>
      </c>
      <c r="O260" s="20">
        <f>VLOOKUP(B260,'FVM_1luglio-31luglio25'!D:Q,14,0)</f>
        <v>5</v>
      </c>
      <c r="P260" s="20">
        <f t="shared" si="76"/>
        <v>5</v>
      </c>
      <c r="Q260" s="21">
        <f t="shared" ref="Q260:Q263" si="77">IF(OR(F260="Standard",F260="Standard Inverno"),CEILING((M260/10),0.5),
IF(OR(F260="Diritto 1+1",F260="Inverno Diritto 0,5 + 1"),CEILING((M260/10)*1.3,0.5),
CEILING((M260/10)*1.15,0.5)))</f>
        <v>1</v>
      </c>
      <c r="R260" s="21">
        <f t="shared" si="66"/>
        <v>0.5</v>
      </c>
      <c r="S260" s="20"/>
      <c r="T260" s="22"/>
      <c r="U260" s="23"/>
    </row>
    <row r="261" ht="22.5" hidden="1" customHeight="1">
      <c r="A261" s="9">
        <f>VLOOKUP(B261,FVM_astainv!A:B,2,0)</f>
        <v>6766</v>
      </c>
      <c r="B261" s="25" t="s">
        <v>799</v>
      </c>
      <c r="C261" s="11" t="s">
        <v>245</v>
      </c>
      <c r="D261" s="12" t="str">
        <f>VLOOKUP(B261,FVM_astainv!A:F,6,0)</f>
        <v>Juventus</v>
      </c>
      <c r="E261" s="13" t="str">
        <f>VLOOKUP(B261,FVM_astainv!A:D,4,0)</f>
        <v>Ds;Dc</v>
      </c>
      <c r="F261" s="11" t="s">
        <v>92</v>
      </c>
      <c r="G261" s="14">
        <v>45690.0</v>
      </c>
      <c r="H261" s="144">
        <f t="shared" si="58"/>
        <v>45839</v>
      </c>
      <c r="I261" s="11" t="s">
        <v>93</v>
      </c>
      <c r="J261" s="16" t="str">
        <f>VLOOKUP(A261,Asteriscati25!B:N,13,0)</f>
        <v>#N/A</v>
      </c>
      <c r="K261" s="26">
        <v>0.0</v>
      </c>
      <c r="L261" s="27">
        <v>16.0</v>
      </c>
      <c r="M261" s="19">
        <v>13.0</v>
      </c>
      <c r="N261" s="19" t="str">
        <f t="shared" si="6"/>
        <v>#REF!</v>
      </c>
      <c r="O261" s="20" t="str">
        <f>VLOOKUP(B261,'FVM_1luglio-31luglio25'!D:Q,14,0)</f>
        <v>#N/A</v>
      </c>
      <c r="P261" s="20" t="str">
        <f t="shared" si="76"/>
        <v>#N/A</v>
      </c>
      <c r="Q261" s="21">
        <f t="shared" si="77"/>
        <v>1.5</v>
      </c>
      <c r="R261" s="21">
        <f t="shared" si="66"/>
        <v>1</v>
      </c>
      <c r="S261" s="20"/>
      <c r="T261" s="22"/>
      <c r="U261" s="23"/>
    </row>
    <row r="262" ht="22.5" hidden="1" customHeight="1">
      <c r="A262" s="9">
        <f>VLOOKUP(B262,FVM_astainv!A:B,2,0)</f>
        <v>2515</v>
      </c>
      <c r="B262" s="25" t="s">
        <v>800</v>
      </c>
      <c r="C262" s="11" t="s">
        <v>245</v>
      </c>
      <c r="D262" s="12" t="str">
        <f>VLOOKUP(B262,FVM_astainv!A:F,6,0)</f>
        <v>Milan</v>
      </c>
      <c r="E262" s="13" t="str">
        <f>VLOOKUP(B262,FVM_astainv!A:D,4,0)</f>
        <v>B;Dd;E</v>
      </c>
      <c r="F262" s="11" t="s">
        <v>92</v>
      </c>
      <c r="G262" s="14">
        <v>45691.0</v>
      </c>
      <c r="H262" s="144">
        <f t="shared" si="58"/>
        <v>45839</v>
      </c>
      <c r="I262" s="11" t="s">
        <v>93</v>
      </c>
      <c r="J262" s="16" t="str">
        <f>VLOOKUP(A262,Asteriscati25!B:N,13,0)</f>
        <v>#N/A</v>
      </c>
      <c r="K262" s="26">
        <v>0.0</v>
      </c>
      <c r="L262" s="27">
        <v>64.0</v>
      </c>
      <c r="M262" s="19">
        <v>27.0</v>
      </c>
      <c r="N262" s="19" t="str">
        <f t="shared" si="6"/>
        <v>#REF!</v>
      </c>
      <c r="O262" s="20">
        <f>VLOOKUP(B262,'FVM_1luglio-31luglio25'!D:Q,14,0)</f>
        <v>15</v>
      </c>
      <c r="P262" s="20">
        <f t="shared" si="76"/>
        <v>15</v>
      </c>
      <c r="Q262" s="21">
        <f t="shared" si="77"/>
        <v>3</v>
      </c>
      <c r="R262" s="21">
        <f t="shared" si="66"/>
        <v>1.5</v>
      </c>
      <c r="S262" s="20"/>
      <c r="T262" s="22"/>
      <c r="U262" s="23"/>
    </row>
    <row r="263" ht="22.5" hidden="1" customHeight="1">
      <c r="A263" s="9">
        <f>VLOOKUP(B263,FVM_astainv!A:B,2,0)</f>
        <v>770</v>
      </c>
      <c r="B263" s="25" t="s">
        <v>801</v>
      </c>
      <c r="C263" s="11" t="s">
        <v>245</v>
      </c>
      <c r="D263" s="12" t="str">
        <f>VLOOKUP(B263,FVM_astainv!A:F,6,0)</f>
        <v>Empoli</v>
      </c>
      <c r="E263" s="13" t="str">
        <f>VLOOKUP(B263,FVM_astainv!A:D,4,0)</f>
        <v>Ds;E</v>
      </c>
      <c r="F263" s="11" t="s">
        <v>92</v>
      </c>
      <c r="G263" s="14">
        <v>45692.0</v>
      </c>
      <c r="H263" s="144">
        <f t="shared" si="58"/>
        <v>45839</v>
      </c>
      <c r="I263" s="11" t="s">
        <v>93</v>
      </c>
      <c r="J263" s="16" t="str">
        <f>VLOOKUP(A263,Asteriscati25!B:N,13,0)</f>
        <v>#N/A</v>
      </c>
      <c r="K263" s="26">
        <v>0.0</v>
      </c>
      <c r="L263" s="27">
        <v>25.0</v>
      </c>
      <c r="M263" s="19">
        <v>18.0</v>
      </c>
      <c r="N263" s="19" t="str">
        <f t="shared" si="6"/>
        <v>#REF!</v>
      </c>
      <c r="O263" s="20">
        <f>VLOOKUP(B263,'FVM_1luglio-31luglio25'!D:Q,14,0)</f>
        <v>12</v>
      </c>
      <c r="P263" s="20">
        <f t="shared" si="76"/>
        <v>12</v>
      </c>
      <c r="Q263" s="21">
        <f t="shared" si="77"/>
        <v>2</v>
      </c>
      <c r="R263" s="21">
        <f t="shared" si="66"/>
        <v>1</v>
      </c>
      <c r="S263" s="20"/>
      <c r="T263" s="17"/>
      <c r="U263" s="10"/>
    </row>
    <row r="264" ht="22.5" hidden="1" customHeight="1">
      <c r="A264" s="9">
        <f>VLOOKUP(B264,FVM_astainv!A:B,2,0)</f>
        <v>5840</v>
      </c>
      <c r="B264" s="25" t="s">
        <v>802</v>
      </c>
      <c r="C264" s="11" t="s">
        <v>245</v>
      </c>
      <c r="D264" s="12" t="str">
        <f>VLOOKUP(B264,FVM_astainv!A:F,6,0)</f>
        <v>Napoli</v>
      </c>
      <c r="E264" s="13" t="str">
        <f>VLOOKUP(B264,FVM_astainv!A:D,4,0)</f>
        <v>B;Ds;E</v>
      </c>
      <c r="F264" s="11" t="s">
        <v>45</v>
      </c>
      <c r="G264" s="14">
        <v>45474.0</v>
      </c>
      <c r="H264" s="144">
        <f t="shared" si="58"/>
        <v>45839</v>
      </c>
      <c r="I264" s="11" t="s">
        <v>48</v>
      </c>
      <c r="J264" s="16" t="str">
        <f>VLOOKUP(A264,Asteriscati25!B:N,13,0)</f>
        <v>#N/A</v>
      </c>
      <c r="K264" s="26">
        <v>0.0</v>
      </c>
      <c r="L264" s="19" t="str">
        <f t="shared" ref="L264:L298" si="78">VLOOKUP(B264,Rose!B:D,3,0)</f>
        <v>#REF!</v>
      </c>
      <c r="M264" s="19">
        <f>VLOOKUP(B264,FVM_Asta2425!A:M,13,0)</f>
        <v>28</v>
      </c>
      <c r="N264" s="19" t="str">
        <f t="shared" si="6"/>
        <v>#REF!</v>
      </c>
      <c r="O264" s="20">
        <f>VLOOKUP(B264,'FVM_1luglio-31luglio25'!D:Q,14,0)</f>
        <v>24</v>
      </c>
      <c r="P264" s="20">
        <f t="shared" si="76"/>
        <v>24</v>
      </c>
      <c r="Q264" s="21">
        <f t="shared" ref="Q264:Q279" si="79">IF(F264="Standard",CEILING((M264/10),0.5),
IF(OR(F264="Diritto 1+1",M264="Inverno Diritto 0,5 + 1"),CEILING((M264/10)*1.3,0.5),
CEILING((M264/10)*1.15,0.5)))</f>
        <v>3</v>
      </c>
      <c r="R264" s="21">
        <f t="shared" si="66"/>
        <v>3</v>
      </c>
      <c r="S264" s="20"/>
      <c r="T264" s="22"/>
      <c r="U264" s="23"/>
    </row>
    <row r="265" ht="22.5" hidden="1" customHeight="1">
      <c r="A265" s="9">
        <f>VLOOKUP(B265,FVM_astainv!A:B,2,0)</f>
        <v>2077</v>
      </c>
      <c r="B265" s="138" t="s">
        <v>803</v>
      </c>
      <c r="C265" s="88" t="s">
        <v>245</v>
      </c>
      <c r="D265" s="12" t="str">
        <f>VLOOKUP(B265,FVM_astainv!A:F,6,0)</f>
        <v>Atalanta</v>
      </c>
      <c r="E265" s="13" t="str">
        <f>VLOOKUP(B265,FVM_astainv!A:D,4,0)</f>
        <v>C;T</v>
      </c>
      <c r="F265" s="88" t="s">
        <v>45</v>
      </c>
      <c r="G265" s="150">
        <v>45474.0</v>
      </c>
      <c r="H265" s="151">
        <f t="shared" si="58"/>
        <v>45839</v>
      </c>
      <c r="I265" s="88" t="s">
        <v>48</v>
      </c>
      <c r="J265" s="16" t="str">
        <f>VLOOKUP(A265,Asteriscati25!B:N,13,0)</f>
        <v>#N/A</v>
      </c>
      <c r="K265" s="152">
        <v>0.0</v>
      </c>
      <c r="L265" s="94" t="str">
        <f t="shared" si="78"/>
        <v>#REF!</v>
      </c>
      <c r="M265" s="94">
        <f>VLOOKUP(B265,FVM_Asta2425!A:M,13,0)</f>
        <v>52</v>
      </c>
      <c r="N265" s="19" t="str">
        <f t="shared" si="6"/>
        <v>#REF!</v>
      </c>
      <c r="O265" s="20">
        <f>VLOOKUP(B265,'FVM_1luglio-31luglio25'!D:Q,14,0)</f>
        <v>38</v>
      </c>
      <c r="P265" s="20">
        <f t="shared" si="76"/>
        <v>38</v>
      </c>
      <c r="Q265" s="95">
        <f t="shared" si="79"/>
        <v>5.5</v>
      </c>
      <c r="R265" s="95">
        <f t="shared" si="66"/>
        <v>5.5</v>
      </c>
      <c r="S265" s="59"/>
      <c r="T265" s="96"/>
      <c r="U265" s="97"/>
    </row>
    <row r="266" ht="22.5" hidden="1" customHeight="1">
      <c r="A266" s="9">
        <f>VLOOKUP(B266,FVM_astainv!A:B,2,0)</f>
        <v>218</v>
      </c>
      <c r="B266" s="25" t="s">
        <v>804</v>
      </c>
      <c r="C266" s="88" t="s">
        <v>245</v>
      </c>
      <c r="D266" s="12" t="str">
        <f>VLOOKUP(B266,FVM_astainv!A:F,6,0)</f>
        <v>Juventus</v>
      </c>
      <c r="E266" s="13" t="str">
        <f>VLOOKUP(B266,FVM_astainv!A:D,4,0)</f>
        <v>Por</v>
      </c>
      <c r="F266" s="11" t="s">
        <v>45</v>
      </c>
      <c r="G266" s="14">
        <v>45474.0</v>
      </c>
      <c r="H266" s="144">
        <f t="shared" si="58"/>
        <v>45839</v>
      </c>
      <c r="I266" s="11" t="s">
        <v>48</v>
      </c>
      <c r="J266" s="16" t="str">
        <f>VLOOKUP(A266,Asteriscati25!B:N,13,0)</f>
        <v>#N/A</v>
      </c>
      <c r="K266" s="152">
        <v>0.0</v>
      </c>
      <c r="L266" s="19" t="str">
        <f t="shared" si="78"/>
        <v>#REF!</v>
      </c>
      <c r="M266" s="19">
        <f>VLOOKUP(B266,FVM_Asta2425!A:M,13,0)</f>
        <v>3</v>
      </c>
      <c r="N266" s="19" t="str">
        <f t="shared" si="6"/>
        <v>#REF!</v>
      </c>
      <c r="O266" s="20">
        <f>VLOOKUP(B266,'FVM_1luglio-31luglio25'!D:Q,14,0)</f>
        <v>2</v>
      </c>
      <c r="P266" s="20">
        <f t="shared" si="76"/>
        <v>2</v>
      </c>
      <c r="Q266" s="21">
        <f t="shared" si="79"/>
        <v>0.5</v>
      </c>
      <c r="R266" s="21">
        <f t="shared" si="66"/>
        <v>0.5</v>
      </c>
      <c r="S266" s="20"/>
      <c r="T266" s="22"/>
      <c r="U266" s="23"/>
    </row>
    <row r="267" ht="22.5" hidden="1" customHeight="1">
      <c r="A267" s="9">
        <f>VLOOKUP(B267,FVM_astainv!A:B,2,0)</f>
        <v>1930</v>
      </c>
      <c r="B267" s="25" t="s">
        <v>805</v>
      </c>
      <c r="C267" s="88" t="s">
        <v>245</v>
      </c>
      <c r="D267" s="12" t="str">
        <f>VLOOKUP(B267,FVM_astainv!A:F,6,0)</f>
        <v>Juventus</v>
      </c>
      <c r="E267" s="13" t="str">
        <f>VLOOKUP(B267,FVM_astainv!A:D,4,0)</f>
        <v>Por</v>
      </c>
      <c r="F267" s="11" t="s">
        <v>45</v>
      </c>
      <c r="G267" s="14">
        <v>45474.0</v>
      </c>
      <c r="H267" s="144">
        <f t="shared" si="58"/>
        <v>45839</v>
      </c>
      <c r="I267" s="11" t="s">
        <v>48</v>
      </c>
      <c r="J267" s="16" t="str">
        <f>VLOOKUP(A267,Asteriscati25!B:N,13,0)</f>
        <v>#N/A</v>
      </c>
      <c r="K267" s="152">
        <v>0.0</v>
      </c>
      <c r="L267" s="19" t="str">
        <f t="shared" si="78"/>
        <v>#REF!</v>
      </c>
      <c r="M267" s="19">
        <f>VLOOKUP(B267,FVM_Asta2425!A:M,13,0)</f>
        <v>1</v>
      </c>
      <c r="N267" s="19" t="str">
        <f t="shared" si="6"/>
        <v>#REF!</v>
      </c>
      <c r="O267" s="20">
        <f>VLOOKUP(B267,'FVM_1luglio-31luglio25'!D:Q,14,0)</f>
        <v>1</v>
      </c>
      <c r="P267" s="20">
        <f t="shared" si="76"/>
        <v>1</v>
      </c>
      <c r="Q267" s="21">
        <f t="shared" si="79"/>
        <v>0.5</v>
      </c>
      <c r="R267" s="21">
        <f t="shared" si="66"/>
        <v>0.5</v>
      </c>
      <c r="S267" s="20"/>
      <c r="T267" s="22"/>
      <c r="U267" s="23"/>
    </row>
    <row r="268" ht="22.5" hidden="1" customHeight="1">
      <c r="A268" s="9">
        <f>VLOOKUP(B268,FVM_astainv!A:B,2,0)</f>
        <v>791</v>
      </c>
      <c r="B268" s="25" t="s">
        <v>806</v>
      </c>
      <c r="C268" s="88" t="s">
        <v>245</v>
      </c>
      <c r="D268" s="12" t="str">
        <f>VLOOKUP(B268,FVM_astainv!A:F,6,0)</f>
        <v>Genoa</v>
      </c>
      <c r="E268" s="13" t="str">
        <f>VLOOKUP(B268,FVM_astainv!A:D,4,0)</f>
        <v>Dd;Ds;E</v>
      </c>
      <c r="F268" s="11" t="s">
        <v>45</v>
      </c>
      <c r="G268" s="14">
        <v>45474.0</v>
      </c>
      <c r="H268" s="144">
        <f t="shared" si="58"/>
        <v>45839</v>
      </c>
      <c r="I268" s="11" t="s">
        <v>48</v>
      </c>
      <c r="J268" s="16" t="str">
        <f>VLOOKUP(A268,Asteriscati25!B:N,13,0)</f>
        <v>#N/A</v>
      </c>
      <c r="K268" s="152">
        <v>0.0</v>
      </c>
      <c r="L268" s="19" t="str">
        <f t="shared" si="78"/>
        <v>#REF!</v>
      </c>
      <c r="M268" s="19">
        <f>VLOOKUP(B268,FVM_Asta2425!A:M,13,0)</f>
        <v>10</v>
      </c>
      <c r="N268" s="19" t="str">
        <f t="shared" si="6"/>
        <v>#REF!</v>
      </c>
      <c r="O268" s="20">
        <f>VLOOKUP(B268,'FVM_1luglio-31luglio25'!D:Q,14,0)</f>
        <v>10</v>
      </c>
      <c r="P268" s="20">
        <f t="shared" si="76"/>
        <v>10</v>
      </c>
      <c r="Q268" s="21">
        <f t="shared" si="79"/>
        <v>1</v>
      </c>
      <c r="R268" s="21">
        <f t="shared" si="66"/>
        <v>1</v>
      </c>
      <c r="S268" s="20"/>
      <c r="T268" s="22"/>
      <c r="U268" s="23"/>
    </row>
    <row r="269" ht="22.5" hidden="1" customHeight="1">
      <c r="A269" s="9">
        <f>VLOOKUP(B269,FVM_astainv!A:B,2,0)</f>
        <v>5562</v>
      </c>
      <c r="B269" s="25" t="s">
        <v>317</v>
      </c>
      <c r="C269" s="88" t="s">
        <v>245</v>
      </c>
      <c r="D269" s="12" t="str">
        <f>VLOOKUP(B269,FVM_astainv!A:F,6,0)</f>
        <v>Juventus</v>
      </c>
      <c r="E269" s="13" t="str">
        <f>VLOOKUP(B269,FVM_astainv!A:D,4,0)</f>
        <v>M;C</v>
      </c>
      <c r="F269" s="11" t="s">
        <v>59</v>
      </c>
      <c r="G269" s="14">
        <v>45474.0</v>
      </c>
      <c r="H269" s="144">
        <f t="shared" si="58"/>
        <v>46569</v>
      </c>
      <c r="I269" s="11" t="s">
        <v>48</v>
      </c>
      <c r="J269" s="16" t="str">
        <f>VLOOKUP(A269,Asteriscati25!B:N,13,0)</f>
        <v>#N/A</v>
      </c>
      <c r="K269" s="152">
        <v>0.0</v>
      </c>
      <c r="L269" s="19" t="str">
        <f t="shared" si="78"/>
        <v>#REF!</v>
      </c>
      <c r="M269" s="19">
        <f>VLOOKUP(B269,FVM_Asta2425!A:M,13,0)</f>
        <v>30</v>
      </c>
      <c r="N269" s="19" t="str">
        <f t="shared" si="6"/>
        <v>#REF!</v>
      </c>
      <c r="O269" s="20">
        <f>VLOOKUP(B269,'FVM_1luglio-31luglio25'!D:Q,14,0)</f>
        <v>43</v>
      </c>
      <c r="P269" s="20">
        <f t="shared" si="76"/>
        <v>43</v>
      </c>
      <c r="Q269" s="21">
        <f t="shared" si="79"/>
        <v>3.5</v>
      </c>
      <c r="R269" s="21">
        <f t="shared" si="66"/>
        <v>3.5</v>
      </c>
      <c r="S269" s="20"/>
      <c r="T269" s="22"/>
      <c r="U269" s="23"/>
    </row>
    <row r="270" ht="22.5" hidden="1" customHeight="1">
      <c r="A270" s="9">
        <f>VLOOKUP(B270,FVM_astainv!A:B,2,0)</f>
        <v>6202</v>
      </c>
      <c r="B270" s="25" t="s">
        <v>807</v>
      </c>
      <c r="C270" s="11" t="s">
        <v>172</v>
      </c>
      <c r="D270" s="12" t="str">
        <f>VLOOKUP(B270,FVM_astainv!A:F,6,0)</f>
        <v>Bologna</v>
      </c>
      <c r="E270" s="13" t="str">
        <f>VLOOKUP(B270,FVM_astainv!A:D,4,0)</f>
        <v>Dc</v>
      </c>
      <c r="F270" s="11" t="s">
        <v>45</v>
      </c>
      <c r="G270" s="14">
        <v>45474.0</v>
      </c>
      <c r="H270" s="144">
        <f t="shared" si="58"/>
        <v>45839</v>
      </c>
      <c r="I270" s="11" t="s">
        <v>48</v>
      </c>
      <c r="J270" s="16" t="str">
        <f>VLOOKUP(A270,Asteriscati25!B:N,13,0)</f>
        <v>#N/A</v>
      </c>
      <c r="K270" s="26">
        <v>0.0</v>
      </c>
      <c r="L270" s="19" t="str">
        <f t="shared" si="78"/>
        <v>#REF!</v>
      </c>
      <c r="M270" s="19">
        <f>VLOOKUP(B270,FVM_Asta2425!A:M,13,0)</f>
        <v>16</v>
      </c>
      <c r="N270" s="19" t="str">
        <f t="shared" si="6"/>
        <v>#REF!</v>
      </c>
      <c r="O270" s="20">
        <f>VLOOKUP(B270,'FVM_1luglio-31luglio25'!D:Q,14,0)</f>
        <v>19</v>
      </c>
      <c r="P270" s="20">
        <f t="shared" si="76"/>
        <v>19</v>
      </c>
      <c r="Q270" s="21">
        <f t="shared" si="79"/>
        <v>2</v>
      </c>
      <c r="R270" s="21">
        <f t="shared" si="66"/>
        <v>2</v>
      </c>
      <c r="S270" s="20"/>
      <c r="T270" s="22"/>
      <c r="U270" s="23"/>
    </row>
    <row r="271" ht="22.5" hidden="1" customHeight="1">
      <c r="A271" s="9">
        <f>VLOOKUP(B271,FVM_astainv!A:B,2,0)</f>
        <v>5423</v>
      </c>
      <c r="B271" s="25" t="s">
        <v>808</v>
      </c>
      <c r="C271" s="11" t="s">
        <v>172</v>
      </c>
      <c r="D271" s="12" t="str">
        <f>VLOOKUP(B271,FVM_astainv!A:F,6,0)</f>
        <v>Fiorentina</v>
      </c>
      <c r="E271" s="13" t="str">
        <f>VLOOKUP(B271,FVM_astainv!A:D,4,0)</f>
        <v>M;C</v>
      </c>
      <c r="F271" s="11" t="s">
        <v>45</v>
      </c>
      <c r="G271" s="14">
        <v>45474.0</v>
      </c>
      <c r="H271" s="144">
        <f t="shared" si="58"/>
        <v>45839</v>
      </c>
      <c r="I271" s="11" t="s">
        <v>46</v>
      </c>
      <c r="J271" s="16" t="str">
        <f>VLOOKUP(A271,Asteriscati25!B:N,13,0)</f>
        <v>#N/A</v>
      </c>
      <c r="K271" s="26">
        <v>0.0</v>
      </c>
      <c r="L271" s="19" t="str">
        <f t="shared" si="78"/>
        <v>#REF!</v>
      </c>
      <c r="M271" s="19">
        <f>VLOOKUP(B271,FVM_Asta2425!A:M,13,0)</f>
        <v>12</v>
      </c>
      <c r="N271" s="19" t="str">
        <f t="shared" si="6"/>
        <v>#REF!</v>
      </c>
      <c r="O271" s="20">
        <f>VLOOKUP(B271,'FVM_1luglio-31luglio25'!D:Q,14,0)</f>
        <v>17</v>
      </c>
      <c r="P271" s="20">
        <f t="shared" si="76"/>
        <v>17</v>
      </c>
      <c r="Q271" s="21">
        <f t="shared" si="79"/>
        <v>1.5</v>
      </c>
      <c r="R271" s="21">
        <f t="shared" si="66"/>
        <v>1</v>
      </c>
      <c r="S271" s="20"/>
      <c r="T271" s="22"/>
      <c r="U271" s="23"/>
    </row>
    <row r="272" ht="22.5" hidden="1" customHeight="1">
      <c r="A272" s="9">
        <f>VLOOKUP(B272,FVM_astainv!A:B,2,0)</f>
        <v>5877</v>
      </c>
      <c r="B272" s="43" t="s">
        <v>330</v>
      </c>
      <c r="C272" s="112" t="s">
        <v>172</v>
      </c>
      <c r="D272" s="12" t="str">
        <f>VLOOKUP(B272,FVM_astainv!A:F,6,0)</f>
        <v>Inter</v>
      </c>
      <c r="E272" s="13" t="str">
        <f>VLOOKUP(B272,FVM_astainv!A:D,4,0)</f>
        <v>E</v>
      </c>
      <c r="F272" s="113" t="s">
        <v>55</v>
      </c>
      <c r="G272" s="15">
        <v>45474.0</v>
      </c>
      <c r="H272" s="15">
        <f t="shared" si="58"/>
        <v>46204</v>
      </c>
      <c r="I272" s="33" t="s">
        <v>126</v>
      </c>
      <c r="J272" s="34" t="str">
        <f>VLOOKUP(A272,Asteriscati25!B:N,13,0)</f>
        <v>#N/A</v>
      </c>
      <c r="K272" s="64">
        <v>0.4</v>
      </c>
      <c r="L272" s="47" t="str">
        <f t="shared" si="78"/>
        <v>#REF!</v>
      </c>
      <c r="M272" s="47">
        <f>VLOOKUP(B272,FVM_Asta2425!A:M,13,0)</f>
        <v>16</v>
      </c>
      <c r="N272" s="19" t="str">
        <f t="shared" si="6"/>
        <v>#REF!</v>
      </c>
      <c r="O272" s="20">
        <f>VLOOKUP(B272,'FVM_1luglio-31luglio25'!D:Q,14,0)</f>
        <v>23</v>
      </c>
      <c r="P272" s="36">
        <f t="shared" si="76"/>
        <v>23</v>
      </c>
      <c r="Q272" s="119">
        <f t="shared" si="79"/>
        <v>2.5</v>
      </c>
      <c r="R272" s="119">
        <f t="shared" si="66"/>
        <v>1</v>
      </c>
      <c r="S272" s="37"/>
      <c r="T272" s="114" t="s">
        <v>148</v>
      </c>
      <c r="U272" s="115"/>
    </row>
    <row r="273" ht="22.5" hidden="1" customHeight="1">
      <c r="A273" s="9">
        <f>VLOOKUP(B273,FVM_astainv!A:B,2,0)</f>
        <v>2178</v>
      </c>
      <c r="B273" s="25" t="s">
        <v>809</v>
      </c>
      <c r="C273" s="11" t="s">
        <v>172</v>
      </c>
      <c r="D273" s="12" t="str">
        <f>VLOOKUP(B273,FVM_astainv!A:F,6,0)</f>
        <v>Monza</v>
      </c>
      <c r="E273" s="13" t="str">
        <f>VLOOKUP(B273,FVM_astainv!A:D,4,0)</f>
        <v>Por</v>
      </c>
      <c r="F273" s="11" t="s">
        <v>45</v>
      </c>
      <c r="G273" s="14">
        <v>45474.0</v>
      </c>
      <c r="H273" s="144">
        <f t="shared" si="58"/>
        <v>45839</v>
      </c>
      <c r="I273" s="11" t="s">
        <v>46</v>
      </c>
      <c r="J273" s="16" t="str">
        <f>VLOOKUP(A273,Asteriscati25!B:N,13,0)</f>
        <v>#N/A</v>
      </c>
      <c r="K273" s="26">
        <v>0.0</v>
      </c>
      <c r="L273" s="19" t="str">
        <f t="shared" si="78"/>
        <v>#REF!</v>
      </c>
      <c r="M273" s="19">
        <f>VLOOKUP(B273,FVM_Asta2425!A:M,13,0)</f>
        <v>1</v>
      </c>
      <c r="N273" s="19" t="str">
        <f t="shared" si="6"/>
        <v>#REF!</v>
      </c>
      <c r="O273" s="20" t="str">
        <f>VLOOKUP(B273,'FVM_1luglio-31luglio25'!D:Q,14,0)</f>
        <v>#N/A</v>
      </c>
      <c r="P273" s="9">
        <v>0.0</v>
      </c>
      <c r="Q273" s="21">
        <f t="shared" si="79"/>
        <v>0.5</v>
      </c>
      <c r="R273" s="21">
        <f t="shared" si="66"/>
        <v>0.5</v>
      </c>
      <c r="S273" s="20"/>
      <c r="T273" s="22"/>
      <c r="U273" s="23"/>
    </row>
    <row r="274" ht="22.5" hidden="1" customHeight="1">
      <c r="A274" s="9">
        <f>VLOOKUP(B274,FVM_astainv!A:B,2,0)</f>
        <v>6643</v>
      </c>
      <c r="B274" s="25" t="s">
        <v>810</v>
      </c>
      <c r="C274" s="11" t="s">
        <v>172</v>
      </c>
      <c r="D274" s="12" t="str">
        <f>VLOOKUP(B274,FVM_astainv!A:F,6,0)</f>
        <v>Bologna</v>
      </c>
      <c r="E274" s="13" t="str">
        <f>VLOOKUP(B274,FVM_astainv!A:D,4,0)</f>
        <v>Pc</v>
      </c>
      <c r="F274" s="11" t="s">
        <v>45</v>
      </c>
      <c r="G274" s="14">
        <v>45474.0</v>
      </c>
      <c r="H274" s="144">
        <f t="shared" si="58"/>
        <v>45839</v>
      </c>
      <c r="I274" s="11" t="s">
        <v>48</v>
      </c>
      <c r="J274" s="16" t="str">
        <f>VLOOKUP(A274,Asteriscati25!B:N,13,0)</f>
        <v>#N/A</v>
      </c>
      <c r="K274" s="26">
        <v>0.0</v>
      </c>
      <c r="L274" s="19" t="str">
        <f t="shared" si="78"/>
        <v>#REF!</v>
      </c>
      <c r="M274" s="19">
        <f>VLOOKUP(B274,FVM_Asta2425!A:M,13,0)</f>
        <v>91</v>
      </c>
      <c r="N274" s="19" t="str">
        <f t="shared" si="6"/>
        <v>#REF!</v>
      </c>
      <c r="O274" s="20">
        <f>VLOOKUP(B274,'FVM_1luglio-31luglio25'!D:Q,14,0)</f>
        <v>57</v>
      </c>
      <c r="P274" s="20">
        <f t="shared" ref="P274:P292" si="80">IFERROR(N274,O274)</f>
        <v>57</v>
      </c>
      <c r="Q274" s="21">
        <f t="shared" si="79"/>
        <v>9.5</v>
      </c>
      <c r="R274" s="21">
        <f t="shared" si="66"/>
        <v>9.5</v>
      </c>
      <c r="S274" s="20"/>
      <c r="T274" s="22"/>
      <c r="U274" s="23"/>
    </row>
    <row r="275" ht="22.5" hidden="1" customHeight="1">
      <c r="A275" s="9">
        <f>VLOOKUP(B275,FVM_astainv!A:B,2,0)</f>
        <v>6675</v>
      </c>
      <c r="B275" s="25" t="s">
        <v>333</v>
      </c>
      <c r="C275" s="11" t="s">
        <v>172</v>
      </c>
      <c r="D275" s="12" t="str">
        <f>VLOOKUP(B275,FVM_astainv!A:F,6,0)</f>
        <v>Roma</v>
      </c>
      <c r="E275" s="13" t="str">
        <f>VLOOKUP(B275,FVM_astainv!A:D,4,0)</f>
        <v>Pc</v>
      </c>
      <c r="F275" s="11" t="s">
        <v>59</v>
      </c>
      <c r="G275" s="14">
        <v>45474.0</v>
      </c>
      <c r="H275" s="144">
        <f t="shared" si="58"/>
        <v>46569</v>
      </c>
      <c r="I275" s="11" t="s">
        <v>48</v>
      </c>
      <c r="J275" s="16" t="str">
        <f>VLOOKUP(A275,Asteriscati25!B:N,13,0)</f>
        <v>#N/A</v>
      </c>
      <c r="K275" s="26">
        <v>0.0</v>
      </c>
      <c r="L275" s="19" t="str">
        <f t="shared" si="78"/>
        <v>#REF!</v>
      </c>
      <c r="M275" s="19">
        <f>VLOOKUP(B275,FVM_Asta2425!A:M,13,0)</f>
        <v>235</v>
      </c>
      <c r="N275" s="19" t="str">
        <f t="shared" si="6"/>
        <v>#REF!</v>
      </c>
      <c r="O275" s="20">
        <f>VLOOKUP(B275,'FVM_1luglio-31luglio25'!D:Q,14,0)</f>
        <v>231</v>
      </c>
      <c r="P275" s="20">
        <f t="shared" si="80"/>
        <v>231</v>
      </c>
      <c r="Q275" s="21">
        <f t="shared" si="79"/>
        <v>27.5</v>
      </c>
      <c r="R275" s="21">
        <f t="shared" si="66"/>
        <v>27.5</v>
      </c>
      <c r="S275" s="20"/>
      <c r="T275" s="22"/>
      <c r="U275" s="23"/>
    </row>
    <row r="276" ht="22.5" hidden="1" customHeight="1">
      <c r="A276" s="9">
        <f>VLOOKUP(B276,FVM_astainv!A:B,2,0)</f>
        <v>4982</v>
      </c>
      <c r="B276" s="25" t="s">
        <v>811</v>
      </c>
      <c r="C276" s="11" t="s">
        <v>172</v>
      </c>
      <c r="D276" s="12" t="str">
        <f>VLOOKUP(B276,FVM_astainv!A:F,6,0)</f>
        <v>Bologna</v>
      </c>
      <c r="E276" s="13" t="str">
        <f>VLOOKUP(B276,FVM_astainv!A:D,4,0)</f>
        <v>Dc</v>
      </c>
      <c r="F276" s="11" t="s">
        <v>45</v>
      </c>
      <c r="G276" s="14">
        <v>45474.0</v>
      </c>
      <c r="H276" s="144">
        <f t="shared" si="58"/>
        <v>45839</v>
      </c>
      <c r="I276" s="11" t="s">
        <v>48</v>
      </c>
      <c r="J276" s="16" t="str">
        <f>VLOOKUP(A276,Asteriscati25!B:N,13,0)</f>
        <v>#N/A</v>
      </c>
      <c r="K276" s="26">
        <v>0.0</v>
      </c>
      <c r="L276" s="19" t="str">
        <f t="shared" si="78"/>
        <v>#REF!</v>
      </c>
      <c r="M276" s="19">
        <f>VLOOKUP(B276,FVM_Asta2425!A:M,13,0)</f>
        <v>17</v>
      </c>
      <c r="N276" s="19" t="str">
        <f t="shared" si="6"/>
        <v>#REF!</v>
      </c>
      <c r="O276" s="20">
        <f>VLOOKUP(B276,'FVM_1luglio-31luglio25'!D:Q,14,0)</f>
        <v>12</v>
      </c>
      <c r="P276" s="20">
        <f t="shared" si="80"/>
        <v>12</v>
      </c>
      <c r="Q276" s="21">
        <f t="shared" si="79"/>
        <v>2</v>
      </c>
      <c r="R276" s="21">
        <f t="shared" si="66"/>
        <v>2</v>
      </c>
      <c r="S276" s="20"/>
      <c r="T276" s="22"/>
      <c r="U276" s="23"/>
    </row>
    <row r="277" ht="22.5" hidden="1" customHeight="1">
      <c r="A277" s="9">
        <f>VLOOKUP(B277,FVM_astainv!A:B,2,0)</f>
        <v>6639</v>
      </c>
      <c r="B277" s="25" t="s">
        <v>812</v>
      </c>
      <c r="C277" s="11" t="s">
        <v>172</v>
      </c>
      <c r="D277" s="12" t="str">
        <f>VLOOKUP(B277,FVM_astainv!A:F,6,0)</f>
        <v>Verona</v>
      </c>
      <c r="E277" s="13" t="str">
        <f>VLOOKUP(B277,FVM_astainv!A:D,4,0)</f>
        <v>Ds;E</v>
      </c>
      <c r="F277" s="11" t="s">
        <v>45</v>
      </c>
      <c r="G277" s="14">
        <v>45474.0</v>
      </c>
      <c r="H277" s="144">
        <f t="shared" si="58"/>
        <v>45839</v>
      </c>
      <c r="I277" s="11" t="s">
        <v>46</v>
      </c>
      <c r="J277" s="16" t="str">
        <f>VLOOKUP(A277,Asteriscati25!B:N,13,0)</f>
        <v>#N/A</v>
      </c>
      <c r="K277" s="26">
        <v>0.0</v>
      </c>
      <c r="L277" s="19" t="str">
        <f t="shared" si="78"/>
        <v>#REF!</v>
      </c>
      <c r="M277" s="19">
        <f>VLOOKUP(B277,FVM_Asta2425!A:M,13,0)</f>
        <v>7</v>
      </c>
      <c r="N277" s="19" t="str">
        <f t="shared" si="6"/>
        <v>#REF!</v>
      </c>
      <c r="O277" s="20">
        <f>VLOOKUP(B277,'FVM_1luglio-31luglio25'!D:Q,14,0)</f>
        <v>6</v>
      </c>
      <c r="P277" s="20">
        <f t="shared" si="80"/>
        <v>6</v>
      </c>
      <c r="Q277" s="21">
        <f t="shared" si="79"/>
        <v>1</v>
      </c>
      <c r="R277" s="21">
        <f t="shared" si="66"/>
        <v>0.5</v>
      </c>
      <c r="S277" s="20"/>
      <c r="T277" s="22"/>
      <c r="U277" s="23"/>
    </row>
    <row r="278" ht="22.5" hidden="1" customHeight="1">
      <c r="A278" s="9">
        <f>VLOOKUP(B278,FVM_astainv!A:B,2,0)</f>
        <v>5678</v>
      </c>
      <c r="B278" s="25" t="s">
        <v>641</v>
      </c>
      <c r="C278" s="11" t="s">
        <v>172</v>
      </c>
      <c r="D278" s="12" t="str">
        <f>VLOOKUP(B278,FVM_astainv!A:F,6,0)</f>
        <v>Bologna</v>
      </c>
      <c r="E278" s="13" t="str">
        <f>VLOOKUP(B278,FVM_astainv!A:D,4,0)</f>
        <v>Dd;E</v>
      </c>
      <c r="F278" s="11" t="s">
        <v>45</v>
      </c>
      <c r="G278" s="14">
        <v>45474.0</v>
      </c>
      <c r="H278" s="144">
        <f t="shared" si="58"/>
        <v>45839</v>
      </c>
      <c r="I278" s="11" t="s">
        <v>126</v>
      </c>
      <c r="J278" s="16" t="str">
        <f>VLOOKUP(A278,Asteriscati25!B:N,13,0)</f>
        <v>#N/A</v>
      </c>
      <c r="K278" s="26">
        <v>0.8</v>
      </c>
      <c r="L278" s="19" t="str">
        <f t="shared" si="78"/>
        <v>#REF!</v>
      </c>
      <c r="M278" s="19">
        <f>VLOOKUP(B278,FVM_Asta2425!A:M,13,0)</f>
        <v>24</v>
      </c>
      <c r="N278" s="19" t="str">
        <f t="shared" si="6"/>
        <v>#REF!</v>
      </c>
      <c r="O278" s="20">
        <f>VLOOKUP(B278,'FVM_1luglio-31luglio25'!D:Q,14,0)</f>
        <v>17</v>
      </c>
      <c r="P278" s="20">
        <f t="shared" si="80"/>
        <v>17</v>
      </c>
      <c r="Q278" s="21">
        <f t="shared" si="79"/>
        <v>2.5</v>
      </c>
      <c r="R278" s="21">
        <f t="shared" si="66"/>
        <v>2</v>
      </c>
      <c r="S278" s="19"/>
      <c r="T278" s="11" t="s">
        <v>99</v>
      </c>
      <c r="U278" s="10"/>
      <c r="V278" s="153"/>
      <c r="W278" s="153"/>
      <c r="X278" s="153"/>
      <c r="Y278" s="153"/>
      <c r="Z278" s="153"/>
      <c r="AA278" s="153"/>
      <c r="AB278" s="153"/>
      <c r="AC278" s="153"/>
      <c r="AD278" s="153"/>
      <c r="AE278" s="153"/>
      <c r="AF278" s="153"/>
      <c r="AG278" s="153"/>
      <c r="AH278" s="153"/>
      <c r="AI278" s="153"/>
      <c r="AJ278" s="153"/>
      <c r="AK278" s="153"/>
      <c r="AL278" s="153"/>
      <c r="AM278" s="153"/>
    </row>
    <row r="279" ht="22.5" hidden="1" customHeight="1">
      <c r="A279" s="9">
        <f>VLOOKUP(B279,FVM_astainv!A:B,2,0)</f>
        <v>2640</v>
      </c>
      <c r="B279" s="25" t="s">
        <v>386</v>
      </c>
      <c r="C279" s="11" t="s">
        <v>172</v>
      </c>
      <c r="D279" s="12" t="str">
        <f>VLOOKUP(B279,FVM_astainv!A:F,6,0)</f>
        <v>Atalanta</v>
      </c>
      <c r="E279" s="13" t="str">
        <f>VLOOKUP(B279,FVM_astainv!A:D,4,0)</f>
        <v>B;Ds;E</v>
      </c>
      <c r="F279" s="11" t="s">
        <v>45</v>
      </c>
      <c r="G279" s="14">
        <v>45474.0</v>
      </c>
      <c r="H279" s="144">
        <f t="shared" si="58"/>
        <v>45839</v>
      </c>
      <c r="I279" s="11" t="s">
        <v>48</v>
      </c>
      <c r="J279" s="16" t="str">
        <f>VLOOKUP(A279,Asteriscati25!B:N,13,0)</f>
        <v>#N/A</v>
      </c>
      <c r="K279" s="26">
        <v>0.0</v>
      </c>
      <c r="L279" s="19" t="str">
        <f t="shared" si="78"/>
        <v>#REF!</v>
      </c>
      <c r="M279" s="19">
        <f>VLOOKUP(B279,FVM_Asta2425!A:M,13,0)</f>
        <v>25</v>
      </c>
      <c r="N279" s="19" t="str">
        <f t="shared" si="6"/>
        <v>#REF!</v>
      </c>
      <c r="O279" s="20">
        <f>VLOOKUP(B279,'FVM_1luglio-31luglio25'!D:Q,14,0)</f>
        <v>24</v>
      </c>
      <c r="P279" s="20">
        <f t="shared" si="80"/>
        <v>24</v>
      </c>
      <c r="Q279" s="21">
        <f t="shared" si="79"/>
        <v>2.5</v>
      </c>
      <c r="R279" s="21">
        <f t="shared" si="66"/>
        <v>2.5</v>
      </c>
      <c r="S279" s="20"/>
      <c r="T279" s="22"/>
      <c r="U279" s="23"/>
    </row>
    <row r="280" ht="22.5" hidden="1" customHeight="1">
      <c r="A280" s="9">
        <f>VLOOKUP(B280,FVM_astainv!A:B,2,0)</f>
        <v>6435</v>
      </c>
      <c r="B280" s="25" t="s">
        <v>341</v>
      </c>
      <c r="C280" s="11" t="s">
        <v>172</v>
      </c>
      <c r="D280" s="12" t="str">
        <f>VLOOKUP(B280,FVM_astainv!A:F,6,0)</f>
        <v>Lecce</v>
      </c>
      <c r="E280" s="13" t="str">
        <f>VLOOKUP(B280,FVM_astainv!A:D,4,0)</f>
        <v>Pc</v>
      </c>
      <c r="F280" s="17" t="str">
        <f>VLOOKUP(B280,'situazione contratti estate 24'!A:I,9,0)</f>
        <v>Obbligo 1+2</v>
      </c>
      <c r="G280" s="14">
        <v>45108.0</v>
      </c>
      <c r="H280" s="144">
        <f t="shared" si="58"/>
        <v>46204</v>
      </c>
      <c r="I280" s="11" t="s">
        <v>71</v>
      </c>
      <c r="J280" s="16" t="str">
        <f>VLOOKUP(A280,Asteriscati25!B:N,13,0)</f>
        <v>#N/A</v>
      </c>
      <c r="K280" s="26">
        <v>0.6</v>
      </c>
      <c r="L280" s="19" t="str">
        <f t="shared" si="78"/>
        <v>#REF!</v>
      </c>
      <c r="M280" s="19">
        <f>VLOOKUP(B280,FVM_Asta2324!C:M,11,0)</f>
        <v>55</v>
      </c>
      <c r="N280" s="19" t="str">
        <f t="shared" si="6"/>
        <v>#REF!</v>
      </c>
      <c r="O280" s="20">
        <f>VLOOKUP(B280,'FVM_1luglio-31luglio25'!D:Q,14,0)</f>
        <v>82</v>
      </c>
      <c r="P280" s="20">
        <f t="shared" si="80"/>
        <v>82</v>
      </c>
      <c r="Q280" s="21">
        <f>VLOOKUP(B280,'situazione contratti estate 24'!A:K,11,0)</f>
        <v>6.5</v>
      </c>
      <c r="R280" s="21">
        <f t="shared" si="66"/>
        <v>4</v>
      </c>
      <c r="S280" s="20"/>
      <c r="T280" s="22"/>
      <c r="U280" s="23"/>
    </row>
    <row r="281" ht="22.5" hidden="1" customHeight="1">
      <c r="A281" s="9">
        <f>VLOOKUP(B281,FVM_astainv!A:B,2,0)</f>
        <v>6042</v>
      </c>
      <c r="B281" s="10" t="s">
        <v>813</v>
      </c>
      <c r="C281" s="11" t="s">
        <v>172</v>
      </c>
      <c r="D281" s="12" t="str">
        <f>VLOOKUP(B281,FVM_astainv!A:F,6,0)</f>
        <v>Bologna</v>
      </c>
      <c r="E281" s="13" t="str">
        <f>VLOOKUP(B281,FVM_astainv!A:D,4,0)</f>
        <v>Dc</v>
      </c>
      <c r="F281" s="11" t="s">
        <v>45</v>
      </c>
      <c r="G281" s="14">
        <v>45474.0</v>
      </c>
      <c r="H281" s="144">
        <f t="shared" si="58"/>
        <v>45839</v>
      </c>
      <c r="I281" s="11" t="s">
        <v>71</v>
      </c>
      <c r="J281" s="16" t="str">
        <f>VLOOKUP(A281,Asteriscati25!B:N,13,0)</f>
        <v>#N/A</v>
      </c>
      <c r="K281" s="26">
        <v>0.4</v>
      </c>
      <c r="L281" s="19" t="str">
        <f t="shared" si="78"/>
        <v>#REF!</v>
      </c>
      <c r="M281" s="19">
        <f>VLOOKUP(B281,FVM_Asta2425!A:M,13,0)</f>
        <v>14</v>
      </c>
      <c r="N281" s="19" t="str">
        <f t="shared" si="6"/>
        <v>#REF!</v>
      </c>
      <c r="O281" s="20">
        <f>VLOOKUP(B281,'FVM_1luglio-31luglio25'!D:Q,14,0)</f>
        <v>14</v>
      </c>
      <c r="P281" s="20">
        <f t="shared" si="80"/>
        <v>14</v>
      </c>
      <c r="Q281" s="21">
        <f t="shared" ref="Q281:Q284" si="81">IF(F281="Standard",CEILING((M281/10),0.5),
IF(OR(F281="Diritto 1+1",M281="Inverno Diritto 0,5 + 1"),CEILING((M281/10)*1.3,0.5),
CEILING((M281/10)*1.15,0.5)))</f>
        <v>1.5</v>
      </c>
      <c r="R281" s="21">
        <f t="shared" si="66"/>
        <v>1</v>
      </c>
      <c r="S281" s="20"/>
      <c r="T281" s="11" t="s">
        <v>172</v>
      </c>
      <c r="U281" s="23"/>
    </row>
    <row r="282" ht="22.5" hidden="1" customHeight="1">
      <c r="A282" s="9">
        <f>VLOOKUP(B282,FVM_astainv!A:B,2,0)</f>
        <v>4896</v>
      </c>
      <c r="B282" s="43" t="s">
        <v>645</v>
      </c>
      <c r="C282" s="145" t="s">
        <v>172</v>
      </c>
      <c r="D282" s="12" t="str">
        <f>VLOOKUP(B282,FVM_astainv!A:F,6,0)</f>
        <v>Atalanta</v>
      </c>
      <c r="E282" s="13" t="str">
        <f>VLOOKUP(B282,FVM_astainv!A:D,4,0)</f>
        <v>T;A</v>
      </c>
      <c r="F282" s="45" t="s">
        <v>45</v>
      </c>
      <c r="G282" s="15">
        <v>45474.0</v>
      </c>
      <c r="H282" s="146">
        <f t="shared" si="58"/>
        <v>45839</v>
      </c>
      <c r="I282" s="33" t="s">
        <v>126</v>
      </c>
      <c r="J282" s="16" t="str">
        <f>VLOOKUP(A282,Asteriscati25!B:N,13,0)</f>
        <v>#N/A</v>
      </c>
      <c r="K282" s="147">
        <v>0.8</v>
      </c>
      <c r="L282" s="47" t="str">
        <f t="shared" si="78"/>
        <v>#REF!</v>
      </c>
      <c r="M282" s="47">
        <f>VLOOKUP(B282,FVM_Asta2425!A:M,13,0)</f>
        <v>23</v>
      </c>
      <c r="N282" s="19" t="str">
        <f t="shared" si="6"/>
        <v>#REF!</v>
      </c>
      <c r="O282" s="20">
        <f>VLOOKUP(B282,'FVM_1luglio-31luglio25'!D:Q,14,0)</f>
        <v>26</v>
      </c>
      <c r="P282" s="36">
        <f t="shared" si="80"/>
        <v>26</v>
      </c>
      <c r="Q282" s="119">
        <f t="shared" si="81"/>
        <v>2.5</v>
      </c>
      <c r="R282" s="119">
        <f t="shared" si="66"/>
        <v>2</v>
      </c>
      <c r="S282" s="37"/>
      <c r="T282" s="148" t="s">
        <v>99</v>
      </c>
      <c r="U282" s="115"/>
    </row>
    <row r="283" ht="22.5" hidden="1" customHeight="1">
      <c r="A283" s="9">
        <f>VLOOKUP(B283,FVM_astainv!A:B,2,0)</f>
        <v>4427</v>
      </c>
      <c r="B283" s="25" t="s">
        <v>462</v>
      </c>
      <c r="C283" s="11" t="s">
        <v>172</v>
      </c>
      <c r="D283" s="12" t="str">
        <f>VLOOKUP(B283,FVM_astainv!A:F,6,0)</f>
        <v>Genoa</v>
      </c>
      <c r="E283" s="13" t="str">
        <f>VLOOKUP(B283,FVM_astainv!A:D,4,0)</f>
        <v>C;T</v>
      </c>
      <c r="F283" s="11" t="s">
        <v>45</v>
      </c>
      <c r="G283" s="14">
        <v>45474.0</v>
      </c>
      <c r="H283" s="144">
        <f t="shared" si="58"/>
        <v>45839</v>
      </c>
      <c r="I283" s="11" t="s">
        <v>46</v>
      </c>
      <c r="J283" s="16" t="str">
        <f>VLOOKUP(A283,Asteriscati25!B:N,13,0)</f>
        <v>#N/A</v>
      </c>
      <c r="K283" s="26">
        <v>0.0</v>
      </c>
      <c r="L283" s="19" t="str">
        <f t="shared" si="78"/>
        <v>#REF!</v>
      </c>
      <c r="M283" s="19">
        <f>VLOOKUP(B283,FVM_Asta2425!A:M,13,0)</f>
        <v>26</v>
      </c>
      <c r="N283" s="19" t="str">
        <f t="shared" si="6"/>
        <v>#REF!</v>
      </c>
      <c r="O283" s="20">
        <f>VLOOKUP(B283,'FVM_1luglio-31luglio25'!D:Q,14,0)</f>
        <v>22</v>
      </c>
      <c r="P283" s="20">
        <f t="shared" si="80"/>
        <v>22</v>
      </c>
      <c r="Q283" s="21">
        <f t="shared" si="81"/>
        <v>3</v>
      </c>
      <c r="R283" s="21">
        <f t="shared" si="66"/>
        <v>1.5</v>
      </c>
      <c r="S283" s="20"/>
      <c r="T283" s="22"/>
      <c r="U283" s="23"/>
    </row>
    <row r="284" ht="22.5" hidden="1" customHeight="1">
      <c r="A284" s="9">
        <f>VLOOKUP(B284,FVM_astainv!A:B,2,0)</f>
        <v>6482</v>
      </c>
      <c r="B284" s="25" t="s">
        <v>814</v>
      </c>
      <c r="C284" s="11" t="s">
        <v>172</v>
      </c>
      <c r="D284" s="12" t="str">
        <f>VLOOKUP(B284,FVM_astainv!A:F,6,0)</f>
        <v>Lazio</v>
      </c>
      <c r="E284" s="13" t="str">
        <f>VLOOKUP(B284,FVM_astainv!A:D,4,0)</f>
        <v>Por</v>
      </c>
      <c r="F284" s="11" t="s">
        <v>45</v>
      </c>
      <c r="G284" s="14">
        <v>45474.0</v>
      </c>
      <c r="H284" s="144">
        <f t="shared" si="58"/>
        <v>45839</v>
      </c>
      <c r="I284" s="11" t="s">
        <v>48</v>
      </c>
      <c r="J284" s="16" t="str">
        <f>VLOOKUP(A284,Asteriscati25!B:N,13,0)</f>
        <v>#N/A</v>
      </c>
      <c r="K284" s="26">
        <v>0.0</v>
      </c>
      <c r="L284" s="19" t="str">
        <f t="shared" si="78"/>
        <v>#REF!</v>
      </c>
      <c r="M284" s="19">
        <f>VLOOKUP(B284,FVM_Asta2425!A:M,13,0)</f>
        <v>1</v>
      </c>
      <c r="N284" s="19" t="str">
        <f t="shared" si="6"/>
        <v>#REF!</v>
      </c>
      <c r="O284" s="20">
        <f>VLOOKUP(B284,'FVM_1luglio-31luglio25'!D:Q,14,0)</f>
        <v>19</v>
      </c>
      <c r="P284" s="20">
        <f t="shared" si="80"/>
        <v>19</v>
      </c>
      <c r="Q284" s="21">
        <f t="shared" si="81"/>
        <v>0.5</v>
      </c>
      <c r="R284" s="21">
        <f t="shared" si="66"/>
        <v>0.5</v>
      </c>
      <c r="S284" s="20"/>
      <c r="T284" s="22"/>
      <c r="U284" s="23"/>
    </row>
    <row r="285" ht="22.5" hidden="1" customHeight="1">
      <c r="A285" s="9">
        <f>VLOOKUP(B285,FVM_astainv!A:B,2,0)</f>
        <v>2764</v>
      </c>
      <c r="B285" s="25" t="s">
        <v>145</v>
      </c>
      <c r="C285" s="11" t="s">
        <v>172</v>
      </c>
      <c r="D285" s="12" t="str">
        <f>VLOOKUP(B285,FVM_astainv!A:F,6,0)</f>
        <v>Inter</v>
      </c>
      <c r="E285" s="13" t="str">
        <f>VLOOKUP(B285,FVM_astainv!A:D,4,0)</f>
        <v>Pc</v>
      </c>
      <c r="F285" s="17" t="str">
        <f>VLOOKUP(B285,'situazione contratti estate 24'!A:I,9,0)</f>
        <v>Obbligo 1+2</v>
      </c>
      <c r="G285" s="14">
        <v>45108.0</v>
      </c>
      <c r="H285" s="144">
        <f t="shared" si="58"/>
        <v>46204</v>
      </c>
      <c r="I285" s="11" t="s">
        <v>48</v>
      </c>
      <c r="J285" s="16" t="str">
        <f>VLOOKUP(A285,Asteriscati25!B:N,13,0)</f>
        <v>#N/A</v>
      </c>
      <c r="K285" s="26">
        <v>0.0</v>
      </c>
      <c r="L285" s="19" t="str">
        <f t="shared" si="78"/>
        <v>#REF!</v>
      </c>
      <c r="M285" s="19">
        <f>VLOOKUP(B285,FVM_Asta2324!C:M,11,0)</f>
        <v>436</v>
      </c>
      <c r="N285" s="19" t="str">
        <f t="shared" si="6"/>
        <v>#REF!</v>
      </c>
      <c r="O285" s="20">
        <f>VLOOKUP(B285,'FVM_1luglio-31luglio25'!D:Q,14,0)</f>
        <v>358</v>
      </c>
      <c r="P285" s="20">
        <f t="shared" si="80"/>
        <v>358</v>
      </c>
      <c r="Q285" s="21">
        <f>VLOOKUP(B285,'situazione contratti estate 24'!A:K,11,0)</f>
        <v>50.5</v>
      </c>
      <c r="R285" s="21">
        <f t="shared" si="66"/>
        <v>50.5</v>
      </c>
      <c r="S285" s="20"/>
      <c r="T285" s="22"/>
      <c r="U285" s="23"/>
      <c r="V285" s="153"/>
      <c r="W285" s="153"/>
      <c r="X285" s="153"/>
      <c r="Y285" s="153"/>
      <c r="Z285" s="153"/>
      <c r="AA285" s="153"/>
      <c r="AB285" s="153"/>
      <c r="AC285" s="153"/>
      <c r="AD285" s="153"/>
      <c r="AE285" s="153"/>
      <c r="AF285" s="153"/>
      <c r="AG285" s="153"/>
      <c r="AH285" s="153"/>
      <c r="AI285" s="153"/>
      <c r="AJ285" s="153"/>
      <c r="AK285" s="153"/>
      <c r="AL285" s="153"/>
      <c r="AM285" s="153"/>
    </row>
    <row r="286" ht="22.5" hidden="1" customHeight="1">
      <c r="A286" s="9">
        <f>VLOOKUP(B286,FVM_astainv!A:B,2,0)</f>
        <v>5354</v>
      </c>
      <c r="B286" s="25" t="s">
        <v>815</v>
      </c>
      <c r="C286" s="11" t="s">
        <v>172</v>
      </c>
      <c r="D286" s="12" t="str">
        <f>VLOOKUP(B286,FVM_astainv!A:F,6,0)</f>
        <v>Atalanta</v>
      </c>
      <c r="E286" s="13" t="str">
        <f>VLOOKUP(B286,FVM_astainv!A:D,4,0)</f>
        <v>E</v>
      </c>
      <c r="F286" s="17" t="str">
        <f>VLOOKUP(B286,'situazione contratti estate 24'!A:I,9,0)</f>
        <v>Diritto 1+1</v>
      </c>
      <c r="G286" s="14">
        <v>45108.0</v>
      </c>
      <c r="H286" s="144">
        <f t="shared" si="58"/>
        <v>45839</v>
      </c>
      <c r="I286" s="11" t="s">
        <v>605</v>
      </c>
      <c r="J286" s="16" t="str">
        <f>VLOOKUP(A286,Asteriscati25!B:N,13,0)</f>
        <v>#N/A</v>
      </c>
      <c r="K286" s="26">
        <v>1.0</v>
      </c>
      <c r="L286" s="19" t="str">
        <f t="shared" si="78"/>
        <v>#REF!</v>
      </c>
      <c r="M286" s="19">
        <f>VLOOKUP(B286,FVM_Asta2324!C:M,11,0)</f>
        <v>8</v>
      </c>
      <c r="N286" s="19" t="str">
        <f t="shared" si="6"/>
        <v>#REF!</v>
      </c>
      <c r="O286" s="20">
        <f>VLOOKUP(B286,'FVM_1luglio-31luglio25'!D:Q,14,0)</f>
        <v>24</v>
      </c>
      <c r="P286" s="20">
        <f t="shared" si="80"/>
        <v>24</v>
      </c>
      <c r="Q286" s="21">
        <f>VLOOKUP(B286,'situazione contratti estate 24'!A:K,11,0)</f>
        <v>1.5</v>
      </c>
      <c r="R286" s="21" t="str">
        <f t="shared" si="66"/>
        <v/>
      </c>
      <c r="S286" s="20"/>
      <c r="T286" s="11" t="s">
        <v>193</v>
      </c>
      <c r="U286" s="10"/>
    </row>
    <row r="287" ht="22.5" hidden="1" customHeight="1">
      <c r="A287" s="9">
        <f>VLOOKUP(B287,FVM_astainv!A:B,2,0)</f>
        <v>4409</v>
      </c>
      <c r="B287" s="25" t="s">
        <v>816</v>
      </c>
      <c r="C287" s="11" t="s">
        <v>172</v>
      </c>
      <c r="D287" s="12" t="str">
        <f>VLOOKUP(B287,FVM_astainv!A:F,6,0)</f>
        <v>Napoli</v>
      </c>
      <c r="E287" s="13" t="str">
        <f>VLOOKUP(B287,FVM_astainv!A:D,4,0)</f>
        <v>Dc</v>
      </c>
      <c r="F287" s="17" t="str">
        <f>VLOOKUP(B287,'situazione contratti estate 24'!A:I,9,0)</f>
        <v>Obbligo 1+1</v>
      </c>
      <c r="G287" s="14">
        <v>45108.0</v>
      </c>
      <c r="H287" s="144">
        <f t="shared" si="58"/>
        <v>45839</v>
      </c>
      <c r="I287" s="11" t="s">
        <v>605</v>
      </c>
      <c r="J287" s="16" t="str">
        <f>VLOOKUP(A287,Asteriscati25!B:N,13,0)</f>
        <v>#N/A</v>
      </c>
      <c r="K287" s="26">
        <v>0.0</v>
      </c>
      <c r="L287" s="19" t="str">
        <f t="shared" si="78"/>
        <v>#REF!</v>
      </c>
      <c r="M287" s="19">
        <f>VLOOKUP(B287,FVM_Asta2324!C:M,11,0)</f>
        <v>44</v>
      </c>
      <c r="N287" s="19" t="str">
        <f t="shared" si="6"/>
        <v>#REF!</v>
      </c>
      <c r="O287" s="20">
        <f>VLOOKUP(B287,'FVM_1luglio-31luglio25'!D:Q,14,0)</f>
        <v>37</v>
      </c>
      <c r="P287" s="20">
        <f t="shared" si="80"/>
        <v>37</v>
      </c>
      <c r="Q287" s="21">
        <f>VLOOKUP(B287,'situazione contratti estate 24'!A:K,11,0)</f>
        <v>5.5</v>
      </c>
      <c r="R287" s="21" t="str">
        <f t="shared" si="66"/>
        <v/>
      </c>
      <c r="S287" s="20"/>
      <c r="T287" s="22"/>
      <c r="U287" s="23"/>
    </row>
    <row r="288" ht="22.5" hidden="1" customHeight="1">
      <c r="A288" s="9">
        <f>VLOOKUP(B288,FVM_astainv!A:B,2,0)</f>
        <v>5878</v>
      </c>
      <c r="B288" s="25" t="s">
        <v>817</v>
      </c>
      <c r="C288" s="11" t="s">
        <v>172</v>
      </c>
      <c r="D288" s="12" t="str">
        <f>VLOOKUP(B288,FVM_astainv!A:F,6,0)</f>
        <v>Fiorentina</v>
      </c>
      <c r="E288" s="13" t="str">
        <f>VLOOKUP(B288,FVM_astainv!A:D,4,0)</f>
        <v>T</v>
      </c>
      <c r="F288" s="17" t="str">
        <f>VLOOKUP(B288,'situazione contratti estate 24'!A:I,9,0)</f>
        <v>Obbligo 1+2</v>
      </c>
      <c r="G288" s="14">
        <v>45108.0</v>
      </c>
      <c r="H288" s="144">
        <f t="shared" si="58"/>
        <v>46204</v>
      </c>
      <c r="I288" s="11" t="s">
        <v>122</v>
      </c>
      <c r="J288" s="16" t="str">
        <f>VLOOKUP(A288,Asteriscati25!B:N,13,0)</f>
        <v>#N/A</v>
      </c>
      <c r="K288" s="26">
        <v>0.6</v>
      </c>
      <c r="L288" s="19" t="str">
        <f t="shared" si="78"/>
        <v>#REF!</v>
      </c>
      <c r="M288" s="19">
        <f>VLOOKUP(B288,FVM_Asta2324!C:M,11,0)</f>
        <v>25</v>
      </c>
      <c r="N288" s="19" t="str">
        <f t="shared" si="6"/>
        <v>#REF!</v>
      </c>
      <c r="O288" s="20">
        <f>VLOOKUP(B288,'FVM_1luglio-31luglio25'!D:Q,14,0)</f>
        <v>47</v>
      </c>
      <c r="P288" s="20">
        <f t="shared" si="80"/>
        <v>47</v>
      </c>
      <c r="Q288" s="21">
        <f>VLOOKUP(B288,'situazione contratti estate 24'!A:K,11,0)</f>
        <v>3</v>
      </c>
      <c r="R288" s="21">
        <f t="shared" si="66"/>
        <v>2</v>
      </c>
      <c r="S288" s="20"/>
      <c r="T288" s="22"/>
      <c r="U288" s="23"/>
      <c r="V288" s="153"/>
      <c r="W288" s="153"/>
      <c r="X288" s="153"/>
      <c r="Y288" s="153"/>
      <c r="Z288" s="153"/>
      <c r="AA288" s="153"/>
      <c r="AB288" s="153"/>
      <c r="AC288" s="153"/>
      <c r="AD288" s="153"/>
      <c r="AE288" s="153"/>
      <c r="AF288" s="153"/>
      <c r="AG288" s="153"/>
      <c r="AH288" s="153"/>
      <c r="AI288" s="153"/>
      <c r="AJ288" s="153"/>
      <c r="AK288" s="153"/>
      <c r="AL288" s="153"/>
      <c r="AM288" s="153"/>
    </row>
    <row r="289" ht="22.5" hidden="1" customHeight="1">
      <c r="A289" s="9">
        <f>VLOOKUP(B289,FVM_astainv!A:B,2,0)</f>
        <v>5734</v>
      </c>
      <c r="B289" s="25" t="s">
        <v>818</v>
      </c>
      <c r="C289" s="11" t="s">
        <v>172</v>
      </c>
      <c r="D289" s="12" t="str">
        <f>VLOOKUP(B289,FVM_astainv!A:F,6,0)</f>
        <v>Roma</v>
      </c>
      <c r="E289" s="13" t="str">
        <f>VLOOKUP(B289,FVM_astainv!A:D,4,0)</f>
        <v>W;A</v>
      </c>
      <c r="F289" s="17" t="str">
        <f>VLOOKUP(B289,'situazione contratti estate 24'!A:I,9,0)</f>
        <v>Diritto 1+1</v>
      </c>
      <c r="G289" s="14">
        <v>45108.0</v>
      </c>
      <c r="H289" s="144">
        <f t="shared" si="58"/>
        <v>45839</v>
      </c>
      <c r="I289" s="11" t="s">
        <v>605</v>
      </c>
      <c r="J289" s="16" t="str">
        <f>VLOOKUP(A289,Asteriscati25!B:N,13,0)</f>
        <v>#N/A</v>
      </c>
      <c r="K289" s="26">
        <v>0.0</v>
      </c>
      <c r="L289" s="19" t="str">
        <f t="shared" si="78"/>
        <v>#REF!</v>
      </c>
      <c r="M289" s="19">
        <f>VLOOKUP(B289,FVM_Asta2324!C:M,11,0)</f>
        <v>14</v>
      </c>
      <c r="N289" s="19" t="str">
        <f t="shared" si="6"/>
        <v>#REF!</v>
      </c>
      <c r="O289" s="20">
        <f>VLOOKUP(B289,'FVM_1luglio-31luglio25'!D:Q,14,0)</f>
        <v>98</v>
      </c>
      <c r="P289" s="20">
        <f t="shared" si="80"/>
        <v>98</v>
      </c>
      <c r="Q289" s="21">
        <f>VLOOKUP(B289,'situazione contratti estate 24'!A:K,11,0)</f>
        <v>2</v>
      </c>
      <c r="R289" s="21" t="str">
        <f t="shared" si="66"/>
        <v/>
      </c>
      <c r="S289" s="20"/>
      <c r="T289" s="22"/>
      <c r="U289" s="23"/>
    </row>
    <row r="290" ht="22.5" hidden="1" customHeight="1">
      <c r="A290" s="9">
        <f>VLOOKUP(B290,FVM_astainv!A:B,2,0)</f>
        <v>6459</v>
      </c>
      <c r="B290" s="187" t="s">
        <v>792</v>
      </c>
      <c r="C290" s="11" t="s">
        <v>172</v>
      </c>
      <c r="D290" s="12" t="str">
        <f>VLOOKUP(B290,FVM_astainv!A:F,6,0)</f>
        <v>Lecce</v>
      </c>
      <c r="E290" s="13" t="str">
        <f>VLOOKUP(B290,FVM_astainv!A:D,4,0)</f>
        <v>W;A</v>
      </c>
      <c r="F290" s="17" t="str">
        <f>VLOOKUP(B290,'situazione contratti estate 24'!A:I,9,0)</f>
        <v>Diritto 1+1</v>
      </c>
      <c r="G290" s="14">
        <v>45108.0</v>
      </c>
      <c r="H290" s="144">
        <f t="shared" si="58"/>
        <v>45839</v>
      </c>
      <c r="I290" s="11" t="s">
        <v>605</v>
      </c>
      <c r="J290" s="16" t="str">
        <f>VLOOKUP(A290,Asteriscati25!B:N,13,0)</f>
        <v>#N/A</v>
      </c>
      <c r="K290" s="26">
        <v>0.6</v>
      </c>
      <c r="L290" s="19" t="str">
        <f t="shared" si="78"/>
        <v>#REF!</v>
      </c>
      <c r="M290" s="19">
        <f>VLOOKUP(B290,FVM_Asta2324!C:M,11,0)</f>
        <v>25</v>
      </c>
      <c r="N290" s="19" t="str">
        <f t="shared" si="6"/>
        <v>#REF!</v>
      </c>
      <c r="O290" s="20">
        <f>VLOOKUP(B290,'FVM_1luglio-31luglio25'!D:Q,14,0)</f>
        <v>10</v>
      </c>
      <c r="P290" s="20">
        <f t="shared" si="80"/>
        <v>10</v>
      </c>
      <c r="Q290" s="21">
        <f>VLOOKUP(B290,'situazione contratti estate 24'!A:K,11,0)</f>
        <v>3.5</v>
      </c>
      <c r="R290" s="21" t="str">
        <f t="shared" si="66"/>
        <v/>
      </c>
      <c r="S290" s="20"/>
      <c r="T290" s="22"/>
      <c r="U290" s="23"/>
    </row>
    <row r="291" ht="22.5" hidden="1" customHeight="1">
      <c r="A291" s="9">
        <f>VLOOKUP(B291,FVM_astainv!A:B,2,0)</f>
        <v>2741</v>
      </c>
      <c r="B291" s="25" t="s">
        <v>819</v>
      </c>
      <c r="C291" s="11" t="s">
        <v>172</v>
      </c>
      <c r="D291" s="12" t="str">
        <f>VLOOKUP(B291,FVM_astainv!A:F,6,0)</f>
        <v>Monza</v>
      </c>
      <c r="E291" s="13" t="str">
        <f>VLOOKUP(B291,FVM_astainv!A:D,4,0)</f>
        <v>M;C</v>
      </c>
      <c r="F291" s="11" t="s">
        <v>59</v>
      </c>
      <c r="G291" s="14">
        <v>45474.0</v>
      </c>
      <c r="H291" s="144">
        <f t="shared" si="58"/>
        <v>46569</v>
      </c>
      <c r="I291" s="11" t="s">
        <v>605</v>
      </c>
      <c r="J291" s="16" t="str">
        <f>VLOOKUP(A291,Asteriscati25!B:N,13,0)</f>
        <v>#N/A</v>
      </c>
      <c r="K291" s="26">
        <v>0.0</v>
      </c>
      <c r="L291" s="19" t="str">
        <f t="shared" si="78"/>
        <v>#REF!</v>
      </c>
      <c r="M291" s="19">
        <f>VLOOKUP(B291,FVM_Asta2425!A:M,13,0)</f>
        <v>42</v>
      </c>
      <c r="N291" s="19" t="str">
        <f t="shared" si="6"/>
        <v>#REF!</v>
      </c>
      <c r="O291" s="20">
        <f>VLOOKUP(B291,'FVM_1luglio-31luglio25'!D:Q,14,0)</f>
        <v>26</v>
      </c>
      <c r="P291" s="20">
        <f t="shared" si="80"/>
        <v>26</v>
      </c>
      <c r="Q291" s="21">
        <f t="shared" ref="Q291:Q293" si="82">IF(F291="Standard",CEILING((M291/10),0.5),
IF(OR(F291="Diritto 1+1",M291="Inverno Diritto 0,5 + 1"),CEILING((M291/10)*1.3,0.5),
CEILING((M291/10)*1.15,0.5)))</f>
        <v>5</v>
      </c>
      <c r="R291" s="21" t="str">
        <f t="shared" si="66"/>
        <v/>
      </c>
      <c r="S291" s="20"/>
      <c r="T291" s="22"/>
      <c r="U291" s="23"/>
    </row>
    <row r="292" ht="22.5" hidden="1" customHeight="1">
      <c r="A292" s="9">
        <f>VLOOKUP(B292,FVM_astainv!A:B,2,0)</f>
        <v>4210</v>
      </c>
      <c r="B292" s="138" t="s">
        <v>820</v>
      </c>
      <c r="C292" s="88" t="s">
        <v>172</v>
      </c>
      <c r="D292" s="12" t="str">
        <f>VLOOKUP(B292,FVM_astainv!A:F,6,0)</f>
        <v>Cagliari</v>
      </c>
      <c r="E292" s="13" t="str">
        <f>VLOOKUP(B292,FVM_astainv!A:D,4,0)</f>
        <v>Dc</v>
      </c>
      <c r="F292" s="88" t="s">
        <v>45</v>
      </c>
      <c r="G292" s="150">
        <v>45474.0</v>
      </c>
      <c r="H292" s="155">
        <f t="shared" si="58"/>
        <v>45839</v>
      </c>
      <c r="I292" s="88" t="s">
        <v>48</v>
      </c>
      <c r="J292" s="92" t="str">
        <f>VLOOKUP(A292,Asteriscati25!B:N,13,0)</f>
        <v>#N/A</v>
      </c>
      <c r="K292" s="152">
        <v>0.0</v>
      </c>
      <c r="L292" s="94" t="str">
        <f t="shared" si="78"/>
        <v>#REF!</v>
      </c>
      <c r="M292" s="94">
        <f>VLOOKUP(B292,FVM_Asta2425!A:M,13,0)</f>
        <v>13</v>
      </c>
      <c r="N292" s="19" t="str">
        <f t="shared" si="6"/>
        <v>#REF!</v>
      </c>
      <c r="O292" s="20">
        <f>VLOOKUP(B292,'FVM_1luglio-31luglio25'!D:Q,14,0)</f>
        <v>17</v>
      </c>
      <c r="P292" s="20">
        <f t="shared" si="80"/>
        <v>17</v>
      </c>
      <c r="Q292" s="95">
        <f t="shared" si="82"/>
        <v>1.5</v>
      </c>
      <c r="R292" s="95">
        <f t="shared" si="66"/>
        <v>1.5</v>
      </c>
      <c r="S292" s="59"/>
      <c r="T292" s="96"/>
      <c r="U292" s="97"/>
    </row>
    <row r="293" ht="22.5" hidden="1" customHeight="1">
      <c r="A293" s="9" t="str">
        <f>VLOOKUP(B293,FVM_astainv!A:B,2,0)</f>
        <v>#N/A</v>
      </c>
      <c r="B293" s="25" t="s">
        <v>640</v>
      </c>
      <c r="C293" s="11" t="s">
        <v>172</v>
      </c>
      <c r="D293" s="12" t="str">
        <f>VLOOKUP(B293,FVM_astainv!A:F,6,0)</f>
        <v>#N/A</v>
      </c>
      <c r="E293" s="13" t="str">
        <f>VLOOKUP(B293,FVM_astainv!A:D,4,0)</f>
        <v>#N/A</v>
      </c>
      <c r="F293" s="11" t="s">
        <v>45</v>
      </c>
      <c r="G293" s="14">
        <v>45474.0</v>
      </c>
      <c r="H293" s="144">
        <f t="shared" si="58"/>
        <v>45839</v>
      </c>
      <c r="I293" s="11" t="s">
        <v>122</v>
      </c>
      <c r="J293" s="16" t="str">
        <f>VLOOKUP(A293,Asteriscati25!B:N,13,0)</f>
        <v>#N/A</v>
      </c>
      <c r="K293" s="26">
        <v>0.2</v>
      </c>
      <c r="L293" s="19" t="str">
        <f t="shared" si="78"/>
        <v>#REF!</v>
      </c>
      <c r="M293" s="19">
        <f>VLOOKUP(B293,FVM_Asta2425!A:M,13,0)</f>
        <v>10</v>
      </c>
      <c r="N293" s="19" t="str">
        <f t="shared" si="6"/>
        <v>#REF!</v>
      </c>
      <c r="O293" s="20" t="str">
        <f>VLOOKUP(B293,'FVM_1luglio-31luglio25'!D:Q,14,0)</f>
        <v>#N/A</v>
      </c>
      <c r="P293" s="9">
        <v>0.0</v>
      </c>
      <c r="Q293" s="21">
        <f t="shared" si="82"/>
        <v>1</v>
      </c>
      <c r="R293" s="21">
        <f t="shared" si="66"/>
        <v>0.5</v>
      </c>
      <c r="S293" s="20"/>
      <c r="T293" s="11" t="s">
        <v>172</v>
      </c>
      <c r="U293" s="23"/>
    </row>
    <row r="294" ht="22.5" hidden="1" customHeight="1">
      <c r="A294" s="9">
        <f>VLOOKUP(B294,FVM_astainv!A:B,2,0)</f>
        <v>788</v>
      </c>
      <c r="B294" s="102" t="s">
        <v>821</v>
      </c>
      <c r="C294" s="103" t="s">
        <v>172</v>
      </c>
      <c r="D294" s="12" t="str">
        <f>VLOOKUP(B294,FVM_astainv!A:F,6,0)</f>
        <v>Bologna</v>
      </c>
      <c r="E294" s="13" t="str">
        <f>VLOOKUP(B294,FVM_astainv!A:D,4,0)</f>
        <v>M;C</v>
      </c>
      <c r="F294" s="195" t="str">
        <f>VLOOKUP(B294,'situazione contratti estate 24'!A:I,9,0)</f>
        <v>Obbligo 1+1</v>
      </c>
      <c r="G294" s="66">
        <v>45108.0</v>
      </c>
      <c r="H294" s="146">
        <f t="shared" si="58"/>
        <v>45839</v>
      </c>
      <c r="I294" s="11" t="s">
        <v>605</v>
      </c>
      <c r="J294" s="16" t="str">
        <f>VLOOKUP(A294,Asteriscati25!B:N,13,0)</f>
        <v>#N/A</v>
      </c>
      <c r="K294" s="196">
        <v>0.6</v>
      </c>
      <c r="L294" s="106" t="str">
        <f t="shared" si="78"/>
        <v>#REF!</v>
      </c>
      <c r="M294" s="106">
        <f>VLOOKUP(B294,FVM_Asta2324!C:M,11,0)</f>
        <v>16</v>
      </c>
      <c r="N294" s="19" t="str">
        <f t="shared" si="6"/>
        <v>#REF!</v>
      </c>
      <c r="O294" s="20">
        <f>VLOOKUP(B294,'FVM_1luglio-31luglio25'!D:Q,14,0)</f>
        <v>28</v>
      </c>
      <c r="P294" s="159">
        <f t="shared" ref="P294:P299" si="83">IFERROR(N294,O294)</f>
        <v>28</v>
      </c>
      <c r="Q294" s="160">
        <f>VLOOKUP(B294,'situazione contratti estate 24'!A:K,11,0)</f>
        <v>2</v>
      </c>
      <c r="R294" s="160" t="str">
        <f t="shared" si="66"/>
        <v/>
      </c>
      <c r="S294" s="108"/>
      <c r="T294" s="195" t="s">
        <v>90</v>
      </c>
      <c r="U294" s="162"/>
    </row>
    <row r="295" ht="22.5" hidden="1" customHeight="1">
      <c r="A295" s="9">
        <f>VLOOKUP(B295,FVM_astainv!A:B,2,0)</f>
        <v>5875</v>
      </c>
      <c r="B295" s="25" t="s">
        <v>679</v>
      </c>
      <c r="C295" s="11" t="s">
        <v>172</v>
      </c>
      <c r="D295" s="12" t="str">
        <f>VLOOKUP(B295,FVM_astainv!A:F,6,0)</f>
        <v>Fiorentina</v>
      </c>
      <c r="E295" s="13" t="str">
        <f>VLOOKUP(B295,FVM_astainv!A:D,4,0)</f>
        <v>M;C</v>
      </c>
      <c r="F295" s="11" t="s">
        <v>45</v>
      </c>
      <c r="G295" s="14">
        <v>45474.0</v>
      </c>
      <c r="H295" s="144">
        <f t="shared" si="58"/>
        <v>45839</v>
      </c>
      <c r="I295" s="11" t="s">
        <v>122</v>
      </c>
      <c r="J295" s="16" t="str">
        <f>VLOOKUP(A295,Asteriscati25!B:N,13,0)</f>
        <v>#N/A</v>
      </c>
      <c r="K295" s="26">
        <v>0.6</v>
      </c>
      <c r="L295" s="19" t="str">
        <f t="shared" si="78"/>
        <v>#REF!</v>
      </c>
      <c r="M295" s="19">
        <f>VLOOKUP(B295,FVM_Asta2425!A:M,13,0)</f>
        <v>17</v>
      </c>
      <c r="N295" s="19" t="str">
        <f t="shared" si="6"/>
        <v>#REF!</v>
      </c>
      <c r="O295" s="20">
        <f>VLOOKUP(B295,'FVM_1luglio-31luglio25'!D:Q,14,0)</f>
        <v>27</v>
      </c>
      <c r="P295" s="20">
        <f t="shared" si="83"/>
        <v>27</v>
      </c>
      <c r="Q295" s="21">
        <f>IF(F295="Standard",CEILING((M295/10),0.5),
IF(OR(F295="Diritto 1+1",M295="Inverno Diritto 0,5 + 1"),CEILING((M295/10)*1.3,0.5),
CEILING((M295/10)*1.15,0.5)))</f>
        <v>2</v>
      </c>
      <c r="R295" s="21">
        <f t="shared" si="66"/>
        <v>1.5</v>
      </c>
      <c r="S295" s="20"/>
      <c r="T295" s="22"/>
      <c r="U295" s="23"/>
    </row>
    <row r="296" ht="22.5" hidden="1" customHeight="1">
      <c r="A296" s="9">
        <f>VLOOKUP(B296,FVM_astainv!A:B,2,0)</f>
        <v>5119</v>
      </c>
      <c r="B296" s="43" t="s">
        <v>387</v>
      </c>
      <c r="C296" s="44" t="s">
        <v>172</v>
      </c>
      <c r="D296" s="12" t="str">
        <f>VLOOKUP(B296,FVM_astainv!A:F,6,0)</f>
        <v>Atalanta</v>
      </c>
      <c r="E296" s="13" t="str">
        <f>VLOOKUP(B296,FVM_astainv!A:D,4,0)</f>
        <v>T</v>
      </c>
      <c r="F296" s="113" t="str">
        <f>VLOOKUP(B296,'situazione contratti estate 24'!A:I,9,0)</f>
        <v>Diritto 1+1</v>
      </c>
      <c r="G296" s="66">
        <v>45108.0</v>
      </c>
      <c r="H296" s="146">
        <f t="shared" si="58"/>
        <v>45839</v>
      </c>
      <c r="I296" s="11" t="s">
        <v>605</v>
      </c>
      <c r="J296" s="34" t="str">
        <f>VLOOKUP(A296,Asteriscati25!B:N,13,0)</f>
        <v>#N/A</v>
      </c>
      <c r="K296" s="197">
        <v>0.4</v>
      </c>
      <c r="L296" s="47" t="str">
        <f t="shared" si="78"/>
        <v>#REF!</v>
      </c>
      <c r="M296" s="47">
        <f>VLOOKUP(B296,FVM_Asta2324!C:M,11,0)</f>
        <v>50</v>
      </c>
      <c r="N296" s="19" t="str">
        <f t="shared" si="6"/>
        <v>#REF!</v>
      </c>
      <c r="O296" s="20">
        <f>VLOOKUP(B296,'FVM_1luglio-31luglio25'!D:Q,14,0)</f>
        <v>28</v>
      </c>
      <c r="P296" s="36">
        <f t="shared" si="83"/>
        <v>28</v>
      </c>
      <c r="Q296" s="119">
        <f>VLOOKUP(B296,'situazione contratti estate 24'!A:K,11,0)</f>
        <v>6.5</v>
      </c>
      <c r="R296" s="119" t="str">
        <f t="shared" si="66"/>
        <v/>
      </c>
      <c r="S296" s="37"/>
      <c r="T296" s="198" t="s">
        <v>90</v>
      </c>
      <c r="U296" s="115"/>
    </row>
    <row r="297" ht="22.5" hidden="1" customHeight="1">
      <c r="A297" s="9">
        <f>VLOOKUP(B297,FVM_astainv!A:B,2,0)</f>
        <v>530</v>
      </c>
      <c r="B297" s="43" t="s">
        <v>281</v>
      </c>
      <c r="C297" s="42" t="s">
        <v>172</v>
      </c>
      <c r="D297" s="12" t="str">
        <f>VLOOKUP(B297,FVM_astainv!A:F,6,0)</f>
        <v>Roma</v>
      </c>
      <c r="E297" s="13" t="str">
        <f>VLOOKUP(B297,FVM_astainv!A:D,4,0)</f>
        <v>C;T</v>
      </c>
      <c r="F297" s="113" t="s">
        <v>55</v>
      </c>
      <c r="G297" s="15">
        <v>45474.0</v>
      </c>
      <c r="H297" s="15">
        <f t="shared" si="58"/>
        <v>46204</v>
      </c>
      <c r="I297" s="44" t="s">
        <v>89</v>
      </c>
      <c r="J297" s="34" t="str">
        <f>VLOOKUP(A297,Asteriscati25!B:N,13,0)</f>
        <v>#N/A</v>
      </c>
      <c r="K297" s="67">
        <v>0.4</v>
      </c>
      <c r="L297" s="47" t="str">
        <f t="shared" si="78"/>
        <v>#REF!</v>
      </c>
      <c r="M297" s="47">
        <f>VLOOKUP(B297,FVM_Asta2425!A:M,13,0)</f>
        <v>73</v>
      </c>
      <c r="N297" s="19" t="str">
        <f t="shared" si="6"/>
        <v>#REF!</v>
      </c>
      <c r="O297" s="20">
        <f>VLOOKUP(B297,'FVM_1luglio-31luglio25'!D:Q,14,0)</f>
        <v>43</v>
      </c>
      <c r="P297" s="36">
        <f t="shared" si="83"/>
        <v>43</v>
      </c>
      <c r="Q297" s="119">
        <f t="shared" ref="Q297:Q301" si="84">IF(F297="Standard",CEILING((M297/10),0.5),
IF(OR(F297="Diritto 1+1",M297="Inverno Diritto 0,5 + 1"),CEILING((M297/10)*1.3,0.5),
CEILING((M297/10)*1.15,0.5)))</f>
        <v>9.5</v>
      </c>
      <c r="R297" s="119">
        <f t="shared" si="66"/>
        <v>4</v>
      </c>
      <c r="S297" s="37"/>
      <c r="T297" s="114" t="s">
        <v>127</v>
      </c>
      <c r="U297" s="115"/>
    </row>
    <row r="298" ht="22.5" hidden="1" customHeight="1">
      <c r="A298" s="9">
        <f>VLOOKUP(B298,FVM_astainv!A:B,2,0)</f>
        <v>6875</v>
      </c>
      <c r="B298" s="25" t="s">
        <v>671</v>
      </c>
      <c r="C298" s="11" t="s">
        <v>172</v>
      </c>
      <c r="D298" s="12" t="str">
        <f>VLOOKUP(B298,FVM_astainv!A:F,6,0)</f>
        <v>Como</v>
      </c>
      <c r="E298" s="13" t="str">
        <f>VLOOKUP(B298,FVM_astainv!A:D,4,0)</f>
        <v>T;A</v>
      </c>
      <c r="F298" s="11" t="s">
        <v>45</v>
      </c>
      <c r="G298" s="14">
        <v>45474.0</v>
      </c>
      <c r="H298" s="144">
        <f t="shared" si="58"/>
        <v>45839</v>
      </c>
      <c r="I298" s="11" t="s">
        <v>122</v>
      </c>
      <c r="J298" s="16" t="str">
        <f>VLOOKUP(A298,Asteriscati25!B:N,13,0)</f>
        <v>#N/A</v>
      </c>
      <c r="K298" s="26">
        <v>0.2</v>
      </c>
      <c r="L298" s="19" t="str">
        <f t="shared" si="78"/>
        <v>#REF!</v>
      </c>
      <c r="M298" s="19">
        <f>VLOOKUP(B298,FVM_Asta2425!A:M,13,0)</f>
        <v>17</v>
      </c>
      <c r="N298" s="19" t="str">
        <f t="shared" si="6"/>
        <v>#REF!</v>
      </c>
      <c r="O298" s="20">
        <f>VLOOKUP(B298,'FVM_1luglio-31luglio25'!D:Q,14,0)</f>
        <v>53</v>
      </c>
      <c r="P298" s="20">
        <f t="shared" si="83"/>
        <v>53</v>
      </c>
      <c r="Q298" s="21">
        <f t="shared" si="84"/>
        <v>2</v>
      </c>
      <c r="R298" s="21">
        <f t="shared" si="66"/>
        <v>0.5</v>
      </c>
      <c r="S298" s="20"/>
      <c r="T298" s="11" t="s">
        <v>172</v>
      </c>
      <c r="U298" s="23"/>
    </row>
    <row r="299" ht="22.5" hidden="1" customHeight="1">
      <c r="A299" s="9">
        <f>VLOOKUP(B299,FVM_astainv!A:B,2,0)</f>
        <v>6190</v>
      </c>
      <c r="B299" s="25" t="s">
        <v>189</v>
      </c>
      <c r="C299" s="11" t="s">
        <v>172</v>
      </c>
      <c r="D299" s="12" t="str">
        <f>VLOOKUP(B299,FVM_astainv!A:F,6,0)</f>
        <v>Roma</v>
      </c>
      <c r="E299" s="13" t="str">
        <f>VLOOKUP(B299,FVM_astainv!A:D,4,0)</f>
        <v>C</v>
      </c>
      <c r="F299" s="11" t="s">
        <v>43</v>
      </c>
      <c r="G299" s="14">
        <v>45474.0</v>
      </c>
      <c r="H299" s="144">
        <f t="shared" si="58"/>
        <v>401768</v>
      </c>
      <c r="I299" s="11" t="s">
        <v>51</v>
      </c>
      <c r="J299" s="16" t="str">
        <f>VLOOKUP(A299,Asteriscati25!B:N,13,0)</f>
        <v>#N/A</v>
      </c>
      <c r="K299" s="26">
        <v>0.0</v>
      </c>
      <c r="L299" s="27">
        <v>1.0</v>
      </c>
      <c r="M299" s="19">
        <f>VLOOKUP(B299,FVM_Asta2425!A:M,13,0)</f>
        <v>1</v>
      </c>
      <c r="N299" s="19" t="str">
        <f t="shared" si="6"/>
        <v>#REF!</v>
      </c>
      <c r="O299" s="20">
        <f>VLOOKUP(B299,'FVM_1luglio-31luglio25'!D:Q,14,0)</f>
        <v>6</v>
      </c>
      <c r="P299" s="20">
        <f t="shared" si="83"/>
        <v>6</v>
      </c>
      <c r="Q299" s="21">
        <f t="shared" si="84"/>
        <v>0.5</v>
      </c>
      <c r="R299" s="21">
        <v>0.5</v>
      </c>
      <c r="S299" s="20"/>
      <c r="T299" s="22"/>
      <c r="U299" s="23"/>
    </row>
    <row r="300" ht="22.5" hidden="1" customHeight="1">
      <c r="A300" s="9" t="str">
        <f>VLOOKUP(B300,FVM_astainv!A:B,2,0)</f>
        <v>#N/A</v>
      </c>
      <c r="B300" s="138" t="s">
        <v>822</v>
      </c>
      <c r="C300" s="88" t="s">
        <v>172</v>
      </c>
      <c r="D300" s="12" t="str">
        <f>VLOOKUP(B300,FVM_astainv!A:F,6,0)</f>
        <v>#N/A</v>
      </c>
      <c r="E300" s="13" t="str">
        <f>VLOOKUP(B300,FVM_astainv!A:D,4,0)</f>
        <v>#N/A</v>
      </c>
      <c r="F300" s="88" t="s">
        <v>43</v>
      </c>
      <c r="G300" s="154">
        <v>45474.0</v>
      </c>
      <c r="H300" s="151">
        <f t="shared" si="58"/>
        <v>401768</v>
      </c>
      <c r="I300" s="11" t="s">
        <v>43</v>
      </c>
      <c r="J300" s="92" t="str">
        <f>VLOOKUP(A300,Asteriscati25!B:N,13,0)</f>
        <v>#N/A</v>
      </c>
      <c r="K300" s="152">
        <v>0.0</v>
      </c>
      <c r="L300" s="186">
        <v>1.0</v>
      </c>
      <c r="M300" s="94">
        <f>VLOOKUP(B300,FVM_Asta2425!A:M,13,0)</f>
        <v>1</v>
      </c>
      <c r="N300" s="19" t="str">
        <f t="shared" si="6"/>
        <v>#REF!</v>
      </c>
      <c r="O300" s="20" t="str">
        <f>VLOOKUP(B300,'FVM_1luglio-31luglio25'!D:Q,14,0)</f>
        <v>#N/A</v>
      </c>
      <c r="P300" s="9">
        <v>0.0</v>
      </c>
      <c r="Q300" s="95">
        <f t="shared" si="84"/>
        <v>0.5</v>
      </c>
      <c r="R300" s="95">
        <f t="shared" ref="R300:R333" si="85">IF(OR(I300="asta", I300="Svincolato riconferma anno corrente", I300="vivaio"), Q300,
IF(OR(I300="asta riparazione", I300="Svincolato obbligo anno precedente", I300="Svincolo pausa invernale"), MAX(0.5, CEILING(Q300 / 2, 0.5)),
IF(OR(I300="ceduto in prestito", I300="acquisito in prestito", I300="acquistato tit definitivo", I300="Ceduto tit definitivo"),CEILING(Q300 * K300, 0.5),
IF(I300="asteriscato", "inserire a mano", ""))))
</f>
        <v>0.5</v>
      </c>
      <c r="S300" s="59"/>
      <c r="T300" s="96"/>
      <c r="U300" s="97"/>
    </row>
    <row r="301" ht="22.5" hidden="1" customHeight="1">
      <c r="A301" s="9" t="str">
        <f>VLOOKUP(B301,FVM_astainv!A:B,2,0)</f>
        <v>#N/A</v>
      </c>
      <c r="B301" s="138" t="s">
        <v>823</v>
      </c>
      <c r="C301" s="88" t="s">
        <v>172</v>
      </c>
      <c r="D301" s="12" t="str">
        <f>VLOOKUP(B301,FVM_astainv!A:F,6,0)</f>
        <v>#N/A</v>
      </c>
      <c r="E301" s="13" t="str">
        <f>VLOOKUP(B301,FVM_astainv!A:D,4,0)</f>
        <v>#N/A</v>
      </c>
      <c r="F301" s="88" t="s">
        <v>43</v>
      </c>
      <c r="G301" s="150">
        <v>45474.0</v>
      </c>
      <c r="H301" s="155">
        <f t="shared" si="58"/>
        <v>401768</v>
      </c>
      <c r="I301" s="88" t="s">
        <v>43</v>
      </c>
      <c r="J301" s="92" t="str">
        <f>VLOOKUP(A301,Asteriscati25!B:N,13,0)</f>
        <v>#N/A</v>
      </c>
      <c r="K301" s="152">
        <v>0.0</v>
      </c>
      <c r="L301" s="186">
        <v>1.0</v>
      </c>
      <c r="M301" s="186">
        <v>1.0</v>
      </c>
      <c r="N301" s="19" t="str">
        <f t="shared" si="6"/>
        <v>#REF!</v>
      </c>
      <c r="O301" s="20" t="str">
        <f>VLOOKUP(B301,'FVM_1luglio-31luglio25'!D:Q,14,0)</f>
        <v>#N/A</v>
      </c>
      <c r="P301" s="9">
        <v>0.0</v>
      </c>
      <c r="Q301" s="95">
        <f t="shared" si="84"/>
        <v>0.5</v>
      </c>
      <c r="R301" s="95">
        <f t="shared" si="85"/>
        <v>0.5</v>
      </c>
      <c r="S301" s="59"/>
      <c r="T301" s="96"/>
      <c r="U301" s="97"/>
    </row>
    <row r="302" ht="22.5" hidden="1" customHeight="1">
      <c r="A302" s="9">
        <f>VLOOKUP(B302,FVM_astainv!A:B,2,0)</f>
        <v>256</v>
      </c>
      <c r="B302" s="25" t="s">
        <v>824</v>
      </c>
      <c r="C302" s="11" t="s">
        <v>172</v>
      </c>
      <c r="D302" s="12" t="str">
        <f>VLOOKUP(B302,FVM_astainv!A:F,6,0)</f>
        <v>Napoli</v>
      </c>
      <c r="E302" s="13" t="str">
        <f>VLOOKUP(B302,FVM_astainv!A:D,4,0)</f>
        <v>Ds;Dc</v>
      </c>
      <c r="F302" s="11" t="s">
        <v>92</v>
      </c>
      <c r="G302" s="14">
        <v>45689.0</v>
      </c>
      <c r="H302" s="144">
        <f t="shared" si="58"/>
        <v>45839</v>
      </c>
      <c r="I302" s="11" t="s">
        <v>93</v>
      </c>
      <c r="J302" s="16" t="str">
        <f>VLOOKUP(A302,Asteriscati25!B:N,13,0)</f>
        <v>#N/A</v>
      </c>
      <c r="K302" s="26">
        <v>0.0</v>
      </c>
      <c r="L302" s="27">
        <v>14.0</v>
      </c>
      <c r="M302" s="19">
        <f>VLOOKUP(B302,FVM_astainv!A:M,13,0)</f>
        <v>12</v>
      </c>
      <c r="N302" s="19" t="str">
        <f t="shared" si="6"/>
        <v>#REF!</v>
      </c>
      <c r="O302" s="20">
        <f>VLOOKUP(B302,'FVM_1luglio-31luglio25'!D:Q,14,0)</f>
        <v>8</v>
      </c>
      <c r="P302" s="20">
        <f t="shared" ref="P302:P311" si="86">IFERROR(N302,O302)</f>
        <v>8</v>
      </c>
      <c r="Q302" s="21">
        <f t="shared" ref="Q302:Q305" si="87">IF(OR(F302="Standard",F302="Standard Inverno"),CEILING((M302/10),0.5),
IF(OR(F302="Diritto 1+1",F302="Inverno Diritto 0,5 + 1"),CEILING((M302/10)*1.3,0.5),
CEILING((M302/10)*1.15,0.5)))</f>
        <v>1.5</v>
      </c>
      <c r="R302" s="21">
        <f t="shared" si="85"/>
        <v>1</v>
      </c>
      <c r="S302" s="20"/>
      <c r="T302" s="22"/>
      <c r="U302" s="23"/>
    </row>
    <row r="303" ht="22.5" hidden="1" customHeight="1">
      <c r="A303" s="9">
        <f>VLOOKUP(B303,FVM_astainv!A:B,2,0)</f>
        <v>697</v>
      </c>
      <c r="B303" s="25" t="s">
        <v>825</v>
      </c>
      <c r="C303" s="11" t="s">
        <v>172</v>
      </c>
      <c r="D303" s="12" t="str">
        <f>VLOOKUP(B303,FVM_astainv!A:F,6,0)</f>
        <v>Atalanta</v>
      </c>
      <c r="E303" s="13" t="str">
        <f>VLOOKUP(B303,FVM_astainv!A:D,4,0)</f>
        <v>E</v>
      </c>
      <c r="F303" s="11" t="s">
        <v>92</v>
      </c>
      <c r="G303" s="14">
        <v>45689.0</v>
      </c>
      <c r="H303" s="144">
        <f t="shared" si="58"/>
        <v>45839</v>
      </c>
      <c r="I303" s="11" t="s">
        <v>93</v>
      </c>
      <c r="J303" s="16" t="str">
        <f>VLOOKUP(A303,Asteriscati25!B:N,13,0)</f>
        <v>#N/A</v>
      </c>
      <c r="K303" s="26">
        <v>0.0</v>
      </c>
      <c r="L303" s="27">
        <v>9.0</v>
      </c>
      <c r="M303" s="19">
        <f>VLOOKUP(B303,FVM_astainv!A:M,13,0)</f>
        <v>9</v>
      </c>
      <c r="N303" s="19" t="str">
        <f t="shared" si="6"/>
        <v>#REF!</v>
      </c>
      <c r="O303" s="20">
        <f>VLOOKUP(B303,'FVM_1luglio-31luglio25'!D:Q,14,0)</f>
        <v>11</v>
      </c>
      <c r="P303" s="20">
        <f t="shared" si="86"/>
        <v>11</v>
      </c>
      <c r="Q303" s="21">
        <f t="shared" si="87"/>
        <v>1</v>
      </c>
      <c r="R303" s="21">
        <f t="shared" si="85"/>
        <v>0.5</v>
      </c>
      <c r="S303" s="20"/>
      <c r="T303" s="22"/>
      <c r="U303" s="23"/>
    </row>
    <row r="304" ht="22.5" hidden="1" customHeight="1">
      <c r="A304" s="9">
        <f>VLOOKUP(B304,FVM_astainv!A:B,2,0)</f>
        <v>6054</v>
      </c>
      <c r="B304" s="25" t="s">
        <v>826</v>
      </c>
      <c r="C304" s="11" t="s">
        <v>172</v>
      </c>
      <c r="D304" s="12" t="str">
        <f>VLOOKUP(B304,FVM_astainv!A:F,6,0)</f>
        <v>Bologna</v>
      </c>
      <c r="E304" s="13" t="str">
        <f>VLOOKUP(B304,FVM_astainv!A:D,4,0)</f>
        <v>M;C</v>
      </c>
      <c r="F304" s="11" t="s">
        <v>92</v>
      </c>
      <c r="G304" s="14">
        <v>45689.0</v>
      </c>
      <c r="H304" s="144">
        <f t="shared" si="58"/>
        <v>45839</v>
      </c>
      <c r="I304" s="11" t="s">
        <v>93</v>
      </c>
      <c r="J304" s="16" t="str">
        <f>VLOOKUP(A304,Asteriscati25!B:N,13,0)</f>
        <v>#N/A</v>
      </c>
      <c r="K304" s="26">
        <v>0.0</v>
      </c>
      <c r="L304" s="27">
        <v>15.0</v>
      </c>
      <c r="M304" s="19">
        <f>VLOOKUP(B304,FVM_astainv!A:M,13,0)</f>
        <v>12</v>
      </c>
      <c r="N304" s="19" t="str">
        <f t="shared" si="6"/>
        <v>#REF!</v>
      </c>
      <c r="O304" s="20">
        <f>VLOOKUP(B304,'FVM_1luglio-31luglio25'!D:Q,14,0)</f>
        <v>11</v>
      </c>
      <c r="P304" s="20">
        <f t="shared" si="86"/>
        <v>11</v>
      </c>
      <c r="Q304" s="21">
        <f t="shared" si="87"/>
        <v>1.5</v>
      </c>
      <c r="R304" s="21">
        <f t="shared" si="85"/>
        <v>1</v>
      </c>
      <c r="S304" s="20"/>
      <c r="T304" s="22"/>
      <c r="U304" s="23"/>
    </row>
    <row r="305" ht="22.5" hidden="1" customHeight="1">
      <c r="A305" s="9">
        <f>VLOOKUP(B305,FVM_astainv!A:B,2,0)</f>
        <v>5425</v>
      </c>
      <c r="B305" s="138" t="s">
        <v>827</v>
      </c>
      <c r="C305" s="88" t="s">
        <v>172</v>
      </c>
      <c r="D305" s="12" t="str">
        <f>VLOOKUP(B305,FVM_astainv!A:F,6,0)</f>
        <v>Monza</v>
      </c>
      <c r="E305" s="13" t="str">
        <f>VLOOKUP(B305,FVM_astainv!A:D,4,0)</f>
        <v>C;W;T</v>
      </c>
      <c r="F305" s="88" t="s">
        <v>92</v>
      </c>
      <c r="G305" s="150">
        <v>45689.0</v>
      </c>
      <c r="H305" s="151">
        <f t="shared" si="58"/>
        <v>45839</v>
      </c>
      <c r="I305" s="88" t="s">
        <v>93</v>
      </c>
      <c r="J305" s="92" t="str">
        <f>VLOOKUP(A305,Asteriscati25!B:N,13,0)</f>
        <v>#N/A</v>
      </c>
      <c r="K305" s="152">
        <v>0.0</v>
      </c>
      <c r="L305" s="186">
        <v>17.0</v>
      </c>
      <c r="M305" s="94">
        <f>VLOOKUP(B305,FVM_astainv!A:M,13,0)</f>
        <v>15</v>
      </c>
      <c r="N305" s="19" t="str">
        <f t="shared" si="6"/>
        <v>#REF!</v>
      </c>
      <c r="O305" s="20">
        <f>VLOOKUP(B305,'FVM_1luglio-31luglio25'!D:Q,14,0)</f>
        <v>13</v>
      </c>
      <c r="P305" s="20">
        <f t="shared" si="86"/>
        <v>13</v>
      </c>
      <c r="Q305" s="95">
        <f t="shared" si="87"/>
        <v>1.5</v>
      </c>
      <c r="R305" s="95">
        <f t="shared" si="85"/>
        <v>1</v>
      </c>
      <c r="S305" s="59"/>
      <c r="T305" s="96"/>
      <c r="U305" s="97"/>
    </row>
    <row r="306" ht="22.5" hidden="1" customHeight="1">
      <c r="A306" s="9">
        <f>VLOOKUP(B306,FVM_astainv!A:B,2,0)</f>
        <v>6682</v>
      </c>
      <c r="B306" s="25" t="s">
        <v>828</v>
      </c>
      <c r="C306" s="11" t="s">
        <v>172</v>
      </c>
      <c r="D306" s="12" t="str">
        <f>VLOOKUP(B306,FVM_astainv!A:F,6,0)</f>
        <v>Monza</v>
      </c>
      <c r="E306" s="13" t="str">
        <f>VLOOKUP(B306,FVM_astainv!A:D,4,0)</f>
        <v>Por</v>
      </c>
      <c r="F306" s="11" t="s">
        <v>45</v>
      </c>
      <c r="G306" s="14">
        <v>45474.0</v>
      </c>
      <c r="H306" s="144">
        <f t="shared" si="58"/>
        <v>45839</v>
      </c>
      <c r="I306" s="11" t="s">
        <v>48</v>
      </c>
      <c r="J306" s="16" t="str">
        <f>VLOOKUP(A306,Asteriscati25!B:N,13,0)</f>
        <v>#N/A</v>
      </c>
      <c r="K306" s="26">
        <v>0.0</v>
      </c>
      <c r="L306" s="19" t="str">
        <f t="shared" ref="L306:L321" si="88">VLOOKUP(B306,Rose!B:D,3,0)</f>
        <v>#REF!</v>
      </c>
      <c r="M306" s="19">
        <f>VLOOKUP(B306,FVM_Asta2425!A:M,13,0)</f>
        <v>15</v>
      </c>
      <c r="N306" s="19" t="str">
        <f t="shared" si="6"/>
        <v>#REF!</v>
      </c>
      <c r="O306" s="20">
        <f>VLOOKUP(B306,'FVM_1luglio-31luglio25'!D:Q,14,0)</f>
        <v>8</v>
      </c>
      <c r="P306" s="20">
        <f t="shared" si="86"/>
        <v>8</v>
      </c>
      <c r="Q306" s="21">
        <f t="shared" ref="Q306:Q307" si="89">IF(F306="Standard",CEILING((M306/10),0.5),
IF(OR(F306="Diritto 1+1",M306="Inverno Diritto 0,5 + 1"),CEILING((M306/10)*1.3,0.5),
CEILING((M306/10)*1.15,0.5)))</f>
        <v>1.5</v>
      </c>
      <c r="R306" s="21">
        <f t="shared" si="85"/>
        <v>1.5</v>
      </c>
      <c r="S306" s="20"/>
      <c r="T306" s="22"/>
      <c r="U306" s="23"/>
    </row>
    <row r="307" ht="22.5" hidden="1" customHeight="1">
      <c r="A307" s="9">
        <f>VLOOKUP(B307,FVM_astainv!A:B,2,0)</f>
        <v>5298</v>
      </c>
      <c r="B307" s="25" t="s">
        <v>829</v>
      </c>
      <c r="C307" s="11" t="s">
        <v>172</v>
      </c>
      <c r="D307" s="12" t="str">
        <f>VLOOKUP(B307,FVM_astainv!A:F,6,0)</f>
        <v>Bologna</v>
      </c>
      <c r="E307" s="13" t="str">
        <f>VLOOKUP(B307,FVM_astainv!A:D,4,0)</f>
        <v>M;C</v>
      </c>
      <c r="F307" s="11" t="s">
        <v>45</v>
      </c>
      <c r="G307" s="14">
        <v>45474.0</v>
      </c>
      <c r="H307" s="144">
        <f t="shared" si="58"/>
        <v>45839</v>
      </c>
      <c r="I307" s="11" t="s">
        <v>48</v>
      </c>
      <c r="J307" s="16" t="str">
        <f>VLOOKUP(A307,Asteriscati25!B:N,13,0)</f>
        <v>#N/A</v>
      </c>
      <c r="K307" s="26">
        <v>0.0</v>
      </c>
      <c r="L307" s="19" t="str">
        <f t="shared" si="88"/>
        <v>#REF!</v>
      </c>
      <c r="M307" s="19">
        <f>VLOOKUP(B307,FVM_Asta2425!A:M,13,0)</f>
        <v>12</v>
      </c>
      <c r="N307" s="19" t="str">
        <f t="shared" si="6"/>
        <v>#REF!</v>
      </c>
      <c r="O307" s="20">
        <f>VLOOKUP(B307,'FVM_1luglio-31luglio25'!D:Q,14,0)</f>
        <v>17</v>
      </c>
      <c r="P307" s="20">
        <f t="shared" si="86"/>
        <v>17</v>
      </c>
      <c r="Q307" s="21">
        <f t="shared" si="89"/>
        <v>1.5</v>
      </c>
      <c r="R307" s="21">
        <f t="shared" si="85"/>
        <v>1.5</v>
      </c>
      <c r="S307" s="20"/>
      <c r="T307" s="22"/>
      <c r="U307" s="23"/>
    </row>
    <row r="308" ht="22.5" hidden="1" customHeight="1">
      <c r="A308" s="9">
        <f>VLOOKUP(B308,FVM_astainv!A:B,2,0)</f>
        <v>6066</v>
      </c>
      <c r="B308" s="25" t="s">
        <v>346</v>
      </c>
      <c r="C308" s="11" t="s">
        <v>172</v>
      </c>
      <c r="D308" s="12" t="str">
        <f>VLOOKUP(B308,FVM_astainv!A:F,6,0)</f>
        <v>Bologna</v>
      </c>
      <c r="E308" s="13" t="str">
        <f>VLOOKUP(B308,FVM_astainv!A:D,4,0)</f>
        <v>Dd;Dc</v>
      </c>
      <c r="F308" s="17" t="str">
        <f>VLOOKUP(B308,'situazione contratti estate 24'!A:I,9,0)</f>
        <v>Obbligo 1+2</v>
      </c>
      <c r="G308" s="14">
        <v>45108.0</v>
      </c>
      <c r="H308" s="144">
        <f t="shared" si="58"/>
        <v>46204</v>
      </c>
      <c r="I308" s="11" t="s">
        <v>48</v>
      </c>
      <c r="J308" s="16" t="str">
        <f>VLOOKUP(A308,Asteriscati25!B:N,13,0)</f>
        <v>#N/A</v>
      </c>
      <c r="K308" s="26">
        <v>0.0</v>
      </c>
      <c r="L308" s="19" t="str">
        <f t="shared" si="88"/>
        <v>#REF!</v>
      </c>
      <c r="M308" s="19">
        <f>VLOOKUP(B308,FVM_Asta2324!C:M,11,0)</f>
        <v>50</v>
      </c>
      <c r="N308" s="19" t="str">
        <f t="shared" si="6"/>
        <v>#REF!</v>
      </c>
      <c r="O308" s="20">
        <f>VLOOKUP(B308,'FVM_1luglio-31luglio25'!D:Q,14,0)</f>
        <v>17</v>
      </c>
      <c r="P308" s="20">
        <f t="shared" si="86"/>
        <v>17</v>
      </c>
      <c r="Q308" s="21">
        <f>VLOOKUP(B308,'situazione contratti estate 24'!A:K,11,0)</f>
        <v>6</v>
      </c>
      <c r="R308" s="21">
        <f t="shared" si="85"/>
        <v>6</v>
      </c>
      <c r="S308" s="20"/>
      <c r="T308" s="22"/>
      <c r="U308" s="23"/>
    </row>
    <row r="309" ht="22.5" hidden="1" customHeight="1">
      <c r="A309" s="9">
        <f>VLOOKUP(B309,FVM_astainv!A:B,2,0)</f>
        <v>2814</v>
      </c>
      <c r="B309" s="25" t="s">
        <v>347</v>
      </c>
      <c r="C309" s="11" t="s">
        <v>172</v>
      </c>
      <c r="D309" s="12" t="str">
        <f>VLOOKUP(B309,FVM_astainv!A:F,6,0)</f>
        <v>Lazio</v>
      </c>
      <c r="E309" s="13" t="str">
        <f>VLOOKUP(B309,FVM_astainv!A:D,4,0)</f>
        <v>Por</v>
      </c>
      <c r="F309" s="17" t="str">
        <f>VLOOKUP(B309,'situazione contratti estate 24'!A:I,9,0)</f>
        <v>Obbligo 1+2</v>
      </c>
      <c r="G309" s="14">
        <v>45108.0</v>
      </c>
      <c r="H309" s="144">
        <f t="shared" si="58"/>
        <v>46204</v>
      </c>
      <c r="I309" s="11" t="s">
        <v>48</v>
      </c>
      <c r="J309" s="16" t="str">
        <f>VLOOKUP(A309,Asteriscati25!B:N,13,0)</f>
        <v>#N/A</v>
      </c>
      <c r="K309" s="26">
        <v>0.0</v>
      </c>
      <c r="L309" s="19" t="str">
        <f t="shared" si="88"/>
        <v>#REF!</v>
      </c>
      <c r="M309" s="19">
        <f>VLOOKUP(B309,FVM_Asta2324!C:M,11,0)</f>
        <v>60</v>
      </c>
      <c r="N309" s="19" t="str">
        <f t="shared" si="6"/>
        <v>#REF!</v>
      </c>
      <c r="O309" s="20">
        <f>VLOOKUP(B309,'FVM_1luglio-31luglio25'!D:Q,14,0)</f>
        <v>30</v>
      </c>
      <c r="P309" s="20">
        <f t="shared" si="86"/>
        <v>30</v>
      </c>
      <c r="Q309" s="21">
        <f>VLOOKUP(B309,'situazione contratti estate 24'!A:K,11,0)</f>
        <v>7</v>
      </c>
      <c r="R309" s="21">
        <f t="shared" si="85"/>
        <v>7</v>
      </c>
      <c r="S309" s="20"/>
      <c r="T309" s="22"/>
      <c r="U309" s="23"/>
    </row>
    <row r="310" ht="22.5" hidden="1" customHeight="1">
      <c r="A310" s="9">
        <f>VLOOKUP(B310,FVM_astainv!A:B,2,0)</f>
        <v>186</v>
      </c>
      <c r="B310" s="43" t="s">
        <v>797</v>
      </c>
      <c r="C310" s="116" t="s">
        <v>172</v>
      </c>
      <c r="D310" s="12" t="str">
        <f>VLOOKUP(B310,FVM_astainv!A:F,6,0)</f>
        <v>Lecce</v>
      </c>
      <c r="E310" s="13" t="str">
        <f>VLOOKUP(B310,FVM_astainv!A:D,4,0)</f>
        <v>A</v>
      </c>
      <c r="F310" s="45" t="s">
        <v>45</v>
      </c>
      <c r="G310" s="15">
        <v>45474.0</v>
      </c>
      <c r="H310" s="146">
        <f t="shared" si="58"/>
        <v>45839</v>
      </c>
      <c r="I310" s="33" t="s">
        <v>126</v>
      </c>
      <c r="J310" s="34" t="str">
        <f>VLOOKUP(A310,Asteriscati25!B:N,13,0)</f>
        <v>#N/A</v>
      </c>
      <c r="K310" s="67">
        <v>0.4</v>
      </c>
      <c r="L310" s="47" t="str">
        <f t="shared" si="88"/>
        <v>#REF!</v>
      </c>
      <c r="M310" s="47">
        <f>VLOOKUP(B310,FVM_Asta2425!A:M,13,0)</f>
        <v>7</v>
      </c>
      <c r="N310" s="19" t="str">
        <f t="shared" si="6"/>
        <v>#REF!</v>
      </c>
      <c r="O310" s="20">
        <f>VLOOKUP(B310,'FVM_1luglio-31luglio25'!D:Q,14,0)</f>
        <v>7</v>
      </c>
      <c r="P310" s="36">
        <f t="shared" si="86"/>
        <v>7</v>
      </c>
      <c r="Q310" s="119">
        <f t="shared" ref="Q310:Q317" si="90">IF(F310="Standard",CEILING((M310/10),0.5),
IF(OR(F310="Diritto 1+1",M310="Inverno Diritto 0,5 + 1"),CEILING((M310/10)*1.3,0.5),
CEILING((M310/10)*1.15,0.5)))</f>
        <v>1</v>
      </c>
      <c r="R310" s="119">
        <f t="shared" si="85"/>
        <v>0.5</v>
      </c>
      <c r="S310" s="37"/>
      <c r="T310" s="114" t="s">
        <v>245</v>
      </c>
      <c r="U310" s="115"/>
    </row>
    <row r="311" ht="22.5" hidden="1" customHeight="1">
      <c r="A311" s="9">
        <f>VLOOKUP(B311,FVM_astainv!A:B,2,0)</f>
        <v>4867</v>
      </c>
      <c r="B311" s="25" t="s">
        <v>830</v>
      </c>
      <c r="C311" s="11" t="s">
        <v>172</v>
      </c>
      <c r="D311" s="12" t="str">
        <f>VLOOKUP(B311,FVM_astainv!A:F,6,0)</f>
        <v>Monza</v>
      </c>
      <c r="E311" s="13" t="str">
        <f>VLOOKUP(B311,FVM_astainv!A:D,4,0)</f>
        <v>Por</v>
      </c>
      <c r="F311" s="11" t="s">
        <v>45</v>
      </c>
      <c r="G311" s="14">
        <v>45474.0</v>
      </c>
      <c r="H311" s="144">
        <f t="shared" si="58"/>
        <v>45839</v>
      </c>
      <c r="I311" s="11" t="s">
        <v>48</v>
      </c>
      <c r="J311" s="16" t="str">
        <f>VLOOKUP(A311,Asteriscati25!B:N,13,0)</f>
        <v>#N/A</v>
      </c>
      <c r="K311" s="26">
        <v>0.0</v>
      </c>
      <c r="L311" s="19" t="str">
        <f t="shared" si="88"/>
        <v>#REF!</v>
      </c>
      <c r="M311" s="19">
        <f>VLOOKUP(B311,FVM_Asta2425!A:M,13,0)</f>
        <v>23</v>
      </c>
      <c r="N311" s="19" t="str">
        <f t="shared" si="6"/>
        <v>#REF!</v>
      </c>
      <c r="O311" s="20">
        <f>VLOOKUP(B311,'FVM_1luglio-31luglio25'!D:Q,14,0)</f>
        <v>14</v>
      </c>
      <c r="P311" s="20">
        <f t="shared" si="86"/>
        <v>14</v>
      </c>
      <c r="Q311" s="21">
        <f t="shared" si="90"/>
        <v>2.5</v>
      </c>
      <c r="R311" s="21">
        <f t="shared" si="85"/>
        <v>2.5</v>
      </c>
      <c r="S311" s="20"/>
      <c r="T311" s="22"/>
      <c r="U311" s="23"/>
    </row>
    <row r="312" ht="22.5" hidden="1" customHeight="1">
      <c r="A312" s="9">
        <f>VLOOKUP(B312,FVM_astainv!A:B,2,0)</f>
        <v>376</v>
      </c>
      <c r="B312" s="25" t="s">
        <v>831</v>
      </c>
      <c r="C312" s="11" t="s">
        <v>172</v>
      </c>
      <c r="D312" s="12" t="str">
        <f>VLOOKUP(B312,FVM_astainv!A:F,6,0)</f>
        <v>Como</v>
      </c>
      <c r="E312" s="13" t="str">
        <f>VLOOKUP(B312,FVM_astainv!A:D,4,0)</f>
        <v>W;T</v>
      </c>
      <c r="F312" s="11" t="s">
        <v>45</v>
      </c>
      <c r="G312" s="14">
        <v>45474.0</v>
      </c>
      <c r="H312" s="144">
        <f t="shared" si="58"/>
        <v>45839</v>
      </c>
      <c r="I312" s="11" t="s">
        <v>46</v>
      </c>
      <c r="J312" s="16" t="str">
        <f>VLOOKUP(A312,Asteriscati25!B:N,13,0)</f>
        <v>#N/A</v>
      </c>
      <c r="K312" s="26">
        <v>0.0</v>
      </c>
      <c r="L312" s="19" t="str">
        <f t="shared" si="88"/>
        <v>#REF!</v>
      </c>
      <c r="M312" s="19">
        <f>VLOOKUP(B312,FVM_Asta2425!A:M,13,0)</f>
        <v>20</v>
      </c>
      <c r="N312" s="19" t="str">
        <f t="shared" si="6"/>
        <v>#REF!</v>
      </c>
      <c r="O312" s="20" t="str">
        <f>VLOOKUP(B312,'FVM_1luglio-31luglio25'!D:Q,14,0)</f>
        <v>#N/A</v>
      </c>
      <c r="P312" s="9">
        <v>0.0</v>
      </c>
      <c r="Q312" s="21">
        <f t="shared" si="90"/>
        <v>2</v>
      </c>
      <c r="R312" s="21">
        <f t="shared" si="85"/>
        <v>1</v>
      </c>
      <c r="S312" s="20"/>
      <c r="T312" s="22"/>
      <c r="U312" s="23"/>
    </row>
    <row r="313" ht="22.5" hidden="1" customHeight="1">
      <c r="A313" s="9">
        <f>VLOOKUP(B313,FVM_astainv!A:B,2,0)</f>
        <v>554</v>
      </c>
      <c r="B313" s="25" t="s">
        <v>138</v>
      </c>
      <c r="C313" s="11" t="s">
        <v>172</v>
      </c>
      <c r="D313" s="12" t="str">
        <f>VLOOKUP(B313,FVM_astainv!A:F,6,0)</f>
        <v>Atalanta</v>
      </c>
      <c r="E313" s="13" t="str">
        <f>VLOOKUP(B313,FVM_astainv!A:D,4,0)</f>
        <v>E</v>
      </c>
      <c r="F313" s="11" t="s">
        <v>45</v>
      </c>
      <c r="G313" s="14">
        <v>45474.0</v>
      </c>
      <c r="H313" s="144">
        <f t="shared" si="58"/>
        <v>45839</v>
      </c>
      <c r="I313" s="11" t="s">
        <v>48</v>
      </c>
      <c r="J313" s="16" t="str">
        <f>VLOOKUP(A313,Asteriscati25!B:N,13,0)</f>
        <v>#N/A</v>
      </c>
      <c r="K313" s="26">
        <v>0.0</v>
      </c>
      <c r="L313" s="19" t="str">
        <f t="shared" si="88"/>
        <v>#REF!</v>
      </c>
      <c r="M313" s="19">
        <f>VLOOKUP(B313,FVM_Asta2425!A:M,13,0)</f>
        <v>30</v>
      </c>
      <c r="N313" s="19" t="str">
        <f t="shared" si="6"/>
        <v>#REF!</v>
      </c>
      <c r="O313" s="20">
        <f>VLOOKUP(B313,'FVM_1luglio-31luglio25'!D:Q,14,0)</f>
        <v>29</v>
      </c>
      <c r="P313" s="20">
        <f t="shared" ref="P313:P332" si="91">IFERROR(N313,O313)</f>
        <v>29</v>
      </c>
      <c r="Q313" s="21">
        <f t="shared" si="90"/>
        <v>3</v>
      </c>
      <c r="R313" s="21">
        <f t="shared" si="85"/>
        <v>3</v>
      </c>
      <c r="S313" s="20"/>
      <c r="T313" s="22"/>
      <c r="U313" s="23"/>
    </row>
    <row r="314" ht="22.5" hidden="1" customHeight="1">
      <c r="A314" s="9">
        <f>VLOOKUP(B314,FVM_astainv!A:B,2,0)</f>
        <v>170</v>
      </c>
      <c r="B314" s="25" t="s">
        <v>832</v>
      </c>
      <c r="C314" s="11" t="s">
        <v>357</v>
      </c>
      <c r="D314" s="12" t="str">
        <f>VLOOKUP(B314,FVM_astainv!A:F,6,0)</f>
        <v>Genoa</v>
      </c>
      <c r="E314" s="13" t="str">
        <f>VLOOKUP(B314,FVM_astainv!A:D,4,0)</f>
        <v>M;C</v>
      </c>
      <c r="F314" s="11" t="s">
        <v>45</v>
      </c>
      <c r="G314" s="14">
        <v>45474.0</v>
      </c>
      <c r="H314" s="144">
        <f t="shared" si="58"/>
        <v>45839</v>
      </c>
      <c r="I314" s="11" t="s">
        <v>48</v>
      </c>
      <c r="J314" s="16" t="str">
        <f>VLOOKUP(A314,Asteriscati25!B:N,13,0)</f>
        <v>#N/A</v>
      </c>
      <c r="K314" s="26">
        <v>0.0</v>
      </c>
      <c r="L314" s="19" t="str">
        <f t="shared" si="88"/>
        <v>#REF!</v>
      </c>
      <c r="M314" s="19">
        <f>VLOOKUP(B314,FVM_Asta2425!A:M,13,0)</f>
        <v>10</v>
      </c>
      <c r="N314" s="19" t="str">
        <f t="shared" si="6"/>
        <v>#REF!</v>
      </c>
      <c r="O314" s="20">
        <f>VLOOKUP(B314,'FVM_1luglio-31luglio25'!D:Q,14,0)</f>
        <v>13</v>
      </c>
      <c r="P314" s="20">
        <f t="shared" si="91"/>
        <v>13</v>
      </c>
      <c r="Q314" s="21">
        <f t="shared" si="90"/>
        <v>1</v>
      </c>
      <c r="R314" s="21">
        <f t="shared" si="85"/>
        <v>1</v>
      </c>
      <c r="S314" s="20"/>
      <c r="T314" s="22"/>
      <c r="U314" s="23"/>
    </row>
    <row r="315" ht="22.5" hidden="1" customHeight="1">
      <c r="A315" s="9">
        <f>VLOOKUP(B315,FVM_astainv!A:B,2,0)</f>
        <v>5847</v>
      </c>
      <c r="B315" s="25" t="s">
        <v>833</v>
      </c>
      <c r="C315" s="11" t="s">
        <v>357</v>
      </c>
      <c r="D315" s="12" t="str">
        <f>VLOOKUP(B315,FVM_astainv!A:F,6,0)</f>
        <v>Udinese</v>
      </c>
      <c r="E315" s="13" t="str">
        <f>VLOOKUP(B315,FVM_astainv!A:D,4,0)</f>
        <v>Dc</v>
      </c>
      <c r="F315" s="11" t="s">
        <v>45</v>
      </c>
      <c r="G315" s="14">
        <v>45474.0</v>
      </c>
      <c r="H315" s="144">
        <f t="shared" si="58"/>
        <v>45839</v>
      </c>
      <c r="I315" s="11" t="s">
        <v>48</v>
      </c>
      <c r="J315" s="16" t="str">
        <f>VLOOKUP(A315,Asteriscati25!B:N,13,0)</f>
        <v>#N/A</v>
      </c>
      <c r="K315" s="26">
        <v>0.0</v>
      </c>
      <c r="L315" s="19" t="str">
        <f t="shared" si="88"/>
        <v>#REF!</v>
      </c>
      <c r="M315" s="19">
        <f>VLOOKUP(B315,FVM_Asta2425!A:M,13,0)</f>
        <v>20</v>
      </c>
      <c r="N315" s="19" t="str">
        <f t="shared" si="6"/>
        <v>#REF!</v>
      </c>
      <c r="O315" s="20">
        <f>VLOOKUP(B315,'FVM_1luglio-31luglio25'!D:Q,14,0)</f>
        <v>20</v>
      </c>
      <c r="P315" s="20">
        <f t="shared" si="91"/>
        <v>20</v>
      </c>
      <c r="Q315" s="21">
        <f t="shared" si="90"/>
        <v>2</v>
      </c>
      <c r="R315" s="21">
        <f t="shared" si="85"/>
        <v>2</v>
      </c>
      <c r="S315" s="20"/>
      <c r="T315" s="22"/>
      <c r="U315" s="23"/>
    </row>
    <row r="316" ht="22.5" hidden="1" customHeight="1">
      <c r="A316" s="9">
        <f>VLOOKUP(B316,FVM_astainv!A:B,2,0)</f>
        <v>6226</v>
      </c>
      <c r="B316" s="25" t="s">
        <v>361</v>
      </c>
      <c r="C316" s="11" t="s">
        <v>357</v>
      </c>
      <c r="D316" s="12" t="str">
        <f>VLOOKUP(B316,FVM_astainv!A:F,6,0)</f>
        <v>Lazio</v>
      </c>
      <c r="E316" s="13" t="str">
        <f>VLOOKUP(B316,FVM_astainv!A:D,4,0)</f>
        <v>Pc</v>
      </c>
      <c r="F316" s="11" t="s">
        <v>55</v>
      </c>
      <c r="G316" s="14">
        <v>45474.0</v>
      </c>
      <c r="H316" s="144">
        <f t="shared" si="58"/>
        <v>46204</v>
      </c>
      <c r="I316" s="11" t="s">
        <v>48</v>
      </c>
      <c r="J316" s="16" t="str">
        <f>VLOOKUP(A316,Asteriscati25!B:N,13,0)</f>
        <v>#N/A</v>
      </c>
      <c r="K316" s="26">
        <v>0.0</v>
      </c>
      <c r="L316" s="19" t="str">
        <f t="shared" si="88"/>
        <v>#REF!</v>
      </c>
      <c r="M316" s="19">
        <f>VLOOKUP(B316,FVM_Asta2425!A:M,13,0)</f>
        <v>110</v>
      </c>
      <c r="N316" s="19" t="str">
        <f t="shared" si="6"/>
        <v>#REF!</v>
      </c>
      <c r="O316" s="20">
        <f>VLOOKUP(B316,'FVM_1luglio-31luglio25'!D:Q,14,0)</f>
        <v>139</v>
      </c>
      <c r="P316" s="20">
        <f t="shared" si="91"/>
        <v>139</v>
      </c>
      <c r="Q316" s="21">
        <f t="shared" si="90"/>
        <v>14.5</v>
      </c>
      <c r="R316" s="21">
        <f t="shared" si="85"/>
        <v>14.5</v>
      </c>
      <c r="S316" s="20"/>
      <c r="T316" s="22"/>
      <c r="U316" s="23"/>
    </row>
    <row r="317" ht="22.5" hidden="1" customHeight="1">
      <c r="A317" s="9">
        <f>VLOOKUP(B317,FVM_astainv!A:B,2,0)</f>
        <v>1926</v>
      </c>
      <c r="B317" s="138" t="s">
        <v>834</v>
      </c>
      <c r="C317" s="88" t="s">
        <v>357</v>
      </c>
      <c r="D317" s="12" t="str">
        <f>VLOOKUP(B317,FVM_astainv!A:F,6,0)</f>
        <v>Inter</v>
      </c>
      <c r="E317" s="13" t="str">
        <f>VLOOKUP(B317,FVM_astainv!A:D,4,0)</f>
        <v>Por</v>
      </c>
      <c r="F317" s="88" t="s">
        <v>45</v>
      </c>
      <c r="G317" s="154">
        <v>45474.0</v>
      </c>
      <c r="H317" s="151">
        <f t="shared" si="58"/>
        <v>45839</v>
      </c>
      <c r="I317" s="88" t="s">
        <v>48</v>
      </c>
      <c r="J317" s="16" t="str">
        <f>VLOOKUP(A317,Asteriscati25!B:N,13,0)</f>
        <v>#N/A</v>
      </c>
      <c r="K317" s="152">
        <v>0.0</v>
      </c>
      <c r="L317" s="94" t="str">
        <f t="shared" si="88"/>
        <v>#REF!</v>
      </c>
      <c r="M317" s="94">
        <f>VLOOKUP(B317,FVM_Asta2425!A:M,13,0)</f>
        <v>1</v>
      </c>
      <c r="N317" s="19" t="str">
        <f t="shared" si="6"/>
        <v>#REF!</v>
      </c>
      <c r="O317" s="20">
        <f>VLOOKUP(B317,'FVM_1luglio-31luglio25'!D:Q,14,0)</f>
        <v>1</v>
      </c>
      <c r="P317" s="20">
        <f t="shared" si="91"/>
        <v>1</v>
      </c>
      <c r="Q317" s="95">
        <f t="shared" si="90"/>
        <v>0.5</v>
      </c>
      <c r="R317" s="95">
        <f t="shared" si="85"/>
        <v>0.5</v>
      </c>
      <c r="S317" s="59"/>
      <c r="T317" s="199"/>
      <c r="U317" s="23"/>
    </row>
    <row r="318" ht="22.5" hidden="1" customHeight="1">
      <c r="A318" s="9">
        <f>VLOOKUP(B318,FVM_astainv!A:B,2,0)</f>
        <v>254</v>
      </c>
      <c r="B318" s="25" t="s">
        <v>284</v>
      </c>
      <c r="C318" s="11" t="s">
        <v>357</v>
      </c>
      <c r="D318" s="12" t="str">
        <f>VLOOKUP(B318,FVM_astainv!A:F,6,0)</f>
        <v>Inter</v>
      </c>
      <c r="E318" s="13" t="str">
        <f>VLOOKUP(B318,FVM_astainv!A:D,4,0)</f>
        <v>E</v>
      </c>
      <c r="F318" s="17" t="str">
        <f>VLOOKUP(B318,'situazione contratti estate 24'!A:I,9,0)</f>
        <v>Obbligo 1+2</v>
      </c>
      <c r="G318" s="14">
        <v>45108.0</v>
      </c>
      <c r="H318" s="144">
        <f t="shared" si="58"/>
        <v>46204</v>
      </c>
      <c r="I318" s="11" t="s">
        <v>48</v>
      </c>
      <c r="J318" s="16" t="str">
        <f>VLOOKUP(A318,Asteriscati25!B:N,13,0)</f>
        <v>#N/A</v>
      </c>
      <c r="K318" s="26">
        <v>0.0</v>
      </c>
      <c r="L318" s="19" t="str">
        <f t="shared" si="88"/>
        <v>#REF!</v>
      </c>
      <c r="M318" s="19">
        <f>VLOOKUP(B318,FVM_Asta2324!C:M,11,0)</f>
        <v>72</v>
      </c>
      <c r="N318" s="19" t="str">
        <f t="shared" si="6"/>
        <v>#REF!</v>
      </c>
      <c r="O318" s="20">
        <f>VLOOKUP(B318,'FVM_1luglio-31luglio25'!D:Q,14,0)</f>
        <v>91</v>
      </c>
      <c r="P318" s="20">
        <f t="shared" si="91"/>
        <v>91</v>
      </c>
      <c r="Q318" s="21">
        <f>VLOOKUP(B318,'situazione contratti estate 24'!A:K,11,0)</f>
        <v>8.5</v>
      </c>
      <c r="R318" s="21">
        <f t="shared" si="85"/>
        <v>8.5</v>
      </c>
      <c r="S318" s="20"/>
      <c r="T318" s="22"/>
      <c r="U318" s="23"/>
    </row>
    <row r="319" ht="22.5" hidden="1" customHeight="1">
      <c r="A319" s="9">
        <f>VLOOKUP(B319,FVM_astainv!A:B,2,0)</f>
        <v>4463</v>
      </c>
      <c r="B319" s="25" t="s">
        <v>835</v>
      </c>
      <c r="C319" s="11" t="s">
        <v>357</v>
      </c>
      <c r="D319" s="12" t="str">
        <f>VLOOKUP(B319,FVM_astainv!A:F,6,0)</f>
        <v>Empoli</v>
      </c>
      <c r="E319" s="13" t="str">
        <f>VLOOKUP(B319,FVM_astainv!A:D,4,0)</f>
        <v>A</v>
      </c>
      <c r="F319" s="11" t="s">
        <v>45</v>
      </c>
      <c r="G319" s="14">
        <v>45474.0</v>
      </c>
      <c r="H319" s="144">
        <f t="shared" si="58"/>
        <v>45839</v>
      </c>
      <c r="I319" s="11" t="s">
        <v>48</v>
      </c>
      <c r="J319" s="16" t="str">
        <f>VLOOKUP(A319,Asteriscati25!B:N,13,0)</f>
        <v>#N/A</v>
      </c>
      <c r="K319" s="26">
        <v>0.0</v>
      </c>
      <c r="L319" s="19" t="str">
        <f t="shared" si="88"/>
        <v>#REF!</v>
      </c>
      <c r="M319" s="19">
        <f>VLOOKUP(B319,FVM_Asta2425!A:M,13,0)</f>
        <v>15</v>
      </c>
      <c r="N319" s="19" t="str">
        <f t="shared" si="6"/>
        <v>#REF!</v>
      </c>
      <c r="O319" s="20">
        <f>VLOOKUP(B319,'FVM_1luglio-31luglio25'!D:Q,14,0)</f>
        <v>26</v>
      </c>
      <c r="P319" s="20">
        <f t="shared" si="91"/>
        <v>26</v>
      </c>
      <c r="Q319" s="21">
        <f t="shared" ref="Q319:Q320" si="92">IF(F319="Standard",CEILING((M319/10),0.5),
IF(OR(F319="Diritto 1+1",M319="Inverno Diritto 0,5 + 1"),CEILING((M319/10)*1.3,0.5),
CEILING((M319/10)*1.15,0.5)))</f>
        <v>1.5</v>
      </c>
      <c r="R319" s="21">
        <f t="shared" si="85"/>
        <v>1.5</v>
      </c>
      <c r="S319" s="20"/>
      <c r="T319" s="22"/>
      <c r="U319" s="23"/>
    </row>
    <row r="320" ht="22.5" hidden="1" customHeight="1">
      <c r="A320" s="9">
        <f>VLOOKUP(B320,FVM_astainv!A:B,2,0)</f>
        <v>6010</v>
      </c>
      <c r="B320" s="25" t="s">
        <v>285</v>
      </c>
      <c r="C320" s="11" t="s">
        <v>357</v>
      </c>
      <c r="D320" s="12" t="str">
        <f>VLOOKUP(B320,FVM_astainv!A:F,6,0)</f>
        <v>Empoli</v>
      </c>
      <c r="E320" s="13" t="str">
        <f>VLOOKUP(B320,FVM_astainv!A:D,4,0)</f>
        <v>C;T</v>
      </c>
      <c r="F320" s="11" t="s">
        <v>55</v>
      </c>
      <c r="G320" s="14">
        <v>45474.0</v>
      </c>
      <c r="H320" s="144">
        <f t="shared" si="58"/>
        <v>46204</v>
      </c>
      <c r="I320" s="11" t="s">
        <v>48</v>
      </c>
      <c r="J320" s="16" t="str">
        <f>VLOOKUP(A320,Asteriscati25!B:N,13,0)</f>
        <v>#N/A</v>
      </c>
      <c r="K320" s="26">
        <v>0.0</v>
      </c>
      <c r="L320" s="19" t="str">
        <f t="shared" si="88"/>
        <v>#REF!</v>
      </c>
      <c r="M320" s="19">
        <f>VLOOKUP(B320,FVM_Asta2425!A:M,13,0)</f>
        <v>19</v>
      </c>
      <c r="N320" s="19" t="str">
        <f t="shared" si="6"/>
        <v>#REF!</v>
      </c>
      <c r="O320" s="20">
        <f>VLOOKUP(B320,'FVM_1luglio-31luglio25'!D:Q,14,0)</f>
        <v>36</v>
      </c>
      <c r="P320" s="20">
        <f t="shared" si="91"/>
        <v>36</v>
      </c>
      <c r="Q320" s="21">
        <f t="shared" si="92"/>
        <v>2.5</v>
      </c>
      <c r="R320" s="21">
        <f t="shared" si="85"/>
        <v>2.5</v>
      </c>
      <c r="S320" s="20"/>
      <c r="T320" s="22"/>
      <c r="U320" s="23"/>
    </row>
    <row r="321" ht="22.5" hidden="1" customHeight="1">
      <c r="A321" s="9">
        <f>VLOOKUP(B321,FVM_astainv!A:B,2,0)</f>
        <v>6252</v>
      </c>
      <c r="B321" s="25" t="s">
        <v>366</v>
      </c>
      <c r="C321" s="11" t="s">
        <v>357</v>
      </c>
      <c r="D321" s="12" t="str">
        <f>VLOOKUP(B321,FVM_astainv!A:F,6,0)</f>
        <v>Fiorentina</v>
      </c>
      <c r="E321" s="13" t="str">
        <f>VLOOKUP(B321,FVM_astainv!A:D,4,0)</f>
        <v>C;T</v>
      </c>
      <c r="F321" s="17" t="str">
        <f>VLOOKUP(B321,'situazione contratti estate 24'!A:I,9,0)</f>
        <v>Obbligo 1+2</v>
      </c>
      <c r="G321" s="14">
        <v>45108.0</v>
      </c>
      <c r="H321" s="144">
        <f t="shared" si="58"/>
        <v>46204</v>
      </c>
      <c r="I321" s="11" t="s">
        <v>48</v>
      </c>
      <c r="J321" s="16" t="str">
        <f>VLOOKUP(A321,Asteriscati25!B:N,13,0)</f>
        <v>#N/A</v>
      </c>
      <c r="K321" s="26">
        <v>0.0</v>
      </c>
      <c r="L321" s="19" t="str">
        <f t="shared" si="88"/>
        <v>#REF!</v>
      </c>
      <c r="M321" s="19">
        <f>VLOOKUP(B321,FVM_Asta2324!C:M,11,0)</f>
        <v>12</v>
      </c>
      <c r="N321" s="19" t="str">
        <f t="shared" si="6"/>
        <v>#REF!</v>
      </c>
      <c r="O321" s="20">
        <f>VLOOKUP(B321,'FVM_1luglio-31luglio25'!D:Q,14,0)</f>
        <v>14</v>
      </c>
      <c r="P321" s="20">
        <f t="shared" si="91"/>
        <v>14</v>
      </c>
      <c r="Q321" s="21">
        <f>VLOOKUP(B321,'situazione contratti estate 24'!A:K,11,0)</f>
        <v>1.5</v>
      </c>
      <c r="R321" s="21">
        <f t="shared" si="85"/>
        <v>1.5</v>
      </c>
      <c r="S321" s="20"/>
      <c r="T321" s="22"/>
      <c r="U321" s="23"/>
    </row>
    <row r="322" ht="22.5" hidden="1" customHeight="1">
      <c r="A322" s="9">
        <f>VLOOKUP(B322,FVM_astainv!A:B,2,0)</f>
        <v>7008</v>
      </c>
      <c r="B322" s="25" t="s">
        <v>325</v>
      </c>
      <c r="C322" s="11" t="s">
        <v>357</v>
      </c>
      <c r="D322" s="12" t="str">
        <f>VLOOKUP(B322,FVM_astainv!A:F,6,0)</f>
        <v>Milan</v>
      </c>
      <c r="E322" s="13" t="str">
        <f>VLOOKUP(B322,FVM_astainv!A:D,4,0)</f>
        <v>Pc</v>
      </c>
      <c r="F322" s="11" t="s">
        <v>74</v>
      </c>
      <c r="G322" s="14">
        <v>45689.0</v>
      </c>
      <c r="H322" s="144">
        <f t="shared" si="58"/>
        <v>46600</v>
      </c>
      <c r="I322" s="11" t="s">
        <v>93</v>
      </c>
      <c r="J322" s="16" t="str">
        <f>VLOOKUP(A322,Asteriscati25!B:N,13,0)</f>
        <v>#N/A</v>
      </c>
      <c r="K322" s="26">
        <v>0.0</v>
      </c>
      <c r="L322" s="27">
        <v>431.0</v>
      </c>
      <c r="M322" s="19">
        <v>320.0</v>
      </c>
      <c r="N322" s="19" t="str">
        <f t="shared" si="6"/>
        <v>#REF!</v>
      </c>
      <c r="O322" s="20">
        <f>VLOOKUP(B322,'FVM_1luglio-31luglio25'!D:Q,14,0)</f>
        <v>215</v>
      </c>
      <c r="P322" s="20">
        <f t="shared" si="91"/>
        <v>215</v>
      </c>
      <c r="Q322" s="21">
        <f>IF(OR(F322="Standard",F322="Standard Inverno"),CEILING((M322/10),0.5),
IF(OR(F322="Diritto 1+1",F322="Inverno Diritto 0,5 + 1"),CEILING((M322/10)*1.3,0.5),
CEILING((M322/10)*1.15,0.5)))</f>
        <v>37</v>
      </c>
      <c r="R322" s="21">
        <f t="shared" si="85"/>
        <v>18.5</v>
      </c>
      <c r="S322" s="20"/>
      <c r="T322" s="17"/>
      <c r="U322" s="10"/>
    </row>
    <row r="323" ht="22.5" hidden="1" customHeight="1">
      <c r="A323" s="9">
        <f>VLOOKUP(B323,FVM_astainv!A:B,2,0)</f>
        <v>226</v>
      </c>
      <c r="B323" s="25" t="s">
        <v>836</v>
      </c>
      <c r="C323" s="11" t="s">
        <v>357</v>
      </c>
      <c r="D323" s="12" t="str">
        <f>VLOOKUP(B323,FVM_astainv!A:F,6,0)</f>
        <v>Monza</v>
      </c>
      <c r="E323" s="13" t="str">
        <f>VLOOKUP(B323,FVM_astainv!A:D,4,0)</f>
        <v>Dc</v>
      </c>
      <c r="F323" s="11" t="s">
        <v>45</v>
      </c>
      <c r="G323" s="14">
        <v>45474.0</v>
      </c>
      <c r="H323" s="144">
        <f t="shared" si="58"/>
        <v>45839</v>
      </c>
      <c r="I323" s="11" t="s">
        <v>48</v>
      </c>
      <c r="J323" s="16" t="str">
        <f>VLOOKUP(A323,Asteriscati25!B:N,13,0)</f>
        <v>#N/A</v>
      </c>
      <c r="K323" s="26">
        <v>0.0</v>
      </c>
      <c r="L323" s="19" t="str">
        <f t="shared" ref="L323:L338" si="93">VLOOKUP(B323,Rose!B:D,3,0)</f>
        <v>#REF!</v>
      </c>
      <c r="M323" s="19">
        <f>VLOOKUP(B323,FVM_Asta2425!A:M,13,0)</f>
        <v>11</v>
      </c>
      <c r="N323" s="19" t="str">
        <f t="shared" si="6"/>
        <v>#REF!</v>
      </c>
      <c r="O323" s="20">
        <f>VLOOKUP(B323,'FVM_1luglio-31luglio25'!D:Q,14,0)</f>
        <v>12</v>
      </c>
      <c r="P323" s="20">
        <f t="shared" si="91"/>
        <v>12</v>
      </c>
      <c r="Q323" s="21">
        <f t="shared" ref="Q323:Q331" si="94">IF(F323="Standard",CEILING((M323/10),0.5),
IF(OR(F323="Diritto 1+1",M323="Inverno Diritto 0,5 + 1"),CEILING((M323/10)*1.3,0.5),
CEILING((M323/10)*1.15,0.5)))</f>
        <v>1.5</v>
      </c>
      <c r="R323" s="21">
        <f t="shared" si="85"/>
        <v>1.5</v>
      </c>
      <c r="S323" s="20"/>
      <c r="T323" s="22"/>
      <c r="U323" s="23"/>
    </row>
    <row r="324" ht="22.5" hidden="1" customHeight="1">
      <c r="A324" s="9">
        <f>VLOOKUP(B324,FVM_astainv!A:B,2,0)</f>
        <v>2762</v>
      </c>
      <c r="B324" s="25" t="s">
        <v>837</v>
      </c>
      <c r="C324" s="11" t="s">
        <v>357</v>
      </c>
      <c r="D324" s="12" t="str">
        <f>VLOOKUP(B324,FVM_astainv!A:F,6,0)</f>
        <v>Fiorentina</v>
      </c>
      <c r="E324" s="13" t="str">
        <f>VLOOKUP(B324,FVM_astainv!A:D,4,0)</f>
        <v>A</v>
      </c>
      <c r="F324" s="11" t="s">
        <v>45</v>
      </c>
      <c r="G324" s="14">
        <v>45474.0</v>
      </c>
      <c r="H324" s="144">
        <f t="shared" si="58"/>
        <v>45839</v>
      </c>
      <c r="I324" s="11" t="s">
        <v>46</v>
      </c>
      <c r="J324" s="16" t="str">
        <f>VLOOKUP(A324,Asteriscati25!B:N,13,0)</f>
        <v>#N/A</v>
      </c>
      <c r="K324" s="26">
        <v>0.0</v>
      </c>
      <c r="L324" s="19" t="str">
        <f t="shared" si="93"/>
        <v>#REF!</v>
      </c>
      <c r="M324" s="19">
        <f>VLOOKUP(B324,FVM_Asta2425!A:M,13,0)</f>
        <v>13</v>
      </c>
      <c r="N324" s="19" t="str">
        <f t="shared" si="6"/>
        <v>#REF!</v>
      </c>
      <c r="O324" s="20">
        <f>VLOOKUP(B324,'FVM_1luglio-31luglio25'!D:Q,14,0)</f>
        <v>11</v>
      </c>
      <c r="P324" s="20">
        <f t="shared" si="91"/>
        <v>11</v>
      </c>
      <c r="Q324" s="21">
        <f t="shared" si="94"/>
        <v>1.5</v>
      </c>
      <c r="R324" s="21">
        <f t="shared" si="85"/>
        <v>1</v>
      </c>
      <c r="S324" s="20"/>
      <c r="T324" s="22"/>
      <c r="U324" s="23"/>
    </row>
    <row r="325" ht="22.5" hidden="1" customHeight="1">
      <c r="A325" s="9">
        <f>VLOOKUP(B325,FVM_astainv!A:B,2,0)</f>
        <v>4385</v>
      </c>
      <c r="B325" s="25" t="s">
        <v>838</v>
      </c>
      <c r="C325" s="11" t="s">
        <v>357</v>
      </c>
      <c r="D325" s="12" t="str">
        <f>VLOOKUP(B325,FVM_astainv!A:F,6,0)</f>
        <v>Torino</v>
      </c>
      <c r="E325" s="13" t="str">
        <f>VLOOKUP(B325,FVM_astainv!A:D,4,0)</f>
        <v>E</v>
      </c>
      <c r="F325" s="11" t="s">
        <v>45</v>
      </c>
      <c r="G325" s="14">
        <v>45474.0</v>
      </c>
      <c r="H325" s="144">
        <f t="shared" si="58"/>
        <v>45839</v>
      </c>
      <c r="I325" s="11" t="s">
        <v>48</v>
      </c>
      <c r="J325" s="16" t="str">
        <f>VLOOKUP(A325,Asteriscati25!B:N,13,0)</f>
        <v>#N/A</v>
      </c>
      <c r="K325" s="26">
        <v>0.0</v>
      </c>
      <c r="L325" s="19" t="str">
        <f t="shared" si="93"/>
        <v>#REF!</v>
      </c>
      <c r="M325" s="19">
        <f>VLOOKUP(B325,FVM_Asta2425!A:M,13,0)</f>
        <v>7</v>
      </c>
      <c r="N325" s="19" t="str">
        <f t="shared" si="6"/>
        <v>#REF!</v>
      </c>
      <c r="O325" s="20">
        <f>VLOOKUP(B325,'FVM_1luglio-31luglio25'!D:Q,14,0)</f>
        <v>14</v>
      </c>
      <c r="P325" s="20">
        <f t="shared" si="91"/>
        <v>14</v>
      </c>
      <c r="Q325" s="21">
        <f t="shared" si="94"/>
        <v>1</v>
      </c>
      <c r="R325" s="21">
        <f t="shared" si="85"/>
        <v>1</v>
      </c>
      <c r="S325" s="20"/>
      <c r="T325" s="22"/>
      <c r="U325" s="23"/>
    </row>
    <row r="326" ht="22.5" hidden="1" customHeight="1">
      <c r="A326" s="9">
        <f>VLOOKUP(B326,FVM_astainv!A:B,2,0)</f>
        <v>236</v>
      </c>
      <c r="B326" s="25" t="s">
        <v>839</v>
      </c>
      <c r="C326" s="11" t="s">
        <v>357</v>
      </c>
      <c r="D326" s="12" t="str">
        <f>VLOOKUP(B326,FVM_astainv!A:F,6,0)</f>
        <v>Verona</v>
      </c>
      <c r="E326" s="13" t="str">
        <f>VLOOKUP(B326,FVM_astainv!A:D,4,0)</f>
        <v>W</v>
      </c>
      <c r="F326" s="11" t="s">
        <v>45</v>
      </c>
      <c r="G326" s="14">
        <v>45474.0</v>
      </c>
      <c r="H326" s="144">
        <f t="shared" si="58"/>
        <v>45839</v>
      </c>
      <c r="I326" s="11" t="s">
        <v>48</v>
      </c>
      <c r="J326" s="16" t="str">
        <f>VLOOKUP(A326,Asteriscati25!B:N,13,0)</f>
        <v>#N/A</v>
      </c>
      <c r="K326" s="26">
        <v>0.0</v>
      </c>
      <c r="L326" s="19" t="str">
        <f t="shared" si="93"/>
        <v>#REF!</v>
      </c>
      <c r="M326" s="19">
        <f>VLOOKUP(B326,FVM_Asta2425!A:M,13,0)</f>
        <v>19</v>
      </c>
      <c r="N326" s="19" t="str">
        <f t="shared" si="6"/>
        <v>#REF!</v>
      </c>
      <c r="O326" s="20">
        <f>VLOOKUP(B326,'FVM_1luglio-31luglio25'!D:Q,14,0)</f>
        <v>13</v>
      </c>
      <c r="P326" s="20">
        <f t="shared" si="91"/>
        <v>13</v>
      </c>
      <c r="Q326" s="21">
        <f t="shared" si="94"/>
        <v>2</v>
      </c>
      <c r="R326" s="21">
        <f t="shared" si="85"/>
        <v>2</v>
      </c>
      <c r="S326" s="20"/>
      <c r="T326" s="22"/>
      <c r="U326" s="23"/>
    </row>
    <row r="327" ht="22.5" hidden="1" customHeight="1">
      <c r="A327" s="9">
        <f>VLOOKUP(B327,FVM_astainv!A:B,2,0)</f>
        <v>4199</v>
      </c>
      <c r="B327" s="25" t="s">
        <v>444</v>
      </c>
      <c r="C327" s="11" t="s">
        <v>357</v>
      </c>
      <c r="D327" s="12" t="str">
        <f>VLOOKUP(B327,FVM_astainv!A:F,6,0)</f>
        <v>Milan</v>
      </c>
      <c r="E327" s="13" t="str">
        <f>VLOOKUP(B327,FVM_astainv!A:D,4,0)</f>
        <v>C;T</v>
      </c>
      <c r="F327" s="11" t="s">
        <v>45</v>
      </c>
      <c r="G327" s="14">
        <v>45474.0</v>
      </c>
      <c r="H327" s="144">
        <f t="shared" si="58"/>
        <v>45839</v>
      </c>
      <c r="I327" s="11" t="s">
        <v>46</v>
      </c>
      <c r="J327" s="16" t="str">
        <f>VLOOKUP(A327,Asteriscati25!B:N,13,0)</f>
        <v>#N/A</v>
      </c>
      <c r="K327" s="26">
        <v>0.0</v>
      </c>
      <c r="L327" s="19" t="str">
        <f t="shared" si="93"/>
        <v>#REF!</v>
      </c>
      <c r="M327" s="19">
        <f>VLOOKUP(B327,FVM_Asta2425!A:M,13,0)</f>
        <v>51</v>
      </c>
      <c r="N327" s="19" t="str">
        <f t="shared" si="6"/>
        <v>#REF!</v>
      </c>
      <c r="O327" s="20">
        <f>VLOOKUP(B327,'FVM_1luglio-31luglio25'!D:Q,14,0)</f>
        <v>29</v>
      </c>
      <c r="P327" s="20">
        <f t="shared" si="91"/>
        <v>29</v>
      </c>
      <c r="Q327" s="21">
        <f t="shared" si="94"/>
        <v>5.5</v>
      </c>
      <c r="R327" s="21">
        <f t="shared" si="85"/>
        <v>3</v>
      </c>
      <c r="S327" s="20"/>
      <c r="T327" s="22"/>
      <c r="U327" s="23"/>
    </row>
    <row r="328" ht="22.5" hidden="1" customHeight="1">
      <c r="A328" s="9">
        <f>VLOOKUP(B328,FVM_astainv!A:B,2,0)</f>
        <v>4965</v>
      </c>
      <c r="B328" s="25" t="s">
        <v>840</v>
      </c>
      <c r="C328" s="11" t="s">
        <v>357</v>
      </c>
      <c r="D328" s="12" t="str">
        <f>VLOOKUP(B328,FVM_astainv!A:F,6,0)</f>
        <v>Cagliari</v>
      </c>
      <c r="E328" s="13" t="str">
        <f>VLOOKUP(B328,FVM_astainv!A:D,4,0)</f>
        <v>M;C</v>
      </c>
      <c r="F328" s="11" t="s">
        <v>45</v>
      </c>
      <c r="G328" s="14">
        <v>45474.0</v>
      </c>
      <c r="H328" s="144">
        <f t="shared" si="58"/>
        <v>45839</v>
      </c>
      <c r="I328" s="11" t="s">
        <v>46</v>
      </c>
      <c r="J328" s="16" t="str">
        <f>VLOOKUP(A328,Asteriscati25!B:N,13,0)</f>
        <v>#N/A</v>
      </c>
      <c r="K328" s="26">
        <v>0.0</v>
      </c>
      <c r="L328" s="19" t="str">
        <f t="shared" si="93"/>
        <v>#REF!</v>
      </c>
      <c r="M328" s="19">
        <f>VLOOKUP(B328,FVM_Asta2425!A:M,13,0)</f>
        <v>15</v>
      </c>
      <c r="N328" s="19" t="str">
        <f t="shared" si="6"/>
        <v>#REF!</v>
      </c>
      <c r="O328" s="20">
        <f>VLOOKUP(B328,'FVM_1luglio-31luglio25'!D:Q,14,0)</f>
        <v>14</v>
      </c>
      <c r="P328" s="20">
        <f t="shared" si="91"/>
        <v>14</v>
      </c>
      <c r="Q328" s="21">
        <f t="shared" si="94"/>
        <v>1.5</v>
      </c>
      <c r="R328" s="21">
        <f t="shared" si="85"/>
        <v>1</v>
      </c>
      <c r="S328" s="20"/>
      <c r="T328" s="22"/>
      <c r="U328" s="23"/>
    </row>
    <row r="329" ht="22.5" hidden="1" customHeight="1">
      <c r="A329" s="9">
        <f>VLOOKUP(B329,FVM_astainv!A:B,2,0)</f>
        <v>2593</v>
      </c>
      <c r="B329" s="25" t="s">
        <v>841</v>
      </c>
      <c r="C329" s="11" t="s">
        <v>357</v>
      </c>
      <c r="D329" s="12" t="str">
        <f>VLOOKUP(B329,FVM_astainv!A:F,6,0)</f>
        <v>Genoa</v>
      </c>
      <c r="E329" s="13" t="str">
        <f>VLOOKUP(B329,FVM_astainv!A:D,4,0)</f>
        <v>Ds;E</v>
      </c>
      <c r="F329" s="11" t="s">
        <v>45</v>
      </c>
      <c r="G329" s="14">
        <v>45474.0</v>
      </c>
      <c r="H329" s="144">
        <f t="shared" si="58"/>
        <v>45839</v>
      </c>
      <c r="I329" s="11" t="s">
        <v>48</v>
      </c>
      <c r="J329" s="16" t="str">
        <f>VLOOKUP(A329,Asteriscati25!B:N,13,0)</f>
        <v>#N/A</v>
      </c>
      <c r="K329" s="26">
        <v>0.0</v>
      </c>
      <c r="L329" s="19" t="str">
        <f t="shared" si="93"/>
        <v>#REF!</v>
      </c>
      <c r="M329" s="19">
        <f>VLOOKUP(B329,FVM_Asta2425!A:M,13,0)</f>
        <v>13</v>
      </c>
      <c r="N329" s="19" t="str">
        <f t="shared" si="6"/>
        <v>#REF!</v>
      </c>
      <c r="O329" s="20">
        <f>VLOOKUP(B329,'FVM_1luglio-31luglio25'!D:Q,14,0)</f>
        <v>29</v>
      </c>
      <c r="P329" s="20">
        <f t="shared" si="91"/>
        <v>29</v>
      </c>
      <c r="Q329" s="21">
        <f t="shared" si="94"/>
        <v>1.5</v>
      </c>
      <c r="R329" s="21">
        <f t="shared" si="85"/>
        <v>1.5</v>
      </c>
      <c r="S329" s="20"/>
      <c r="T329" s="22"/>
      <c r="U329" s="23"/>
    </row>
    <row r="330" ht="22.5" hidden="1" customHeight="1">
      <c r="A330" s="9">
        <f>VLOOKUP(B330,FVM_astainv!A:B,2,0)</f>
        <v>5116</v>
      </c>
      <c r="B330" s="25" t="s">
        <v>374</v>
      </c>
      <c r="C330" s="11" t="s">
        <v>357</v>
      </c>
      <c r="D330" s="12" t="str">
        <f>VLOOKUP(B330,FVM_astainv!A:F,6,0)</f>
        <v>Inter</v>
      </c>
      <c r="E330" s="13" t="str">
        <f>VLOOKUP(B330,FVM_astainv!A:D,4,0)</f>
        <v>Por</v>
      </c>
      <c r="F330" s="11" t="s">
        <v>59</v>
      </c>
      <c r="G330" s="14">
        <v>45474.0</v>
      </c>
      <c r="H330" s="144">
        <f t="shared" si="58"/>
        <v>46569</v>
      </c>
      <c r="I330" s="11" t="s">
        <v>48</v>
      </c>
      <c r="J330" s="16" t="str">
        <f>VLOOKUP(A330,Asteriscati25!B:N,13,0)</f>
        <v>#N/A</v>
      </c>
      <c r="K330" s="26">
        <v>0.0</v>
      </c>
      <c r="L330" s="19" t="str">
        <f t="shared" si="93"/>
        <v>#REF!</v>
      </c>
      <c r="M330" s="19">
        <f>VLOOKUP(B330,FVM_Asta2425!A:M,13,0)</f>
        <v>4</v>
      </c>
      <c r="N330" s="19" t="str">
        <f t="shared" si="6"/>
        <v>#REF!</v>
      </c>
      <c r="O330" s="20">
        <f>VLOOKUP(B330,'FVM_1luglio-31luglio25'!D:Q,14,0)</f>
        <v>2</v>
      </c>
      <c r="P330" s="20">
        <f t="shared" si="91"/>
        <v>2</v>
      </c>
      <c r="Q330" s="21">
        <f t="shared" si="94"/>
        <v>0.5</v>
      </c>
      <c r="R330" s="21">
        <f t="shared" si="85"/>
        <v>0.5</v>
      </c>
      <c r="S330" s="20"/>
      <c r="T330" s="22"/>
      <c r="U330" s="23"/>
    </row>
    <row r="331" ht="22.5" hidden="1" customHeight="1">
      <c r="A331" s="9">
        <f>VLOOKUP(B331,FVM_astainv!A:B,2,0)</f>
        <v>4349</v>
      </c>
      <c r="B331" s="25" t="s">
        <v>842</v>
      </c>
      <c r="C331" s="11" t="s">
        <v>357</v>
      </c>
      <c r="D331" s="12" t="str">
        <f>VLOOKUP(B331,FVM_astainv!A:F,6,0)</f>
        <v>Venezia</v>
      </c>
      <c r="E331" s="13" t="str">
        <f>VLOOKUP(B331,FVM_astainv!A:D,4,0)</f>
        <v>M;C</v>
      </c>
      <c r="F331" s="11" t="s">
        <v>45</v>
      </c>
      <c r="G331" s="14">
        <v>45474.0</v>
      </c>
      <c r="H331" s="144">
        <f t="shared" si="58"/>
        <v>45839</v>
      </c>
      <c r="I331" s="11" t="s">
        <v>48</v>
      </c>
      <c r="J331" s="16" t="str">
        <f>VLOOKUP(A331,Asteriscati25!B:N,13,0)</f>
        <v>#N/A</v>
      </c>
      <c r="K331" s="26">
        <v>0.0</v>
      </c>
      <c r="L331" s="19" t="str">
        <f t="shared" si="93"/>
        <v>#REF!</v>
      </c>
      <c r="M331" s="19">
        <f>VLOOKUP(B331,FVM_Asta2425!A:M,13,0)</f>
        <v>5</v>
      </c>
      <c r="N331" s="19" t="str">
        <f t="shared" si="6"/>
        <v>#REF!</v>
      </c>
      <c r="O331" s="20">
        <f>VLOOKUP(B331,'FVM_1luglio-31luglio25'!D:Q,14,0)</f>
        <v>27</v>
      </c>
      <c r="P331" s="20">
        <f t="shared" si="91"/>
        <v>27</v>
      </c>
      <c r="Q331" s="21">
        <f t="shared" si="94"/>
        <v>0.5</v>
      </c>
      <c r="R331" s="21">
        <f t="shared" si="85"/>
        <v>0.5</v>
      </c>
      <c r="S331" s="20"/>
      <c r="T331" s="22"/>
      <c r="U331" s="23"/>
    </row>
    <row r="332" ht="22.5" hidden="1" customHeight="1">
      <c r="A332" s="9">
        <f>VLOOKUP(B332,FVM_astainv!A:B,2,0)</f>
        <v>252</v>
      </c>
      <c r="B332" s="25" t="s">
        <v>358</v>
      </c>
      <c r="C332" s="11" t="s">
        <v>357</v>
      </c>
      <c r="D332" s="12" t="str">
        <f>VLOOKUP(B332,FVM_astainv!A:F,6,0)</f>
        <v>Fiorentina</v>
      </c>
      <c r="E332" s="13" t="str">
        <f>VLOOKUP(B332,FVM_astainv!A:D,4,0)</f>
        <v>B;Ds;E</v>
      </c>
      <c r="F332" s="17" t="str">
        <f>VLOOKUP(B332,'situazione contratti estate 24'!A:I,9,0)</f>
        <v>Obbligo 1+2</v>
      </c>
      <c r="G332" s="14">
        <v>45108.0</v>
      </c>
      <c r="H332" s="144">
        <f t="shared" si="58"/>
        <v>46204</v>
      </c>
      <c r="I332" s="11" t="s">
        <v>65</v>
      </c>
      <c r="J332" s="16" t="str">
        <f>VLOOKUP(A332,Asteriscati25!B:N,13,0)</f>
        <v>#N/A</v>
      </c>
      <c r="K332" s="26">
        <v>0.0</v>
      </c>
      <c r="L332" s="19" t="str">
        <f t="shared" si="93"/>
        <v>#REF!</v>
      </c>
      <c r="M332" s="19">
        <f>VLOOKUP(B332,FVM_Asta2324!C:M,11,0)</f>
        <v>24</v>
      </c>
      <c r="N332" s="19" t="str">
        <f t="shared" si="6"/>
        <v>#REF!</v>
      </c>
      <c r="O332" s="20">
        <f>VLOOKUP(B332,'FVM_1luglio-31luglio25'!D:Q,14,0)</f>
        <v>31</v>
      </c>
      <c r="P332" s="20">
        <f t="shared" si="91"/>
        <v>31</v>
      </c>
      <c r="Q332" s="21">
        <f>VLOOKUP(B332,'situazione contratti estate 24'!A:K,11,0)</f>
        <v>3</v>
      </c>
      <c r="R332" s="21">
        <f t="shared" si="85"/>
        <v>3</v>
      </c>
      <c r="S332" s="20"/>
      <c r="T332" s="22"/>
      <c r="U332" s="23"/>
    </row>
    <row r="333" ht="22.5" hidden="1" customHeight="1">
      <c r="A333" s="9" t="str">
        <f>VLOOKUP(B333,FVM_astainv!A:B,2,0)</f>
        <v>#N/A</v>
      </c>
      <c r="B333" s="25" t="s">
        <v>378</v>
      </c>
      <c r="C333" s="11" t="s">
        <v>357</v>
      </c>
      <c r="D333" s="12" t="str">
        <f>VLOOKUP(B333,FVM_astainv!A:F,6,0)</f>
        <v>#N/A</v>
      </c>
      <c r="E333" s="13" t="str">
        <f>VLOOKUP(B333,FVM_astainv!A:D,4,0)</f>
        <v>#N/A</v>
      </c>
      <c r="F333" s="17" t="str">
        <f>VLOOKUP(B333,'situazione contratti estate 24'!A:I,9,0)</f>
        <v>Obbligo 1+2</v>
      </c>
      <c r="G333" s="14">
        <v>45108.0</v>
      </c>
      <c r="H333" s="144">
        <f t="shared" si="58"/>
        <v>46204</v>
      </c>
      <c r="I333" s="11" t="s">
        <v>68</v>
      </c>
      <c r="J333" s="16" t="str">
        <f>VLOOKUP(A333,Asteriscati25!B:N,13,0)</f>
        <v>#N/A</v>
      </c>
      <c r="K333" s="26">
        <v>0.0</v>
      </c>
      <c r="L333" s="19" t="str">
        <f t="shared" si="93"/>
        <v>#REF!</v>
      </c>
      <c r="M333" s="19">
        <f>VLOOKUP(B333,FVM_Asta2324!C:M,11,0)</f>
        <v>12</v>
      </c>
      <c r="N333" s="19" t="str">
        <f t="shared" si="6"/>
        <v>#REF!</v>
      </c>
      <c r="O333" s="20" t="str">
        <f>VLOOKUP(B333,'FVM_1luglio-31luglio25'!D:Q,14,0)</f>
        <v>#N/A</v>
      </c>
      <c r="P333" s="9">
        <v>0.0</v>
      </c>
      <c r="Q333" s="21">
        <f>VLOOKUP(B333,'situazione contratti estate 24'!A:K,11,0)</f>
        <v>1.5</v>
      </c>
      <c r="R333" s="21">
        <f t="shared" si="85"/>
        <v>1</v>
      </c>
      <c r="S333" s="20"/>
      <c r="T333" s="22"/>
      <c r="U333" s="23"/>
    </row>
    <row r="334" ht="22.5" hidden="1" customHeight="1">
      <c r="A334" s="9">
        <f>VLOOKUP(B334,FVM_astainv!A:B,2,0)</f>
        <v>5393</v>
      </c>
      <c r="B334" s="25" t="s">
        <v>843</v>
      </c>
      <c r="C334" s="11" t="s">
        <v>357</v>
      </c>
      <c r="D334" s="12" t="str">
        <f>VLOOKUP(B334,FVM_astainv!A:F,6,0)</f>
        <v>Parma</v>
      </c>
      <c r="E334" s="13" t="str">
        <f>VLOOKUP(B334,FVM_astainv!A:D,4,0)</f>
        <v>W;A</v>
      </c>
      <c r="F334" s="11" t="s">
        <v>59</v>
      </c>
      <c r="G334" s="14">
        <v>45474.0</v>
      </c>
      <c r="H334" s="144">
        <f t="shared" si="58"/>
        <v>46569</v>
      </c>
      <c r="I334" s="11" t="s">
        <v>605</v>
      </c>
      <c r="J334" s="16" t="str">
        <f>VLOOKUP(A334,Asteriscati25!B:N,13,0)</f>
        <v>#N/A</v>
      </c>
      <c r="K334" s="26">
        <v>0.0</v>
      </c>
      <c r="L334" s="19" t="str">
        <f t="shared" si="93"/>
        <v>#REF!</v>
      </c>
      <c r="M334" s="19">
        <f>VLOOKUP(B334,FVM_Asta2425!A:M,13,0)</f>
        <v>107</v>
      </c>
      <c r="N334" s="19" t="str">
        <f t="shared" si="6"/>
        <v>#REF!</v>
      </c>
      <c r="O334" s="20">
        <f>VLOOKUP(B334,'FVM_1luglio-31luglio25'!D:Q,14,0)</f>
        <v>66</v>
      </c>
      <c r="P334" s="20">
        <f t="shared" ref="P334:P381" si="95">IFERROR(N334,O334)</f>
        <v>66</v>
      </c>
      <c r="Q334" s="21">
        <f t="shared" ref="Q334:Q341" si="96">IF(F334="Standard",CEILING((M334/10),0.5),
IF(OR(F334="Diritto 1+1",M334="Inverno Diritto 0,5 + 1"),CEILING((M334/10)*1.3,0.5),
CEILING((M334/10)*1.15,0.5)))</f>
        <v>12.5</v>
      </c>
      <c r="R334" s="101">
        <v>0.0</v>
      </c>
      <c r="S334" s="20"/>
      <c r="T334" s="22"/>
      <c r="U334" s="23"/>
    </row>
    <row r="335" ht="22.5" hidden="1" customHeight="1">
      <c r="A335" s="9">
        <f>VLOOKUP(B335,FVM_astainv!A:B,2,0)</f>
        <v>5353</v>
      </c>
      <c r="B335" s="187" t="s">
        <v>844</v>
      </c>
      <c r="C335" s="11" t="s">
        <v>357</v>
      </c>
      <c r="D335" s="12" t="str">
        <f>VLOOKUP(B335,FVM_astainv!A:F,6,0)</f>
        <v>Parma</v>
      </c>
      <c r="E335" s="13" t="str">
        <f>VLOOKUP(B335,FVM_astainv!A:D,4,0)</f>
        <v>Dc</v>
      </c>
      <c r="F335" s="11" t="s">
        <v>55</v>
      </c>
      <c r="G335" s="14">
        <v>45474.0</v>
      </c>
      <c r="H335" s="144">
        <f t="shared" si="58"/>
        <v>46204</v>
      </c>
      <c r="I335" s="11" t="s">
        <v>605</v>
      </c>
      <c r="J335" s="16" t="str">
        <f>VLOOKUP(A335,Asteriscati25!B:N,13,0)</f>
        <v>#N/A</v>
      </c>
      <c r="K335" s="26">
        <v>0.0</v>
      </c>
      <c r="L335" s="19" t="str">
        <f t="shared" si="93"/>
        <v>#REF!</v>
      </c>
      <c r="M335" s="19">
        <f>VLOOKUP(B335,FVM_Asta2425!A:M,13,0)</f>
        <v>1</v>
      </c>
      <c r="N335" s="19" t="str">
        <f t="shared" si="6"/>
        <v>#REF!</v>
      </c>
      <c r="O335" s="20">
        <f>VLOOKUP(B335,'FVM_1luglio-31luglio25'!D:Q,14,0)</f>
        <v>5</v>
      </c>
      <c r="P335" s="20">
        <f t="shared" si="95"/>
        <v>5</v>
      </c>
      <c r="Q335" s="21">
        <f t="shared" si="96"/>
        <v>0.5</v>
      </c>
      <c r="R335" s="21" t="str">
        <f>IF(OR(I335="asta", I335="Svincolato riconferma anno corrente", I335="vivaio"), Q335,
IF(OR(I335="asta riparazione", I335="Svincolato obbligo anno precedente", I335="Svincolo pausa invernale"), MAX(0.5, CEILING(Q335 / 2, 0.5)),
IF(OR(I335="ceduto in prestito", I335="acquisito in prestito", I335="acquistato tit definitivo", I335="Ceduto tit definitivo"),CEILING(Q335 * K335, 0.5),
IF(I335="asteriscato", "inserire a mano", ""))))
</f>
        <v/>
      </c>
      <c r="S335" s="20"/>
      <c r="T335" s="22"/>
      <c r="U335" s="23"/>
    </row>
    <row r="336" ht="22.5" hidden="1" customHeight="1">
      <c r="A336" s="9">
        <f>VLOOKUP(B336,FVM_astainv!A:B,2,0)</f>
        <v>6480</v>
      </c>
      <c r="B336" s="25" t="s">
        <v>845</v>
      </c>
      <c r="C336" s="11" t="s">
        <v>357</v>
      </c>
      <c r="D336" s="12" t="str">
        <f>VLOOKUP(B336,FVM_astainv!A:F,6,0)</f>
        <v>Verona</v>
      </c>
      <c r="E336" s="13" t="str">
        <f>VLOOKUP(B336,FVM_astainv!A:D,4,0)</f>
        <v>Dd;E</v>
      </c>
      <c r="F336" s="11" t="s">
        <v>55</v>
      </c>
      <c r="G336" s="14">
        <v>45474.0</v>
      </c>
      <c r="H336" s="144">
        <f t="shared" si="58"/>
        <v>46204</v>
      </c>
      <c r="I336" s="11" t="s">
        <v>605</v>
      </c>
      <c r="J336" s="16" t="str">
        <f>VLOOKUP(A336,Asteriscati25!B:N,13,0)</f>
        <v>#N/A</v>
      </c>
      <c r="K336" s="26">
        <v>0.0</v>
      </c>
      <c r="L336" s="19" t="str">
        <f t="shared" si="93"/>
        <v>#REF!</v>
      </c>
      <c r="M336" s="19">
        <f>VLOOKUP(B336,FVM_Asta2425!A:M,13,0)</f>
        <v>14</v>
      </c>
      <c r="N336" s="19" t="str">
        <f t="shared" si="6"/>
        <v>#REF!</v>
      </c>
      <c r="O336" s="20">
        <f>VLOOKUP(B336,'FVM_1luglio-31luglio25'!D:Q,14,0)</f>
        <v>14</v>
      </c>
      <c r="P336" s="20">
        <f t="shared" si="95"/>
        <v>14</v>
      </c>
      <c r="Q336" s="21">
        <f t="shared" si="96"/>
        <v>2</v>
      </c>
      <c r="R336" s="101">
        <v>0.0</v>
      </c>
      <c r="S336" s="20"/>
      <c r="T336" s="22"/>
      <c r="U336" s="23"/>
    </row>
    <row r="337" ht="22.5" hidden="1" customHeight="1">
      <c r="A337" s="9">
        <f>VLOOKUP(B337,FVM_astainv!A:B,2,0)</f>
        <v>4662</v>
      </c>
      <c r="B337" s="25" t="s">
        <v>846</v>
      </c>
      <c r="C337" s="11" t="s">
        <v>357</v>
      </c>
      <c r="D337" s="12" t="str">
        <f>VLOOKUP(B337,FVM_astainv!A:F,6,0)</f>
        <v>Juventus</v>
      </c>
      <c r="E337" s="13" t="str">
        <f>VLOOKUP(B337,FVM_astainv!A:D,4,0)</f>
        <v>W</v>
      </c>
      <c r="F337" s="11" t="s">
        <v>55</v>
      </c>
      <c r="G337" s="14">
        <v>45474.0</v>
      </c>
      <c r="H337" s="144">
        <f t="shared" si="58"/>
        <v>46204</v>
      </c>
      <c r="I337" s="11" t="s">
        <v>605</v>
      </c>
      <c r="J337" s="16" t="str">
        <f>VLOOKUP(A337,Asteriscati25!B:N,13,0)</f>
        <v>#N/A</v>
      </c>
      <c r="K337" s="26">
        <v>0.0</v>
      </c>
      <c r="L337" s="19" t="str">
        <f t="shared" si="93"/>
        <v>#REF!</v>
      </c>
      <c r="M337" s="19">
        <f>VLOOKUP(B337,FVM_Asta2425!A:M,13,0)</f>
        <v>20</v>
      </c>
      <c r="N337" s="19" t="str">
        <f t="shared" si="6"/>
        <v>#REF!</v>
      </c>
      <c r="O337" s="20">
        <f>VLOOKUP(B337,'FVM_1luglio-31luglio25'!D:Q,14,0)</f>
        <v>17</v>
      </c>
      <c r="P337" s="20">
        <f t="shared" si="95"/>
        <v>17</v>
      </c>
      <c r="Q337" s="21">
        <f t="shared" si="96"/>
        <v>3</v>
      </c>
      <c r="R337" s="21" t="str">
        <f t="shared" ref="R337:R381" si="97">IF(OR(I337="asta", I337="Svincolato riconferma anno corrente", I337="vivaio"), Q337,
IF(OR(I337="asta riparazione", I337="Svincolato obbligo anno precedente", I337="Svincolo pausa invernale"), MAX(0.5, CEILING(Q337 / 2, 0.5)),
IF(OR(I337="ceduto in prestito", I337="acquisito in prestito", I337="acquistato tit definitivo", I337="Ceduto tit definitivo"),CEILING(Q337 * K337, 0.5),
IF(I337="asteriscato", "inserire a mano", ""))))
</f>
        <v/>
      </c>
      <c r="S337" s="20"/>
      <c r="T337" s="22"/>
      <c r="U337" s="23"/>
    </row>
    <row r="338" ht="22.5" hidden="1" customHeight="1">
      <c r="A338" s="9">
        <f>VLOOKUP(B338,FVM_astainv!A:B,2,0)</f>
        <v>327</v>
      </c>
      <c r="B338" s="25" t="s">
        <v>847</v>
      </c>
      <c r="C338" s="11" t="s">
        <v>357</v>
      </c>
      <c r="D338" s="12" t="str">
        <f>VLOOKUP(B338,FVM_astainv!A:F,6,0)</f>
        <v>Lazio</v>
      </c>
      <c r="E338" s="13" t="str">
        <f>VLOOKUP(B338,FVM_astainv!A:D,4,0)</f>
        <v>Dd;Dc</v>
      </c>
      <c r="F338" s="11" t="s">
        <v>45</v>
      </c>
      <c r="G338" s="14">
        <v>45474.0</v>
      </c>
      <c r="H338" s="144">
        <f t="shared" si="58"/>
        <v>45839</v>
      </c>
      <c r="I338" s="11" t="s">
        <v>46</v>
      </c>
      <c r="J338" s="16" t="str">
        <f>VLOOKUP(A338,Asteriscati25!B:N,13,0)</f>
        <v>#N/A</v>
      </c>
      <c r="K338" s="26">
        <v>0.0</v>
      </c>
      <c r="L338" s="19" t="str">
        <f t="shared" si="93"/>
        <v>#REF!</v>
      </c>
      <c r="M338" s="19">
        <f>VLOOKUP(B338,FVM_Asta2425!A:M,13,0)</f>
        <v>12</v>
      </c>
      <c r="N338" s="19" t="str">
        <f t="shared" si="6"/>
        <v>#REF!</v>
      </c>
      <c r="O338" s="20">
        <f>VLOOKUP(B338,'FVM_1luglio-31luglio25'!D:Q,14,0)</f>
        <v>8</v>
      </c>
      <c r="P338" s="20">
        <f t="shared" si="95"/>
        <v>8</v>
      </c>
      <c r="Q338" s="21">
        <f t="shared" si="96"/>
        <v>1.5</v>
      </c>
      <c r="R338" s="21">
        <f t="shared" si="97"/>
        <v>1</v>
      </c>
      <c r="S338" s="20"/>
      <c r="T338" s="22"/>
      <c r="U338" s="23"/>
    </row>
    <row r="339" ht="22.5" hidden="1" customHeight="1">
      <c r="A339" s="9">
        <f>VLOOKUP(B339,FVM_astainv!A:B,2,0)</f>
        <v>6418</v>
      </c>
      <c r="B339" s="25" t="s">
        <v>848</v>
      </c>
      <c r="C339" s="11" t="s">
        <v>357</v>
      </c>
      <c r="D339" s="12" t="str">
        <f>VLOOKUP(B339,FVM_astainv!A:F,6,0)</f>
        <v>Lecce</v>
      </c>
      <c r="E339" s="13" t="str">
        <f>VLOOKUP(B339,FVM_astainv!A:D,4,0)</f>
        <v>Pc</v>
      </c>
      <c r="F339" s="11" t="s">
        <v>43</v>
      </c>
      <c r="G339" s="14">
        <v>45474.0</v>
      </c>
      <c r="H339" s="144">
        <f t="shared" si="58"/>
        <v>401768</v>
      </c>
      <c r="I339" s="11" t="s">
        <v>43</v>
      </c>
      <c r="J339" s="16" t="str">
        <f>VLOOKUP(A339,Asteriscati25!B:N,13,0)</f>
        <v>#N/A</v>
      </c>
      <c r="K339" s="26">
        <v>0.0</v>
      </c>
      <c r="L339" s="27">
        <v>1.0</v>
      </c>
      <c r="M339" s="19">
        <f>VLOOKUP(B339,FVM_Asta2425!A:M,13,0)</f>
        <v>1</v>
      </c>
      <c r="N339" s="19" t="str">
        <f t="shared" si="6"/>
        <v>#REF!</v>
      </c>
      <c r="O339" s="20">
        <f>VLOOKUP(B339,'FVM_1luglio-31luglio25'!D:Q,14,0)</f>
        <v>1</v>
      </c>
      <c r="P339" s="20">
        <f t="shared" si="95"/>
        <v>1</v>
      </c>
      <c r="Q339" s="21">
        <f t="shared" si="96"/>
        <v>0.5</v>
      </c>
      <c r="R339" s="21">
        <f t="shared" si="97"/>
        <v>0.5</v>
      </c>
      <c r="S339" s="20"/>
      <c r="T339" s="22"/>
      <c r="U339" s="23"/>
    </row>
    <row r="340" ht="22.5" hidden="1" customHeight="1">
      <c r="A340" s="9">
        <f>VLOOKUP(B340,FVM_astainv!A:B,2,0)</f>
        <v>6809</v>
      </c>
      <c r="B340" s="25" t="s">
        <v>373</v>
      </c>
      <c r="C340" s="11" t="s">
        <v>357</v>
      </c>
      <c r="D340" s="12" t="str">
        <f>VLOOKUP(B340,FVM_astainv!A:F,6,0)</f>
        <v>Empoli</v>
      </c>
      <c r="E340" s="13" t="str">
        <f>VLOOKUP(B340,FVM_astainv!A:D,4,0)</f>
        <v>Dc</v>
      </c>
      <c r="F340" s="11" t="s">
        <v>43</v>
      </c>
      <c r="G340" s="14">
        <v>45474.0</v>
      </c>
      <c r="H340" s="144">
        <f t="shared" si="58"/>
        <v>401768</v>
      </c>
      <c r="I340" s="11" t="s">
        <v>43</v>
      </c>
      <c r="J340" s="16" t="str">
        <f>VLOOKUP(A340,Asteriscati25!B:N,13,0)</f>
        <v>#N/A</v>
      </c>
      <c r="K340" s="26">
        <v>0.0</v>
      </c>
      <c r="L340" s="27">
        <v>1.0</v>
      </c>
      <c r="M340" s="19">
        <f>VLOOKUP(B340,FVM_Asta2425!A:M,13,0)</f>
        <v>1</v>
      </c>
      <c r="N340" s="19" t="str">
        <f t="shared" si="6"/>
        <v>#REF!</v>
      </c>
      <c r="O340" s="20">
        <f>VLOOKUP(B340,'FVM_1luglio-31luglio25'!D:Q,14,0)</f>
        <v>5</v>
      </c>
      <c r="P340" s="20">
        <f t="shared" si="95"/>
        <v>5</v>
      </c>
      <c r="Q340" s="21">
        <f t="shared" si="96"/>
        <v>0.5</v>
      </c>
      <c r="R340" s="21">
        <f t="shared" si="97"/>
        <v>0.5</v>
      </c>
      <c r="S340" s="20"/>
      <c r="T340" s="22"/>
      <c r="U340" s="23"/>
    </row>
    <row r="341" ht="22.5" hidden="1" customHeight="1">
      <c r="A341" s="9">
        <f>VLOOKUP(B341,FVM_astainv!A:B,2,0)</f>
        <v>6631</v>
      </c>
      <c r="B341" s="25" t="s">
        <v>368</v>
      </c>
      <c r="C341" s="11" t="s">
        <v>357</v>
      </c>
      <c r="D341" s="12" t="str">
        <f>VLOOKUP(B341,FVM_astainv!A:F,6,0)</f>
        <v>Verona</v>
      </c>
      <c r="E341" s="13" t="str">
        <f>VLOOKUP(B341,FVM_astainv!A:D,4,0)</f>
        <v>Dc</v>
      </c>
      <c r="F341" s="11" t="s">
        <v>43</v>
      </c>
      <c r="G341" s="14">
        <v>45474.0</v>
      </c>
      <c r="H341" s="144">
        <f t="shared" si="58"/>
        <v>401768</v>
      </c>
      <c r="I341" s="11" t="s">
        <v>43</v>
      </c>
      <c r="J341" s="16" t="str">
        <f>VLOOKUP(A341,Asteriscati25!B:N,13,0)</f>
        <v>#N/A</v>
      </c>
      <c r="K341" s="26">
        <v>0.0</v>
      </c>
      <c r="L341" s="27">
        <v>1.0</v>
      </c>
      <c r="M341" s="19">
        <f>VLOOKUP(B341,FVM_Asta2425!A:M,13,0)</f>
        <v>1</v>
      </c>
      <c r="N341" s="19" t="str">
        <f t="shared" si="6"/>
        <v>#REF!</v>
      </c>
      <c r="O341" s="20">
        <f>VLOOKUP(B341,'FVM_1luglio-31luglio25'!D:Q,14,0)</f>
        <v>5</v>
      </c>
      <c r="P341" s="20">
        <f t="shared" si="95"/>
        <v>5</v>
      </c>
      <c r="Q341" s="21">
        <f t="shared" si="96"/>
        <v>0.5</v>
      </c>
      <c r="R341" s="21">
        <f t="shared" si="97"/>
        <v>0.5</v>
      </c>
      <c r="S341" s="20"/>
      <c r="T341" s="22"/>
      <c r="U341" s="23"/>
    </row>
    <row r="342" ht="22.5" hidden="1" customHeight="1">
      <c r="A342" s="9">
        <f>VLOOKUP(B342,FVM_astainv!A:B,2,0)</f>
        <v>5626</v>
      </c>
      <c r="B342" s="25" t="s">
        <v>849</v>
      </c>
      <c r="C342" s="11" t="s">
        <v>357</v>
      </c>
      <c r="D342" s="12" t="str">
        <f>VLOOKUP(B342,FVM_astainv!A:F,6,0)</f>
        <v>Lecce</v>
      </c>
      <c r="E342" s="13" t="str">
        <f>VLOOKUP(B342,FVM_astainv!A:D,4,0)</f>
        <v>B;Dd;Ds</v>
      </c>
      <c r="F342" s="11" t="s">
        <v>92</v>
      </c>
      <c r="G342" s="14">
        <v>45689.0</v>
      </c>
      <c r="H342" s="144">
        <f t="shared" si="58"/>
        <v>45839</v>
      </c>
      <c r="I342" s="11" t="s">
        <v>93</v>
      </c>
      <c r="J342" s="16" t="str">
        <f>VLOOKUP(A342,Asteriscati25!B:N,13,0)</f>
        <v>#N/A</v>
      </c>
      <c r="K342" s="26">
        <v>0.0</v>
      </c>
      <c r="L342" s="27">
        <v>21.0</v>
      </c>
      <c r="M342" s="19">
        <v>14.0</v>
      </c>
      <c r="N342" s="19" t="str">
        <f t="shared" si="6"/>
        <v>#REF!</v>
      </c>
      <c r="O342" s="20">
        <f>VLOOKUP(B342,'FVM_1luglio-31luglio25'!D:Q,14,0)</f>
        <v>13</v>
      </c>
      <c r="P342" s="20">
        <f t="shared" si="95"/>
        <v>13</v>
      </c>
      <c r="Q342" s="21">
        <f t="shared" ref="Q342:Q345" si="98">IF(OR(F342="Standard",F342="Standard Inverno"),CEILING((M342/10),0.5),
IF(OR(F342="Diritto 1+1",F342="Inverno Diritto 0,5 + 1"),CEILING((M342/10)*1.3,0.5),
CEILING((M342/10)*1.15,0.5)))</f>
        <v>1.5</v>
      </c>
      <c r="R342" s="21">
        <f t="shared" si="97"/>
        <v>1</v>
      </c>
      <c r="S342" s="20"/>
      <c r="T342" s="17"/>
      <c r="U342" s="10"/>
      <c r="V342" s="153"/>
      <c r="W342" s="153"/>
      <c r="X342" s="153"/>
      <c r="Y342" s="153"/>
      <c r="Z342" s="153"/>
      <c r="AA342" s="153"/>
      <c r="AB342" s="153"/>
      <c r="AC342" s="153"/>
      <c r="AD342" s="153"/>
      <c r="AE342" s="153"/>
      <c r="AF342" s="153"/>
      <c r="AG342" s="153"/>
      <c r="AH342" s="153"/>
      <c r="AI342" s="153"/>
      <c r="AJ342" s="153"/>
      <c r="AK342" s="153"/>
      <c r="AL342" s="153"/>
      <c r="AM342" s="153"/>
    </row>
    <row r="343" ht="22.5" hidden="1" customHeight="1">
      <c r="A343" s="9">
        <f>VLOOKUP(B343,FVM_astainv!A:B,2,0)</f>
        <v>333</v>
      </c>
      <c r="B343" s="25" t="s">
        <v>850</v>
      </c>
      <c r="C343" s="11" t="s">
        <v>357</v>
      </c>
      <c r="D343" s="12" t="str">
        <f>VLOOKUP(B343,FVM_astainv!A:F,6,0)</f>
        <v>Fiorentina</v>
      </c>
      <c r="E343" s="13" t="str">
        <f>VLOOKUP(B343,FVM_astainv!A:D,4,0)</f>
        <v>M;C</v>
      </c>
      <c r="F343" s="11" t="s">
        <v>92</v>
      </c>
      <c r="G343" s="14">
        <v>45689.0</v>
      </c>
      <c r="H343" s="144">
        <f t="shared" si="58"/>
        <v>45839</v>
      </c>
      <c r="I343" s="11" t="s">
        <v>93</v>
      </c>
      <c r="J343" s="16" t="str">
        <f>VLOOKUP(A343,Asteriscati25!B:N,13,0)</f>
        <v>#N/A</v>
      </c>
      <c r="K343" s="26">
        <v>0.0</v>
      </c>
      <c r="L343" s="27">
        <v>24.0</v>
      </c>
      <c r="M343" s="19">
        <v>24.0</v>
      </c>
      <c r="N343" s="19" t="str">
        <f t="shared" si="6"/>
        <v>#REF!</v>
      </c>
      <c r="O343" s="20">
        <f>VLOOKUP(B343,'FVM_1luglio-31luglio25'!D:Q,14,0)</f>
        <v>12</v>
      </c>
      <c r="P343" s="20">
        <f t="shared" si="95"/>
        <v>12</v>
      </c>
      <c r="Q343" s="21">
        <f t="shared" si="98"/>
        <v>2.5</v>
      </c>
      <c r="R343" s="21">
        <f t="shared" si="97"/>
        <v>1.5</v>
      </c>
      <c r="S343" s="20"/>
      <c r="T343" s="17"/>
      <c r="U343" s="10"/>
    </row>
    <row r="344" ht="22.5" hidden="1" customHeight="1">
      <c r="A344" s="9">
        <f>VLOOKUP(B344,FVM_astainv!A:B,2,0)</f>
        <v>6458</v>
      </c>
      <c r="B344" s="25" t="s">
        <v>851</v>
      </c>
      <c r="C344" s="11" t="s">
        <v>357</v>
      </c>
      <c r="D344" s="12" t="str">
        <f>VLOOKUP(B344,FVM_astainv!A:F,6,0)</f>
        <v>Verona</v>
      </c>
      <c r="E344" s="13" t="str">
        <f>VLOOKUP(B344,FVM_astainv!A:D,4,0)</f>
        <v>M;C</v>
      </c>
      <c r="F344" s="11" t="s">
        <v>92</v>
      </c>
      <c r="G344" s="14">
        <v>45689.0</v>
      </c>
      <c r="H344" s="144">
        <f t="shared" si="58"/>
        <v>45839</v>
      </c>
      <c r="I344" s="11" t="s">
        <v>93</v>
      </c>
      <c r="J344" s="16" t="str">
        <f>VLOOKUP(A344,Asteriscati25!B:N,13,0)</f>
        <v>#N/A</v>
      </c>
      <c r="K344" s="26">
        <v>0.0</v>
      </c>
      <c r="L344" s="27">
        <v>15.0</v>
      </c>
      <c r="M344" s="19">
        <v>15.0</v>
      </c>
      <c r="N344" s="19" t="str">
        <f t="shared" si="6"/>
        <v>#REF!</v>
      </c>
      <c r="O344" s="20">
        <f>VLOOKUP(B344,'FVM_1luglio-31luglio25'!D:Q,14,0)</f>
        <v>11</v>
      </c>
      <c r="P344" s="20">
        <f t="shared" si="95"/>
        <v>11</v>
      </c>
      <c r="Q344" s="21">
        <f t="shared" si="98"/>
        <v>1.5</v>
      </c>
      <c r="R344" s="21">
        <f t="shared" si="97"/>
        <v>1</v>
      </c>
      <c r="S344" s="20"/>
      <c r="T344" s="17"/>
      <c r="U344" s="10"/>
    </row>
    <row r="345" ht="22.5" hidden="1" customHeight="1">
      <c r="A345" s="9">
        <f>VLOOKUP(B345,FVM_astainv!A:B,2,0)</f>
        <v>6917</v>
      </c>
      <c r="B345" s="25" t="s">
        <v>852</v>
      </c>
      <c r="C345" s="11" t="s">
        <v>357</v>
      </c>
      <c r="D345" s="12" t="str">
        <f>VLOOKUP(B345,FVM_astainv!A:F,6,0)</f>
        <v>Genoa</v>
      </c>
      <c r="E345" s="13" t="str">
        <f>VLOOKUP(B345,FVM_astainv!A:D,4,0)</f>
        <v>C</v>
      </c>
      <c r="F345" s="11" t="s">
        <v>92</v>
      </c>
      <c r="G345" s="14">
        <v>45689.0</v>
      </c>
      <c r="H345" s="144">
        <f t="shared" si="58"/>
        <v>45839</v>
      </c>
      <c r="I345" s="11" t="s">
        <v>93</v>
      </c>
      <c r="J345" s="16" t="str">
        <f>VLOOKUP(A345,Asteriscati25!B:N,13,0)</f>
        <v>#N/A</v>
      </c>
      <c r="K345" s="26">
        <v>0.0</v>
      </c>
      <c r="L345" s="27">
        <v>12.0</v>
      </c>
      <c r="M345" s="19">
        <v>12.0</v>
      </c>
      <c r="N345" s="19" t="str">
        <f t="shared" si="6"/>
        <v>#REF!</v>
      </c>
      <c r="O345" s="20">
        <f>VLOOKUP(B345,'FVM_1luglio-31luglio25'!D:Q,14,0)</f>
        <v>14</v>
      </c>
      <c r="P345" s="20">
        <f t="shared" si="95"/>
        <v>14</v>
      </c>
      <c r="Q345" s="21">
        <f t="shared" si="98"/>
        <v>1.5</v>
      </c>
      <c r="R345" s="21">
        <f t="shared" si="97"/>
        <v>1</v>
      </c>
      <c r="S345" s="20"/>
      <c r="T345" s="17"/>
      <c r="U345" s="10"/>
    </row>
    <row r="346" ht="22.5" hidden="1" customHeight="1">
      <c r="A346" s="9">
        <f>VLOOKUP(B346,FVM_astainv!A:B,2,0)</f>
        <v>4378</v>
      </c>
      <c r="B346" s="25" t="s">
        <v>853</v>
      </c>
      <c r="C346" s="11" t="s">
        <v>357</v>
      </c>
      <c r="D346" s="12" t="str">
        <f>VLOOKUP(B346,FVM_astainv!A:F,6,0)</f>
        <v>Fiorentina</v>
      </c>
      <c r="E346" s="13" t="str">
        <f>VLOOKUP(B346,FVM_astainv!A:D,4,0)</f>
        <v>Ds;Dc</v>
      </c>
      <c r="F346" s="11" t="s">
        <v>45</v>
      </c>
      <c r="G346" s="14">
        <v>45474.0</v>
      </c>
      <c r="H346" s="144">
        <f t="shared" si="58"/>
        <v>45839</v>
      </c>
      <c r="I346" s="11" t="s">
        <v>48</v>
      </c>
      <c r="J346" s="16" t="str">
        <f>VLOOKUP(A346,Asteriscati25!B:N,13,0)</f>
        <v>#N/A</v>
      </c>
      <c r="K346" s="26">
        <v>0.0</v>
      </c>
      <c r="L346" s="19" t="str">
        <f t="shared" ref="L346:L365" si="99">VLOOKUP(B346,Rose!B:D,3,0)</f>
        <v>#REF!</v>
      </c>
      <c r="M346" s="19">
        <f>VLOOKUP(B346,FVM_Asta2425!A:M,13,0)</f>
        <v>16</v>
      </c>
      <c r="N346" s="19" t="str">
        <f t="shared" si="6"/>
        <v>#REF!</v>
      </c>
      <c r="O346" s="20">
        <f>VLOOKUP(B346,'FVM_1luglio-31luglio25'!D:Q,14,0)</f>
        <v>16</v>
      </c>
      <c r="P346" s="20">
        <f t="shared" si="95"/>
        <v>16</v>
      </c>
      <c r="Q346" s="21">
        <f t="shared" ref="Q346:Q348" si="100">IF(F346="Standard",CEILING((M346/10),0.5),
IF(OR(F346="Diritto 1+1",M346="Inverno Diritto 0,5 + 1"),CEILING((M346/10)*1.3,0.5),
CEILING((M346/10)*1.15,0.5)))</f>
        <v>2</v>
      </c>
      <c r="R346" s="21">
        <f t="shared" si="97"/>
        <v>2</v>
      </c>
      <c r="S346" s="20"/>
      <c r="T346" s="22"/>
      <c r="U346" s="23"/>
    </row>
    <row r="347" ht="22.5" hidden="1" customHeight="1">
      <c r="A347" s="9">
        <f>VLOOKUP(B347,FVM_astainv!A:B,2,0)</f>
        <v>6804</v>
      </c>
      <c r="B347" s="25" t="s">
        <v>854</v>
      </c>
      <c r="C347" s="11" t="s">
        <v>357</v>
      </c>
      <c r="D347" s="12" t="str">
        <f>VLOOKUP(B347,FVM_astainv!A:F,6,0)</f>
        <v>Fiorentina</v>
      </c>
      <c r="E347" s="13" t="str">
        <f>VLOOKUP(B347,FVM_astainv!A:D,4,0)</f>
        <v>M;C</v>
      </c>
      <c r="F347" s="11" t="s">
        <v>45</v>
      </c>
      <c r="G347" s="14">
        <v>45474.0</v>
      </c>
      <c r="H347" s="144">
        <f t="shared" si="58"/>
        <v>45839</v>
      </c>
      <c r="I347" s="11" t="s">
        <v>48</v>
      </c>
      <c r="J347" s="16" t="str">
        <f>VLOOKUP(A347,Asteriscati25!B:N,13,0)</f>
        <v>#N/A</v>
      </c>
      <c r="K347" s="26">
        <v>0.0</v>
      </c>
      <c r="L347" s="19" t="str">
        <f t="shared" si="99"/>
        <v>#REF!</v>
      </c>
      <c r="M347" s="19">
        <f>VLOOKUP(B347,FVM_Asta2425!A:M,13,0)</f>
        <v>17</v>
      </c>
      <c r="N347" s="19" t="str">
        <f t="shared" si="6"/>
        <v>#REF!</v>
      </c>
      <c r="O347" s="20">
        <f>VLOOKUP(B347,'FVM_1luglio-31luglio25'!D:Q,14,0)</f>
        <v>14</v>
      </c>
      <c r="P347" s="20">
        <f t="shared" si="95"/>
        <v>14</v>
      </c>
      <c r="Q347" s="21">
        <f t="shared" si="100"/>
        <v>2</v>
      </c>
      <c r="R347" s="21">
        <f t="shared" si="97"/>
        <v>2</v>
      </c>
      <c r="S347" s="20"/>
      <c r="T347" s="22"/>
      <c r="U347" s="23"/>
    </row>
    <row r="348" ht="22.5" hidden="1" customHeight="1">
      <c r="A348" s="9">
        <f>VLOOKUP(B348,FVM_astainv!A:B,2,0)</f>
        <v>6644</v>
      </c>
      <c r="B348" s="25" t="s">
        <v>855</v>
      </c>
      <c r="C348" s="11" t="s">
        <v>357</v>
      </c>
      <c r="D348" s="12" t="str">
        <f>VLOOKUP(B348,FVM_astainv!A:F,6,0)</f>
        <v>Verona</v>
      </c>
      <c r="E348" s="13" t="str">
        <f>VLOOKUP(B348,FVM_astainv!A:D,4,0)</f>
        <v>Pc</v>
      </c>
      <c r="F348" s="11" t="s">
        <v>45</v>
      </c>
      <c r="G348" s="14">
        <v>45474.0</v>
      </c>
      <c r="H348" s="144">
        <f t="shared" si="58"/>
        <v>45839</v>
      </c>
      <c r="I348" s="11" t="s">
        <v>46</v>
      </c>
      <c r="J348" s="16" t="str">
        <f>VLOOKUP(A348,Asteriscati25!B:N,13,0)</f>
        <v>#N/A</v>
      </c>
      <c r="K348" s="26">
        <v>0.0</v>
      </c>
      <c r="L348" s="19" t="str">
        <f t="shared" si="99"/>
        <v>#REF!</v>
      </c>
      <c r="M348" s="19">
        <f>VLOOKUP(B348,FVM_Asta2425!A:M,13,0)</f>
        <v>10</v>
      </c>
      <c r="N348" s="19" t="str">
        <f t="shared" si="6"/>
        <v>#REF!</v>
      </c>
      <c r="O348" s="20">
        <f>VLOOKUP(B348,'FVM_1luglio-31luglio25'!D:Q,14,0)</f>
        <v>9</v>
      </c>
      <c r="P348" s="20">
        <f t="shared" si="95"/>
        <v>9</v>
      </c>
      <c r="Q348" s="21">
        <f t="shared" si="100"/>
        <v>1</v>
      </c>
      <c r="R348" s="21">
        <f t="shared" si="97"/>
        <v>0.5</v>
      </c>
      <c r="S348" s="20"/>
      <c r="T348" s="22"/>
      <c r="U348" s="23"/>
    </row>
    <row r="349" ht="22.5" hidden="1" customHeight="1">
      <c r="A349" s="9">
        <f>VLOOKUP(B349,FVM_astainv!A:B,2,0)</f>
        <v>2428</v>
      </c>
      <c r="B349" s="25" t="s">
        <v>382</v>
      </c>
      <c r="C349" s="11" t="s">
        <v>357</v>
      </c>
      <c r="D349" s="12" t="str">
        <f>VLOOKUP(B349,FVM_astainv!A:F,6,0)</f>
        <v>Inter</v>
      </c>
      <c r="E349" s="13" t="str">
        <f>VLOOKUP(B349,FVM_astainv!A:D,4,0)</f>
        <v>Por</v>
      </c>
      <c r="F349" s="17" t="str">
        <f>VLOOKUP(B349,'situazione contratti estate 24'!A:I,9,0)</f>
        <v>Obbligo 1+2</v>
      </c>
      <c r="G349" s="14">
        <v>45108.0</v>
      </c>
      <c r="H349" s="144">
        <f t="shared" si="58"/>
        <v>46204</v>
      </c>
      <c r="I349" s="11" t="s">
        <v>48</v>
      </c>
      <c r="J349" s="16" t="str">
        <f>VLOOKUP(A349,Asteriscati25!B:N,13,0)</f>
        <v>#N/A</v>
      </c>
      <c r="K349" s="26">
        <v>0.0</v>
      </c>
      <c r="L349" s="19" t="str">
        <f t="shared" si="99"/>
        <v>#REF!</v>
      </c>
      <c r="M349" s="19">
        <f>VLOOKUP(B349,FVM_Asta2324!C:M,11,0)</f>
        <v>67</v>
      </c>
      <c r="N349" s="19" t="str">
        <f t="shared" si="6"/>
        <v>#REF!</v>
      </c>
      <c r="O349" s="20">
        <f>VLOOKUP(B349,'FVM_1luglio-31luglio25'!D:Q,14,0)</f>
        <v>91</v>
      </c>
      <c r="P349" s="20">
        <f t="shared" si="95"/>
        <v>91</v>
      </c>
      <c r="Q349" s="21">
        <f>VLOOKUP(B349,'situazione contratti estate 24'!A:K,11,0)</f>
        <v>8</v>
      </c>
      <c r="R349" s="21">
        <f t="shared" si="97"/>
        <v>8</v>
      </c>
      <c r="S349" s="20"/>
      <c r="T349" s="22"/>
      <c r="U349" s="23"/>
    </row>
    <row r="350" ht="22.5" hidden="1" customHeight="1">
      <c r="A350" s="9">
        <f>VLOOKUP(B350,FVM_astainv!A:B,2,0)</f>
        <v>6628</v>
      </c>
      <c r="B350" s="25" t="s">
        <v>856</v>
      </c>
      <c r="C350" s="11" t="s">
        <v>357</v>
      </c>
      <c r="D350" s="12" t="str">
        <f>VLOOKUP(B350,FVM_astainv!A:F,6,0)</f>
        <v>Inter</v>
      </c>
      <c r="E350" s="13" t="str">
        <f>VLOOKUP(B350,FVM_astainv!A:D,4,0)</f>
        <v>Pc</v>
      </c>
      <c r="F350" s="11" t="s">
        <v>45</v>
      </c>
      <c r="G350" s="14">
        <v>45474.0</v>
      </c>
      <c r="H350" s="144">
        <f t="shared" si="58"/>
        <v>45839</v>
      </c>
      <c r="I350" s="11" t="s">
        <v>48</v>
      </c>
      <c r="J350" s="16" t="str">
        <f>VLOOKUP(A350,Asteriscati25!B:N,13,0)</f>
        <v>#N/A</v>
      </c>
      <c r="K350" s="26">
        <v>0.0</v>
      </c>
      <c r="L350" s="19" t="str">
        <f t="shared" si="99"/>
        <v>#REF!</v>
      </c>
      <c r="M350" s="19">
        <f>VLOOKUP(B350,FVM_Asta2425!A:M,13,0)</f>
        <v>65</v>
      </c>
      <c r="N350" s="19" t="str">
        <f t="shared" si="6"/>
        <v>#REF!</v>
      </c>
      <c r="O350" s="20">
        <f>VLOOKUP(B350,'FVM_1luglio-31luglio25'!D:Q,14,0)</f>
        <v>36</v>
      </c>
      <c r="P350" s="20">
        <f t="shared" si="95"/>
        <v>36</v>
      </c>
      <c r="Q350" s="21">
        <f t="shared" ref="Q350:Q355" si="101">IF(F350="Standard",CEILING((M350/10),0.5),
IF(OR(F350="Diritto 1+1",M350="Inverno Diritto 0,5 + 1"),CEILING((M350/10)*1.3,0.5),
CEILING((M350/10)*1.15,0.5)))</f>
        <v>6.5</v>
      </c>
      <c r="R350" s="21">
        <f t="shared" si="97"/>
        <v>6.5</v>
      </c>
      <c r="S350" s="20"/>
      <c r="T350" s="22"/>
      <c r="U350" s="23"/>
    </row>
    <row r="351" ht="22.5" hidden="1" customHeight="1">
      <c r="A351" s="9">
        <f>VLOOKUP(B351,FVM_astainv!A:B,2,0)</f>
        <v>2369</v>
      </c>
      <c r="B351" s="25" t="s">
        <v>857</v>
      </c>
      <c r="C351" s="11" t="s">
        <v>357</v>
      </c>
      <c r="D351" s="12" t="str">
        <f>VLOOKUP(B351,FVM_astainv!A:F,6,0)</f>
        <v>Udinese</v>
      </c>
      <c r="E351" s="13" t="str">
        <f>VLOOKUP(B351,FVM_astainv!A:D,4,0)</f>
        <v>A</v>
      </c>
      <c r="F351" s="11" t="s">
        <v>45</v>
      </c>
      <c r="G351" s="14">
        <v>45474.0</v>
      </c>
      <c r="H351" s="144">
        <f t="shared" si="58"/>
        <v>45839</v>
      </c>
      <c r="I351" s="11" t="s">
        <v>48</v>
      </c>
      <c r="J351" s="16" t="str">
        <f>VLOOKUP(A351,Asteriscati25!B:N,13,0)</f>
        <v>#N/A</v>
      </c>
      <c r="K351" s="26">
        <v>0.0</v>
      </c>
      <c r="L351" s="19" t="str">
        <f t="shared" si="99"/>
        <v>#REF!</v>
      </c>
      <c r="M351" s="19">
        <f>VLOOKUP(B351,FVM_Asta2425!A:M,13,0)</f>
        <v>37</v>
      </c>
      <c r="N351" s="19" t="str">
        <f t="shared" si="6"/>
        <v>#REF!</v>
      </c>
      <c r="O351" s="20">
        <f>VLOOKUP(B351,'FVM_1luglio-31luglio25'!D:Q,14,0)</f>
        <v>35</v>
      </c>
      <c r="P351" s="20">
        <f t="shared" si="95"/>
        <v>35</v>
      </c>
      <c r="Q351" s="21">
        <f t="shared" si="101"/>
        <v>4</v>
      </c>
      <c r="R351" s="21">
        <f t="shared" si="97"/>
        <v>4</v>
      </c>
      <c r="S351" s="20"/>
      <c r="T351" s="22"/>
      <c r="U351" s="23"/>
    </row>
    <row r="352" ht="22.5" hidden="1" customHeight="1">
      <c r="A352" s="9">
        <f>VLOOKUP(B352,FVM_astainv!A:B,2,0)</f>
        <v>6646</v>
      </c>
      <c r="B352" s="102" t="s">
        <v>695</v>
      </c>
      <c r="C352" s="200" t="s">
        <v>90</v>
      </c>
      <c r="D352" s="12" t="str">
        <f>VLOOKUP(B352,FVM_astainv!A:F,6,0)</f>
        <v>Torino</v>
      </c>
      <c r="E352" s="13" t="str">
        <f>VLOOKUP(B352,FVM_astainv!A:D,4,0)</f>
        <v>A</v>
      </c>
      <c r="F352" s="133" t="s">
        <v>45</v>
      </c>
      <c r="G352" s="82">
        <v>45474.0</v>
      </c>
      <c r="H352" s="146">
        <f t="shared" si="58"/>
        <v>45839</v>
      </c>
      <c r="I352" s="157" t="s">
        <v>126</v>
      </c>
      <c r="J352" s="104" t="str">
        <f>VLOOKUP(A352,Asteriscati25!B:N,13,0)</f>
        <v>#N/A</v>
      </c>
      <c r="K352" s="201">
        <v>0.4</v>
      </c>
      <c r="L352" s="106" t="str">
        <f t="shared" si="99"/>
        <v>#REF!</v>
      </c>
      <c r="M352" s="106">
        <f>VLOOKUP(B352,FVM_Asta2425!A:M,13,0)</f>
        <v>72</v>
      </c>
      <c r="N352" s="19" t="str">
        <f t="shared" si="6"/>
        <v>#REF!</v>
      </c>
      <c r="O352" s="20">
        <f>VLOOKUP(B352,'FVM_1luglio-31luglio25'!D:Q,14,0)</f>
        <v>68</v>
      </c>
      <c r="P352" s="159">
        <f t="shared" si="95"/>
        <v>68</v>
      </c>
      <c r="Q352" s="160">
        <f t="shared" si="101"/>
        <v>7.5</v>
      </c>
      <c r="R352" s="160">
        <f t="shared" si="97"/>
        <v>3</v>
      </c>
      <c r="S352" s="108"/>
      <c r="T352" s="134" t="s">
        <v>148</v>
      </c>
      <c r="U352" s="161"/>
    </row>
    <row r="353" ht="22.5" hidden="1" customHeight="1">
      <c r="A353" s="9">
        <f>VLOOKUP(B353,FVM_astainv!A:B,2,0)</f>
        <v>2285</v>
      </c>
      <c r="B353" s="25" t="s">
        <v>858</v>
      </c>
      <c r="C353" s="11" t="s">
        <v>90</v>
      </c>
      <c r="D353" s="12" t="str">
        <f>VLOOKUP(B353,FVM_astainv!A:F,6,0)</f>
        <v>Genoa</v>
      </c>
      <c r="E353" s="13" t="str">
        <f>VLOOKUP(B353,FVM_astainv!A:D,4,0)</f>
        <v>Dc</v>
      </c>
      <c r="F353" s="11" t="s">
        <v>45</v>
      </c>
      <c r="G353" s="14">
        <v>45474.0</v>
      </c>
      <c r="H353" s="144">
        <f t="shared" si="58"/>
        <v>45839</v>
      </c>
      <c r="I353" s="11" t="s">
        <v>48</v>
      </c>
      <c r="J353" s="16" t="str">
        <f>VLOOKUP(A353,Asteriscati25!B:N,13,0)</f>
        <v>#N/A</v>
      </c>
      <c r="K353" s="26">
        <v>0.0</v>
      </c>
      <c r="L353" s="19" t="str">
        <f t="shared" si="99"/>
        <v>#REF!</v>
      </c>
      <c r="M353" s="19">
        <f>VLOOKUP(B353,FVM_Asta2425!A:M,13,0)</f>
        <v>14</v>
      </c>
      <c r="N353" s="19" t="str">
        <f t="shared" si="6"/>
        <v>#REF!</v>
      </c>
      <c r="O353" s="20">
        <f>VLOOKUP(B353,'FVM_1luglio-31luglio25'!D:Q,14,0)</f>
        <v>12</v>
      </c>
      <c r="P353" s="20">
        <f t="shared" si="95"/>
        <v>12</v>
      </c>
      <c r="Q353" s="21">
        <f t="shared" si="101"/>
        <v>1.5</v>
      </c>
      <c r="R353" s="21">
        <f t="shared" si="97"/>
        <v>1.5</v>
      </c>
      <c r="S353" s="20"/>
      <c r="T353" s="22"/>
      <c r="U353" s="23"/>
    </row>
    <row r="354" ht="22.5" hidden="1" customHeight="1">
      <c r="A354" s="9">
        <f>VLOOKUP(B354,FVM_astainv!A:B,2,0)</f>
        <v>6213</v>
      </c>
      <c r="B354" s="25" t="s">
        <v>859</v>
      </c>
      <c r="C354" s="11" t="s">
        <v>90</v>
      </c>
      <c r="D354" s="12" t="str">
        <f>VLOOKUP(B354,FVM_astainv!A:F,6,0)</f>
        <v>Udinese</v>
      </c>
      <c r="E354" s="13" t="str">
        <f>VLOOKUP(B354,FVM_astainv!A:D,4,0)</f>
        <v>A</v>
      </c>
      <c r="F354" s="11" t="s">
        <v>45</v>
      </c>
      <c r="G354" s="14">
        <v>45474.0</v>
      </c>
      <c r="H354" s="144">
        <f t="shared" si="58"/>
        <v>45839</v>
      </c>
      <c r="I354" s="11" t="s">
        <v>46</v>
      </c>
      <c r="J354" s="16" t="str">
        <f>VLOOKUP(A354,Asteriscati25!B:N,13,0)</f>
        <v>#N/A</v>
      </c>
      <c r="K354" s="26">
        <v>0.0</v>
      </c>
      <c r="L354" s="19" t="str">
        <f t="shared" si="99"/>
        <v>#REF!</v>
      </c>
      <c r="M354" s="19">
        <f>VLOOKUP(B354,FVM_Asta2425!A:M,13,0)</f>
        <v>24</v>
      </c>
      <c r="N354" s="19" t="str">
        <f t="shared" si="6"/>
        <v>#REF!</v>
      </c>
      <c r="O354" s="20">
        <f>VLOOKUP(B354,'FVM_1luglio-31luglio25'!D:Q,14,0)</f>
        <v>14</v>
      </c>
      <c r="P354" s="20">
        <f t="shared" si="95"/>
        <v>14</v>
      </c>
      <c r="Q354" s="21">
        <f t="shared" si="101"/>
        <v>2.5</v>
      </c>
      <c r="R354" s="21">
        <f t="shared" si="97"/>
        <v>1.5</v>
      </c>
      <c r="S354" s="20"/>
      <c r="T354" s="22"/>
      <c r="U354" s="23"/>
    </row>
    <row r="355" ht="22.5" hidden="1" customHeight="1">
      <c r="A355" s="9">
        <f>VLOOKUP(B355,FVM_astainv!A:B,2,0)</f>
        <v>357</v>
      </c>
      <c r="B355" s="25" t="s">
        <v>860</v>
      </c>
      <c r="C355" s="11" t="s">
        <v>90</v>
      </c>
      <c r="D355" s="12" t="str">
        <f>VLOOKUP(B355,FVM_astainv!A:F,6,0)</f>
        <v>Milan</v>
      </c>
      <c r="E355" s="13" t="str">
        <f>VLOOKUP(B355,FVM_astainv!A:D,4,0)</f>
        <v>Dd;E</v>
      </c>
      <c r="F355" s="11" t="s">
        <v>45</v>
      </c>
      <c r="G355" s="14">
        <v>45474.0</v>
      </c>
      <c r="H355" s="144">
        <f t="shared" si="58"/>
        <v>45839</v>
      </c>
      <c r="I355" s="11" t="s">
        <v>48</v>
      </c>
      <c r="J355" s="16" t="str">
        <f>VLOOKUP(A355,Asteriscati25!B:N,13,0)</f>
        <v>#N/A</v>
      </c>
      <c r="K355" s="26">
        <v>0.0</v>
      </c>
      <c r="L355" s="19" t="str">
        <f t="shared" si="99"/>
        <v>#REF!</v>
      </c>
      <c r="M355" s="19">
        <f>VLOOKUP(B355,FVM_Asta2425!A:M,13,0)</f>
        <v>13</v>
      </c>
      <c r="N355" s="19" t="str">
        <f t="shared" si="6"/>
        <v>#REF!</v>
      </c>
      <c r="O355" s="20">
        <f>VLOOKUP(B355,'FVM_1luglio-31luglio25'!D:Q,14,0)</f>
        <v>13</v>
      </c>
      <c r="P355" s="20">
        <f t="shared" si="95"/>
        <v>13</v>
      </c>
      <c r="Q355" s="21">
        <f t="shared" si="101"/>
        <v>1.5</v>
      </c>
      <c r="R355" s="21">
        <f t="shared" si="97"/>
        <v>1.5</v>
      </c>
      <c r="S355" s="20"/>
      <c r="T355" s="22"/>
      <c r="U355" s="23"/>
    </row>
    <row r="356" ht="22.5" hidden="1" customHeight="1">
      <c r="A356" s="9">
        <f>VLOOKUP(B356,FVM_astainv!A:B,2,0)</f>
        <v>4431</v>
      </c>
      <c r="B356" s="25" t="s">
        <v>393</v>
      </c>
      <c r="C356" s="11" t="s">
        <v>90</v>
      </c>
      <c r="D356" s="12" t="str">
        <f>VLOOKUP(B356,FVM_astainv!A:F,6,0)</f>
        <v>Atalanta</v>
      </c>
      <c r="E356" s="13" t="str">
        <f>VLOOKUP(B356,FVM_astainv!A:D,4,0)</f>
        <v>Por</v>
      </c>
      <c r="F356" s="17" t="str">
        <f>VLOOKUP(B356,'situazione contratti estate 24'!A:I,9,0)</f>
        <v>Obbligo 1+2</v>
      </c>
      <c r="G356" s="14">
        <v>45108.0</v>
      </c>
      <c r="H356" s="144">
        <f t="shared" si="58"/>
        <v>46204</v>
      </c>
      <c r="I356" s="11" t="s">
        <v>48</v>
      </c>
      <c r="J356" s="16" t="str">
        <f>VLOOKUP(A356,Asteriscati25!B:N,13,0)</f>
        <v>#N/A</v>
      </c>
      <c r="K356" s="26">
        <v>0.0</v>
      </c>
      <c r="L356" s="19" t="str">
        <f t="shared" si="99"/>
        <v>#REF!</v>
      </c>
      <c r="M356" s="19">
        <f>VLOOKUP(B356,FVM_Asta2324!C:M,11,0)</f>
        <v>16</v>
      </c>
      <c r="N356" s="19" t="str">
        <f t="shared" si="6"/>
        <v>#REF!</v>
      </c>
      <c r="O356" s="20">
        <f>VLOOKUP(B356,'FVM_1luglio-31luglio25'!D:Q,14,0)</f>
        <v>60</v>
      </c>
      <c r="P356" s="20">
        <f t="shared" si="95"/>
        <v>60</v>
      </c>
      <c r="Q356" s="21">
        <f>VLOOKUP(B356,'situazione contratti estate 24'!A:K,11,0)</f>
        <v>2</v>
      </c>
      <c r="R356" s="21">
        <f t="shared" si="97"/>
        <v>2</v>
      </c>
      <c r="S356" s="20"/>
      <c r="T356" s="22"/>
      <c r="U356" s="23"/>
    </row>
    <row r="357" ht="22.5" hidden="1" customHeight="1">
      <c r="A357" s="9">
        <f>VLOOKUP(B357,FVM_astainv!A:B,2,0)</f>
        <v>5498</v>
      </c>
      <c r="B357" s="25" t="s">
        <v>861</v>
      </c>
      <c r="C357" s="11" t="s">
        <v>90</v>
      </c>
      <c r="D357" s="12" t="str">
        <f>VLOOKUP(B357,FVM_astainv!A:F,6,0)</f>
        <v>Bologna</v>
      </c>
      <c r="E357" s="13" t="str">
        <f>VLOOKUP(B357,FVM_astainv!A:D,4,0)</f>
        <v>Dc</v>
      </c>
      <c r="F357" s="11" t="s">
        <v>45</v>
      </c>
      <c r="G357" s="14">
        <v>45474.0</v>
      </c>
      <c r="H357" s="144">
        <f t="shared" si="58"/>
        <v>45839</v>
      </c>
      <c r="I357" s="11" t="s">
        <v>48</v>
      </c>
      <c r="J357" s="16" t="str">
        <f>VLOOKUP(A357,Asteriscati25!B:N,13,0)</f>
        <v>#N/A</v>
      </c>
      <c r="K357" s="26">
        <v>0.0</v>
      </c>
      <c r="L357" s="19" t="str">
        <f t="shared" si="99"/>
        <v>#REF!</v>
      </c>
      <c r="M357" s="19">
        <f>VLOOKUP(B357,FVM_Asta2425!A:M,13,0)</f>
        <v>15</v>
      </c>
      <c r="N357" s="19" t="str">
        <f t="shared" si="6"/>
        <v>#REF!</v>
      </c>
      <c r="O357" s="20">
        <f>VLOOKUP(B357,'FVM_1luglio-31luglio25'!D:Q,14,0)</f>
        <v>11</v>
      </c>
      <c r="P357" s="20">
        <f t="shared" si="95"/>
        <v>11</v>
      </c>
      <c r="Q357" s="21">
        <f t="shared" ref="Q357:Q365" si="102">IF(F357="Standard",CEILING((M357/10),0.5),
IF(OR(F357="Diritto 1+1",M357="Inverno Diritto 0,5 + 1"),CEILING((M357/10)*1.3,0.5),
CEILING((M357/10)*1.15,0.5)))</f>
        <v>1.5</v>
      </c>
      <c r="R357" s="21">
        <f t="shared" si="97"/>
        <v>1.5</v>
      </c>
      <c r="S357" s="20"/>
      <c r="T357" s="22"/>
      <c r="U357" s="23"/>
    </row>
    <row r="358" ht="22.5" hidden="1" customHeight="1">
      <c r="A358" s="9">
        <f>VLOOKUP(B358,FVM_astainv!A:B,2,0)</f>
        <v>6629</v>
      </c>
      <c r="B358" s="25" t="s">
        <v>862</v>
      </c>
      <c r="C358" s="11" t="s">
        <v>90</v>
      </c>
      <c r="D358" s="12" t="str">
        <f>VLOOKUP(B358,FVM_astainv!A:F,6,0)</f>
        <v>Lazio</v>
      </c>
      <c r="E358" s="13" t="str">
        <f>VLOOKUP(B358,FVM_astainv!A:D,4,0)</f>
        <v>C;T</v>
      </c>
      <c r="F358" s="11" t="s">
        <v>45</v>
      </c>
      <c r="G358" s="14">
        <v>45474.0</v>
      </c>
      <c r="H358" s="144">
        <f t="shared" si="58"/>
        <v>45839</v>
      </c>
      <c r="I358" s="11" t="s">
        <v>48</v>
      </c>
      <c r="J358" s="16" t="str">
        <f>VLOOKUP(A358,Asteriscati25!B:N,13,0)</f>
        <v>#N/A</v>
      </c>
      <c r="K358" s="26">
        <v>0.0</v>
      </c>
      <c r="L358" s="19" t="str">
        <f t="shared" si="99"/>
        <v>#REF!</v>
      </c>
      <c r="M358" s="19">
        <f>VLOOKUP(B358,FVM_Asta2425!A:M,13,0)</f>
        <v>20</v>
      </c>
      <c r="N358" s="19" t="str">
        <f t="shared" si="6"/>
        <v>#REF!</v>
      </c>
      <c r="O358" s="20">
        <f>VLOOKUP(B358,'FVM_1luglio-31luglio25'!D:Q,14,0)</f>
        <v>18</v>
      </c>
      <c r="P358" s="20">
        <f t="shared" si="95"/>
        <v>18</v>
      </c>
      <c r="Q358" s="21">
        <f t="shared" si="102"/>
        <v>2</v>
      </c>
      <c r="R358" s="21">
        <f t="shared" si="97"/>
        <v>2</v>
      </c>
      <c r="S358" s="20"/>
      <c r="T358" s="22"/>
      <c r="U358" s="23"/>
      <c r="V358" s="153"/>
      <c r="W358" s="153"/>
      <c r="X358" s="153"/>
      <c r="Y358" s="153"/>
      <c r="Z358" s="153"/>
      <c r="AA358" s="153"/>
      <c r="AB358" s="153"/>
      <c r="AC358" s="153"/>
      <c r="AD358" s="153"/>
      <c r="AE358" s="153"/>
      <c r="AF358" s="153"/>
      <c r="AG358" s="153"/>
      <c r="AH358" s="153"/>
      <c r="AI358" s="153"/>
      <c r="AJ358" s="153"/>
      <c r="AK358" s="153"/>
      <c r="AL358" s="153"/>
      <c r="AM358" s="153"/>
    </row>
    <row r="359" ht="22.5" hidden="1" customHeight="1">
      <c r="A359" s="9">
        <f>VLOOKUP(B359,FVM_astainv!A:B,2,0)</f>
        <v>4816</v>
      </c>
      <c r="B359" s="25" t="s">
        <v>688</v>
      </c>
      <c r="C359" s="11" t="s">
        <v>90</v>
      </c>
      <c r="D359" s="12" t="str">
        <f>VLOOKUP(B359,FVM_astainv!A:F,6,0)</f>
        <v>Milan</v>
      </c>
      <c r="E359" s="13" t="str">
        <f>VLOOKUP(B359,FVM_astainv!A:D,4,0)</f>
        <v>B;Dd;Ds</v>
      </c>
      <c r="F359" s="11" t="s">
        <v>45</v>
      </c>
      <c r="G359" s="14">
        <v>45474.0</v>
      </c>
      <c r="H359" s="144">
        <f t="shared" si="58"/>
        <v>45839</v>
      </c>
      <c r="I359" s="11" t="s">
        <v>46</v>
      </c>
      <c r="J359" s="16" t="str">
        <f>VLOOKUP(A359,Asteriscati25!B:N,13,0)</f>
        <v>#N/A</v>
      </c>
      <c r="K359" s="29">
        <v>0.8</v>
      </c>
      <c r="L359" s="19" t="str">
        <f t="shared" si="99"/>
        <v>#REF!</v>
      </c>
      <c r="M359" s="19">
        <f>VLOOKUP(B359,FVM_Asta2425!A:M,13,0)</f>
        <v>39</v>
      </c>
      <c r="N359" s="19" t="str">
        <f t="shared" si="6"/>
        <v>#REF!</v>
      </c>
      <c r="O359" s="20">
        <f>VLOOKUP(B359,'FVM_1luglio-31luglio25'!D:Q,14,0)</f>
        <v>25</v>
      </c>
      <c r="P359" s="20">
        <f t="shared" si="95"/>
        <v>25</v>
      </c>
      <c r="Q359" s="21">
        <f t="shared" si="102"/>
        <v>4</v>
      </c>
      <c r="R359" s="21">
        <f t="shared" si="97"/>
        <v>2</v>
      </c>
      <c r="S359" s="20"/>
      <c r="T359" s="11" t="s">
        <v>148</v>
      </c>
      <c r="U359" s="23"/>
      <c r="V359" s="153"/>
      <c r="W359" s="153"/>
      <c r="X359" s="153"/>
      <c r="Y359" s="153"/>
      <c r="Z359" s="153"/>
      <c r="AA359" s="153"/>
      <c r="AB359" s="153"/>
      <c r="AC359" s="153"/>
      <c r="AD359" s="153"/>
      <c r="AE359" s="153"/>
      <c r="AF359" s="153"/>
      <c r="AG359" s="153"/>
      <c r="AH359" s="153"/>
      <c r="AI359" s="153"/>
      <c r="AJ359" s="153"/>
      <c r="AK359" s="153"/>
      <c r="AL359" s="153"/>
      <c r="AM359" s="153"/>
    </row>
    <row r="360" ht="22.5" hidden="1" customHeight="1">
      <c r="A360" s="9">
        <f>VLOOKUP(B360,FVM_astainv!A:B,2,0)</f>
        <v>5290</v>
      </c>
      <c r="B360" s="43" t="s">
        <v>692</v>
      </c>
      <c r="C360" s="112" t="s">
        <v>90</v>
      </c>
      <c r="D360" s="12" t="str">
        <f>VLOOKUP(B360,FVM_astainv!A:F,6,0)</f>
        <v>Parma</v>
      </c>
      <c r="E360" s="13" t="str">
        <f>VLOOKUP(B360,FVM_astainv!A:D,4,0)</f>
        <v>M;C</v>
      </c>
      <c r="F360" s="45" t="s">
        <v>45</v>
      </c>
      <c r="G360" s="15">
        <v>45474.0</v>
      </c>
      <c r="H360" s="146">
        <f t="shared" si="58"/>
        <v>45839</v>
      </c>
      <c r="I360" s="33" t="s">
        <v>46</v>
      </c>
      <c r="J360" s="34" t="str">
        <f>VLOOKUP(A360,Asteriscati25!B:N,13,0)</f>
        <v>#N/A</v>
      </c>
      <c r="K360" s="64">
        <v>0.4</v>
      </c>
      <c r="L360" s="47" t="str">
        <f t="shared" si="99"/>
        <v>#REF!</v>
      </c>
      <c r="M360" s="47">
        <f>VLOOKUP(B360,FVM_Asta2425!A:M,13,0)</f>
        <v>12</v>
      </c>
      <c r="N360" s="19" t="str">
        <f t="shared" si="6"/>
        <v>#REF!</v>
      </c>
      <c r="O360" s="20">
        <f>VLOOKUP(B360,'FVM_1luglio-31luglio25'!D:Q,14,0)</f>
        <v>11</v>
      </c>
      <c r="P360" s="36">
        <f t="shared" si="95"/>
        <v>11</v>
      </c>
      <c r="Q360" s="119">
        <f t="shared" si="102"/>
        <v>1.5</v>
      </c>
      <c r="R360" s="119">
        <f t="shared" si="97"/>
        <v>1</v>
      </c>
      <c r="S360" s="37"/>
      <c r="T360" s="114" t="s">
        <v>148</v>
      </c>
      <c r="U360" s="115"/>
    </row>
    <row r="361" ht="22.5" hidden="1" customHeight="1">
      <c r="A361" s="9">
        <f>VLOOKUP(B361,FVM_astainv!A:B,2,0)</f>
        <v>5791</v>
      </c>
      <c r="B361" s="25" t="s">
        <v>691</v>
      </c>
      <c r="C361" s="11" t="s">
        <v>90</v>
      </c>
      <c r="D361" s="12" t="str">
        <f>VLOOKUP(B361,FVM_astainv!A:F,6,0)</f>
        <v>Genoa</v>
      </c>
      <c r="E361" s="13" t="str">
        <f>VLOOKUP(B361,FVM_astainv!A:D,4,0)</f>
        <v>E;M</v>
      </c>
      <c r="F361" s="11" t="s">
        <v>45</v>
      </c>
      <c r="G361" s="14">
        <v>45474.0</v>
      </c>
      <c r="H361" s="144">
        <f t="shared" si="58"/>
        <v>45839</v>
      </c>
      <c r="I361" s="11" t="s">
        <v>126</v>
      </c>
      <c r="J361" s="16" t="str">
        <f>VLOOKUP(A361,Asteriscati25!B:N,13,0)</f>
        <v>#N/A</v>
      </c>
      <c r="K361" s="29">
        <v>0.8</v>
      </c>
      <c r="L361" s="19" t="str">
        <f t="shared" si="99"/>
        <v>#REF!</v>
      </c>
      <c r="M361" s="19">
        <f>VLOOKUP(B361,FVM_Asta2425!A:M,13,0)</f>
        <v>40</v>
      </c>
      <c r="N361" s="19" t="str">
        <f t="shared" si="6"/>
        <v>#REF!</v>
      </c>
      <c r="O361" s="20">
        <f>VLOOKUP(B361,'FVM_1luglio-31luglio25'!D:Q,14,0)</f>
        <v>31</v>
      </c>
      <c r="P361" s="20">
        <f t="shared" si="95"/>
        <v>31</v>
      </c>
      <c r="Q361" s="21">
        <f t="shared" si="102"/>
        <v>4</v>
      </c>
      <c r="R361" s="21">
        <f t="shared" si="97"/>
        <v>3.5</v>
      </c>
      <c r="S361" s="20"/>
      <c r="T361" s="11" t="s">
        <v>148</v>
      </c>
      <c r="U361" s="23"/>
      <c r="V361" s="153"/>
      <c r="W361" s="153"/>
      <c r="X361" s="153"/>
      <c r="Y361" s="153"/>
      <c r="Z361" s="153"/>
      <c r="AA361" s="153"/>
      <c r="AB361" s="153"/>
      <c r="AC361" s="153"/>
      <c r="AD361" s="153"/>
      <c r="AE361" s="153"/>
      <c r="AF361" s="153"/>
      <c r="AG361" s="153"/>
      <c r="AH361" s="153"/>
      <c r="AI361" s="153"/>
      <c r="AJ361" s="153"/>
      <c r="AK361" s="153"/>
      <c r="AL361" s="153"/>
      <c r="AM361" s="153"/>
    </row>
    <row r="362" ht="22.5" hidden="1" customHeight="1">
      <c r="A362" s="9">
        <f>VLOOKUP(B362,FVM_astainv!A:B,2,0)</f>
        <v>4364</v>
      </c>
      <c r="B362" s="25" t="s">
        <v>863</v>
      </c>
      <c r="C362" s="11" t="s">
        <v>90</v>
      </c>
      <c r="D362" s="12" t="str">
        <f>VLOOKUP(B362,FVM_astainv!A:F,6,0)</f>
        <v>Cagliari</v>
      </c>
      <c r="E362" s="13" t="str">
        <f>VLOOKUP(B362,FVM_astainv!A:D,4,0)</f>
        <v>T</v>
      </c>
      <c r="F362" s="11" t="s">
        <v>45</v>
      </c>
      <c r="G362" s="14">
        <v>45474.0</v>
      </c>
      <c r="H362" s="144">
        <f t="shared" si="58"/>
        <v>45839</v>
      </c>
      <c r="I362" s="11" t="s">
        <v>46</v>
      </c>
      <c r="J362" s="16" t="str">
        <f>VLOOKUP(A362,Asteriscati25!B:N,13,0)</f>
        <v>#N/A</v>
      </c>
      <c r="K362" s="26">
        <v>0.0</v>
      </c>
      <c r="L362" s="19" t="str">
        <f t="shared" si="99"/>
        <v>#REF!</v>
      </c>
      <c r="M362" s="19">
        <f>VLOOKUP(B362,FVM_Asta2425!A:M,13,0)</f>
        <v>35</v>
      </c>
      <c r="N362" s="19" t="str">
        <f t="shared" si="6"/>
        <v>#REF!</v>
      </c>
      <c r="O362" s="20">
        <f>VLOOKUP(B362,'FVM_1luglio-31luglio25'!D:Q,14,0)</f>
        <v>23</v>
      </c>
      <c r="P362" s="20">
        <f t="shared" si="95"/>
        <v>23</v>
      </c>
      <c r="Q362" s="21">
        <f t="shared" si="102"/>
        <v>3.5</v>
      </c>
      <c r="R362" s="21">
        <f t="shared" si="97"/>
        <v>2</v>
      </c>
      <c r="S362" s="20"/>
      <c r="T362" s="22"/>
      <c r="U362" s="23"/>
    </row>
    <row r="363" ht="22.5" hidden="1" customHeight="1">
      <c r="A363" s="9">
        <f>VLOOKUP(B363,FVM_astainv!A:B,2,0)</f>
        <v>5589</v>
      </c>
      <c r="B363" s="25" t="s">
        <v>790</v>
      </c>
      <c r="C363" s="11" t="s">
        <v>90</v>
      </c>
      <c r="D363" s="12" t="str">
        <f>VLOOKUP(B363,FVM_astainv!A:F,6,0)</f>
        <v>Roma</v>
      </c>
      <c r="E363" s="13" t="str">
        <f>VLOOKUP(B363,FVM_astainv!A:D,4,0)</f>
        <v>M;C</v>
      </c>
      <c r="F363" s="11" t="s">
        <v>45</v>
      </c>
      <c r="G363" s="14">
        <v>45474.0</v>
      </c>
      <c r="H363" s="144">
        <f t="shared" si="58"/>
        <v>45839</v>
      </c>
      <c r="I363" s="11" t="s">
        <v>71</v>
      </c>
      <c r="J363" s="16" t="str">
        <f>VLOOKUP(A363,Asteriscati25!B:N,13,0)</f>
        <v>#N/A</v>
      </c>
      <c r="K363" s="26">
        <v>0.2</v>
      </c>
      <c r="L363" s="19" t="str">
        <f t="shared" si="99"/>
        <v>#REF!</v>
      </c>
      <c r="M363" s="19">
        <f>VLOOKUP(B363,FVM_Asta2425!A:M,13,0)</f>
        <v>19</v>
      </c>
      <c r="N363" s="19" t="str">
        <f t="shared" si="6"/>
        <v>#REF!</v>
      </c>
      <c r="O363" s="20">
        <f>VLOOKUP(B363,'FVM_1luglio-31luglio25'!D:Q,14,0)</f>
        <v>32</v>
      </c>
      <c r="P363" s="20">
        <f t="shared" si="95"/>
        <v>32</v>
      </c>
      <c r="Q363" s="21">
        <f t="shared" si="102"/>
        <v>2</v>
      </c>
      <c r="R363" s="21">
        <f t="shared" si="97"/>
        <v>0.5</v>
      </c>
      <c r="S363" s="20"/>
      <c r="T363" s="11" t="s">
        <v>90</v>
      </c>
      <c r="U363" s="10"/>
    </row>
    <row r="364" ht="22.5" hidden="1" customHeight="1">
      <c r="A364" s="9">
        <f>VLOOKUP(B364,FVM_astainv!A:B,2,0)</f>
        <v>5578</v>
      </c>
      <c r="B364" s="25" t="s">
        <v>783</v>
      </c>
      <c r="C364" s="11" t="s">
        <v>90</v>
      </c>
      <c r="D364" s="12" t="str">
        <f>VLOOKUP(B364,FVM_astainv!A:F,6,0)</f>
        <v>Atalanta</v>
      </c>
      <c r="E364" s="13" t="str">
        <f>VLOOKUP(B364,FVM_astainv!A:D,4,0)</f>
        <v>Dd;Dc</v>
      </c>
      <c r="F364" s="11" t="s">
        <v>45</v>
      </c>
      <c r="G364" s="14">
        <v>45474.0</v>
      </c>
      <c r="H364" s="144">
        <f t="shared" si="58"/>
        <v>45839</v>
      </c>
      <c r="I364" s="11" t="s">
        <v>71</v>
      </c>
      <c r="J364" s="16" t="str">
        <f>VLOOKUP(A364,Asteriscati25!B:N,13,0)</f>
        <v>#N/A</v>
      </c>
      <c r="K364" s="26">
        <v>0.2</v>
      </c>
      <c r="L364" s="19" t="str">
        <f t="shared" si="99"/>
        <v>#REF!</v>
      </c>
      <c r="M364" s="19">
        <f>VLOOKUP(B364,FVM_Asta2425!A:M,13,0)</f>
        <v>26</v>
      </c>
      <c r="N364" s="19" t="str">
        <f t="shared" si="6"/>
        <v>#REF!</v>
      </c>
      <c r="O364" s="20">
        <f>VLOOKUP(B364,'FVM_1luglio-31luglio25'!D:Q,14,0)</f>
        <v>19</v>
      </c>
      <c r="P364" s="20">
        <f t="shared" si="95"/>
        <v>19</v>
      </c>
      <c r="Q364" s="21">
        <f t="shared" si="102"/>
        <v>3</v>
      </c>
      <c r="R364" s="21">
        <f t="shared" si="97"/>
        <v>1</v>
      </c>
      <c r="S364" s="20"/>
      <c r="T364" s="11" t="s">
        <v>90</v>
      </c>
      <c r="U364" s="10"/>
    </row>
    <row r="365" ht="22.5" hidden="1" customHeight="1">
      <c r="A365" s="9">
        <f>VLOOKUP(B365,FVM_astainv!A:B,2,0)</f>
        <v>4777</v>
      </c>
      <c r="B365" s="43" t="s">
        <v>405</v>
      </c>
      <c r="C365" s="112" t="s">
        <v>90</v>
      </c>
      <c r="D365" s="12" t="str">
        <f>VLOOKUP(B365,FVM_astainv!A:F,6,0)</f>
        <v>Napoli</v>
      </c>
      <c r="E365" s="13" t="str">
        <f>VLOOKUP(B365,FVM_astainv!A:D,4,0)</f>
        <v>M;C</v>
      </c>
      <c r="F365" s="65" t="s">
        <v>59</v>
      </c>
      <c r="G365" s="15">
        <v>45474.0</v>
      </c>
      <c r="H365" s="15">
        <f t="shared" si="58"/>
        <v>46569</v>
      </c>
      <c r="I365" s="33" t="s">
        <v>126</v>
      </c>
      <c r="J365" s="34" t="str">
        <f>VLOOKUP(A365,Asteriscati25!B:N,13,0)</f>
        <v>#N/A</v>
      </c>
      <c r="K365" s="64">
        <v>0.4</v>
      </c>
      <c r="L365" s="47" t="str">
        <f t="shared" si="99"/>
        <v>#REF!</v>
      </c>
      <c r="M365" s="47">
        <f>VLOOKUP(B365,FVM_Asta2425!A:M,13,0)</f>
        <v>70</v>
      </c>
      <c r="N365" s="19" t="str">
        <f t="shared" si="6"/>
        <v>#REF!</v>
      </c>
      <c r="O365" s="20">
        <f>VLOOKUP(B365,'FVM_1luglio-31luglio25'!D:Q,14,0)</f>
        <v>137</v>
      </c>
      <c r="P365" s="36">
        <f t="shared" si="95"/>
        <v>137</v>
      </c>
      <c r="Q365" s="119">
        <f t="shared" si="102"/>
        <v>8.5</v>
      </c>
      <c r="R365" s="119">
        <f t="shared" si="97"/>
        <v>3.5</v>
      </c>
      <c r="S365" s="37"/>
      <c r="T365" s="114" t="s">
        <v>148</v>
      </c>
      <c r="U365" s="115"/>
    </row>
    <row r="366" ht="22.5" hidden="1" customHeight="1">
      <c r="A366" s="9">
        <f>VLOOKUP(B366,FVM_astainv!A:B,2,0)</f>
        <v>4957</v>
      </c>
      <c r="B366" s="138" t="s">
        <v>735</v>
      </c>
      <c r="C366" s="88" t="s">
        <v>90</v>
      </c>
      <c r="D366" s="12" t="str">
        <f>VLOOKUP(B366,FVM_astainv!A:F,6,0)</f>
        <v>Verona</v>
      </c>
      <c r="E366" s="13" t="str">
        <f>VLOOKUP(B366,FVM_astainv!A:D,4,0)</f>
        <v>Por</v>
      </c>
      <c r="F366" s="88" t="s">
        <v>141</v>
      </c>
      <c r="G366" s="150">
        <v>45689.0</v>
      </c>
      <c r="H366" s="151">
        <f t="shared" si="58"/>
        <v>46235</v>
      </c>
      <c r="I366" s="88" t="s">
        <v>93</v>
      </c>
      <c r="J366" s="92" t="str">
        <f>VLOOKUP(A366,Asteriscati25!B:N,13,0)</f>
        <v>#N/A</v>
      </c>
      <c r="K366" s="152">
        <v>0.0</v>
      </c>
      <c r="L366" s="186">
        <v>11.0</v>
      </c>
      <c r="M366" s="94">
        <f>VLOOKUP(B366,FVM_astainv!A:N,14,0)</f>
        <v>11</v>
      </c>
      <c r="N366" s="19" t="str">
        <f t="shared" si="6"/>
        <v>#REF!</v>
      </c>
      <c r="O366" s="20">
        <f>VLOOKUP(B366,'FVM_1luglio-31luglio25'!D:Q,14,0)</f>
        <v>22</v>
      </c>
      <c r="P366" s="20">
        <f t="shared" si="95"/>
        <v>22</v>
      </c>
      <c r="Q366" s="95">
        <f>IF(OR(F366="Standard",F366="Standard Inverno"),CEILING((M366/10),0.5),
IF(OR(F366="Diritto 1+1",F366="Inverno Diritto 0,5 + 1"),CEILING((M366/10)*1.3,0.5),
CEILING((M366/10)*1.15,0.5)))</f>
        <v>1.5</v>
      </c>
      <c r="R366" s="95">
        <f t="shared" si="97"/>
        <v>1</v>
      </c>
      <c r="S366" s="59"/>
      <c r="T366" s="96"/>
      <c r="U366" s="97"/>
    </row>
    <row r="367" ht="22.5" hidden="1" customHeight="1">
      <c r="A367" s="9">
        <f>VLOOKUP(B367,FVM_astainv!A:B,2,0)</f>
        <v>4317</v>
      </c>
      <c r="B367" s="43" t="s">
        <v>756</v>
      </c>
      <c r="C367" s="198" t="s">
        <v>90</v>
      </c>
      <c r="D367" s="12" t="str">
        <f>VLOOKUP(B367,FVM_astainv!A:F,6,0)</f>
        <v>Roma</v>
      </c>
      <c r="E367" s="13" t="str">
        <f>VLOOKUP(B367,FVM_astainv!A:D,4,0)</f>
        <v>Dc</v>
      </c>
      <c r="F367" s="45" t="s">
        <v>45</v>
      </c>
      <c r="G367" s="15">
        <v>45474.0</v>
      </c>
      <c r="H367" s="146">
        <f t="shared" si="58"/>
        <v>45839</v>
      </c>
      <c r="I367" s="33" t="s">
        <v>126</v>
      </c>
      <c r="J367" s="34" t="str">
        <f>VLOOKUP(A367,Asteriscati25!B:N,13,0)</f>
        <v>#N/A</v>
      </c>
      <c r="K367" s="64">
        <v>0.4</v>
      </c>
      <c r="L367" s="47" t="str">
        <f t="shared" ref="L367:L391" si="103">VLOOKUP(B367,Rose!B:D,3,0)</f>
        <v>#REF!</v>
      </c>
      <c r="M367" s="47">
        <f>VLOOKUP(B367,FVM_Asta2425!A:M,13,0)</f>
        <v>20</v>
      </c>
      <c r="N367" s="19" t="str">
        <f t="shared" si="6"/>
        <v>#REF!</v>
      </c>
      <c r="O367" s="20">
        <f>VLOOKUP(B367,'FVM_1luglio-31luglio25'!D:Q,14,0)</f>
        <v>22</v>
      </c>
      <c r="P367" s="36">
        <f t="shared" si="95"/>
        <v>22</v>
      </c>
      <c r="Q367" s="119">
        <f t="shared" ref="Q367:Q370" si="104">IF(F367="Standard",CEILING((M367/10),0.5),
IF(OR(F367="Diritto 1+1",M367="Inverno Diritto 0,5 + 1"),CEILING((M367/10)*1.3,0.5),
CEILING((M367/10)*1.15,0.5)))</f>
        <v>2</v>
      </c>
      <c r="R367" s="119">
        <f t="shared" si="97"/>
        <v>1</v>
      </c>
      <c r="S367" s="37"/>
      <c r="T367" s="114" t="s">
        <v>235</v>
      </c>
      <c r="U367" s="115"/>
    </row>
    <row r="368" ht="22.5" hidden="1" customHeight="1">
      <c r="A368" s="9">
        <f>VLOOKUP(B368,FVM_astainv!A:B,2,0)</f>
        <v>6462</v>
      </c>
      <c r="B368" s="25" t="s">
        <v>864</v>
      </c>
      <c r="C368" s="11" t="s">
        <v>90</v>
      </c>
      <c r="D368" s="12" t="str">
        <f>VLOOKUP(B368,FVM_astainv!A:F,6,0)</f>
        <v>Udinese</v>
      </c>
      <c r="E368" s="13" t="str">
        <f>VLOOKUP(B368,FVM_astainv!A:D,4,0)</f>
        <v>Por</v>
      </c>
      <c r="F368" s="11" t="s">
        <v>45</v>
      </c>
      <c r="G368" s="14">
        <v>45474.0</v>
      </c>
      <c r="H368" s="144">
        <f t="shared" si="58"/>
        <v>45839</v>
      </c>
      <c r="I368" s="11" t="s">
        <v>46</v>
      </c>
      <c r="J368" s="16" t="str">
        <f>VLOOKUP(A368,Asteriscati25!B:N,13,0)</f>
        <v>#N/A</v>
      </c>
      <c r="K368" s="26">
        <v>0.0</v>
      </c>
      <c r="L368" s="19" t="str">
        <f t="shared" si="103"/>
        <v>#REF!</v>
      </c>
      <c r="M368" s="19">
        <f>VLOOKUP(B368,FVM_Asta2425!A:M,13,0)</f>
        <v>31</v>
      </c>
      <c r="N368" s="19" t="str">
        <f t="shared" si="6"/>
        <v>#REF!</v>
      </c>
      <c r="O368" s="20">
        <f>VLOOKUP(B368,'FVM_1luglio-31luglio25'!D:Q,14,0)</f>
        <v>23</v>
      </c>
      <c r="P368" s="20">
        <f t="shared" si="95"/>
        <v>23</v>
      </c>
      <c r="Q368" s="21">
        <f t="shared" si="104"/>
        <v>3.5</v>
      </c>
      <c r="R368" s="21">
        <f t="shared" si="97"/>
        <v>2</v>
      </c>
      <c r="S368" s="20"/>
      <c r="T368" s="22"/>
      <c r="U368" s="23"/>
    </row>
    <row r="369" ht="22.5" hidden="1" customHeight="1">
      <c r="A369" s="9">
        <f>VLOOKUP(B369,FVM_astainv!A:B,2,0)</f>
        <v>5022</v>
      </c>
      <c r="B369" s="25" t="s">
        <v>410</v>
      </c>
      <c r="C369" s="11" t="s">
        <v>90</v>
      </c>
      <c r="D369" s="12" t="str">
        <f>VLOOKUP(B369,FVM_astainv!A:F,6,0)</f>
        <v>Milan</v>
      </c>
      <c r="E369" s="13" t="str">
        <f>VLOOKUP(B369,FVM_astainv!A:D,4,0)</f>
        <v>Dc</v>
      </c>
      <c r="F369" s="11" t="s">
        <v>59</v>
      </c>
      <c r="G369" s="14">
        <v>45474.0</v>
      </c>
      <c r="H369" s="144">
        <f t="shared" si="58"/>
        <v>46569</v>
      </c>
      <c r="I369" s="11" t="s">
        <v>48</v>
      </c>
      <c r="J369" s="16" t="str">
        <f>VLOOKUP(A369,Asteriscati25!B:N,13,0)</f>
        <v>#N/A</v>
      </c>
      <c r="K369" s="26">
        <v>0.0</v>
      </c>
      <c r="L369" s="19" t="str">
        <f t="shared" si="103"/>
        <v>#REF!</v>
      </c>
      <c r="M369" s="19">
        <f>VLOOKUP(B369,FVM_Asta2425!A:M,13,0)</f>
        <v>29</v>
      </c>
      <c r="N369" s="19" t="str">
        <f t="shared" si="6"/>
        <v>#REF!</v>
      </c>
      <c r="O369" s="20">
        <f>VLOOKUP(B369,'FVM_1luglio-31luglio25'!D:Q,14,0)</f>
        <v>21</v>
      </c>
      <c r="P369" s="20">
        <f t="shared" si="95"/>
        <v>21</v>
      </c>
      <c r="Q369" s="21">
        <f t="shared" si="104"/>
        <v>3.5</v>
      </c>
      <c r="R369" s="21">
        <f t="shared" si="97"/>
        <v>3.5</v>
      </c>
      <c r="S369" s="20"/>
      <c r="T369" s="22"/>
      <c r="U369" s="23"/>
    </row>
    <row r="370" ht="22.5" hidden="1" customHeight="1">
      <c r="A370" s="9">
        <f>VLOOKUP(B370,FVM_astainv!A:B,2,0)</f>
        <v>6481</v>
      </c>
      <c r="B370" s="25" t="s">
        <v>865</v>
      </c>
      <c r="C370" s="11" t="s">
        <v>90</v>
      </c>
      <c r="D370" s="12" t="str">
        <f>VLOOKUP(B370,FVM_astainv!A:F,6,0)</f>
        <v>Udinese</v>
      </c>
      <c r="E370" s="13" t="str">
        <f>VLOOKUP(B370,FVM_astainv!A:D,4,0)</f>
        <v>C</v>
      </c>
      <c r="F370" s="11" t="s">
        <v>45</v>
      </c>
      <c r="G370" s="14">
        <v>45474.0</v>
      </c>
      <c r="H370" s="144">
        <f t="shared" si="58"/>
        <v>45839</v>
      </c>
      <c r="I370" s="11" t="s">
        <v>48</v>
      </c>
      <c r="J370" s="16" t="str">
        <f>VLOOKUP(A370,Asteriscati25!B:N,13,0)</f>
        <v>#N/A</v>
      </c>
      <c r="K370" s="26">
        <v>0.0</v>
      </c>
      <c r="L370" s="19" t="str">
        <f t="shared" si="103"/>
        <v>#REF!</v>
      </c>
      <c r="M370" s="19">
        <f>VLOOKUP(B370,FVM_Asta2425!A:M,13,0)</f>
        <v>10</v>
      </c>
      <c r="N370" s="19" t="str">
        <f t="shared" si="6"/>
        <v>#REF!</v>
      </c>
      <c r="O370" s="20">
        <f>VLOOKUP(B370,'FVM_1luglio-31luglio25'!D:Q,14,0)</f>
        <v>12</v>
      </c>
      <c r="P370" s="20">
        <f t="shared" si="95"/>
        <v>12</v>
      </c>
      <c r="Q370" s="21">
        <f t="shared" si="104"/>
        <v>1</v>
      </c>
      <c r="R370" s="21">
        <f t="shared" si="97"/>
        <v>1</v>
      </c>
      <c r="S370" s="20"/>
      <c r="T370" s="22"/>
      <c r="U370" s="23"/>
    </row>
    <row r="371" ht="22.5" hidden="1" customHeight="1">
      <c r="A371" s="9">
        <f>VLOOKUP(B371,FVM_astainv!A:B,2,0)</f>
        <v>4220</v>
      </c>
      <c r="B371" s="25" t="s">
        <v>866</v>
      </c>
      <c r="C371" s="11" t="s">
        <v>90</v>
      </c>
      <c r="D371" s="12" t="str">
        <f>VLOOKUP(B371,FVM_astainv!A:F,6,0)</f>
        <v>Napoli</v>
      </c>
      <c r="E371" s="13" t="str">
        <f>VLOOKUP(B371,FVM_astainv!A:D,4,0)</f>
        <v>M;C</v>
      </c>
      <c r="F371" s="17" t="str">
        <f>VLOOKUP(B371,'situazione contratti estate 24'!A:I,9,0)</f>
        <v>Diritto 1+1</v>
      </c>
      <c r="G371" s="14">
        <v>45108.0</v>
      </c>
      <c r="H371" s="144">
        <f t="shared" si="58"/>
        <v>45839</v>
      </c>
      <c r="I371" s="11" t="s">
        <v>605</v>
      </c>
      <c r="J371" s="16" t="str">
        <f>VLOOKUP(A371,Asteriscati25!B:N,13,0)</f>
        <v>#N/A</v>
      </c>
      <c r="K371" s="26">
        <v>1.0</v>
      </c>
      <c r="L371" s="19" t="str">
        <f t="shared" si="103"/>
        <v>#REF!</v>
      </c>
      <c r="M371" s="19">
        <f>VLOOKUP(B371,FVM_Asta2324!C:M,11,0)</f>
        <v>40</v>
      </c>
      <c r="N371" s="19" t="str">
        <f t="shared" si="6"/>
        <v>#REF!</v>
      </c>
      <c r="O371" s="20">
        <f>VLOOKUP(B371,'FVM_1luglio-31luglio25'!D:Q,14,0)</f>
        <v>56</v>
      </c>
      <c r="P371" s="20">
        <f t="shared" si="95"/>
        <v>56</v>
      </c>
      <c r="Q371" s="21">
        <f>VLOOKUP(B371,'situazione contratti estate 24'!A:K,11,0)</f>
        <v>5.5</v>
      </c>
      <c r="R371" s="21" t="str">
        <f t="shared" si="97"/>
        <v/>
      </c>
      <c r="S371" s="20"/>
      <c r="T371" s="11" t="s">
        <v>235</v>
      </c>
      <c r="U371" s="10"/>
      <c r="V371" s="153"/>
      <c r="W371" s="153"/>
      <c r="X371" s="153"/>
      <c r="Y371" s="153"/>
      <c r="Z371" s="153"/>
      <c r="AA371" s="153"/>
      <c r="AB371" s="153"/>
      <c r="AC371" s="153"/>
      <c r="AD371" s="153"/>
      <c r="AE371" s="153"/>
      <c r="AF371" s="153"/>
      <c r="AG371" s="153"/>
      <c r="AH371" s="153"/>
      <c r="AI371" s="153"/>
      <c r="AJ371" s="153"/>
      <c r="AK371" s="153"/>
      <c r="AL371" s="153"/>
      <c r="AM371" s="153"/>
    </row>
    <row r="372" ht="22.5" hidden="1" customHeight="1">
      <c r="A372" s="9">
        <f>VLOOKUP(B372,FVM_astainv!A:B,2,0)</f>
        <v>4270</v>
      </c>
      <c r="B372" s="25" t="s">
        <v>867</v>
      </c>
      <c r="C372" s="11" t="s">
        <v>90</v>
      </c>
      <c r="D372" s="12" t="str">
        <f>VLOOKUP(B372,FVM_astainv!A:F,6,0)</f>
        <v>Atalanta</v>
      </c>
      <c r="E372" s="13" t="str">
        <f>VLOOKUP(B372,FVM_astainv!A:D,4,0)</f>
        <v>Por</v>
      </c>
      <c r="F372" s="17" t="str">
        <f>VLOOKUP(B372,'situazione contratti estate 24'!A:I,9,0)</f>
        <v>Obbligo 1+1</v>
      </c>
      <c r="G372" s="14">
        <v>45108.0</v>
      </c>
      <c r="H372" s="144">
        <f t="shared" si="58"/>
        <v>45839</v>
      </c>
      <c r="I372" s="11" t="s">
        <v>605</v>
      </c>
      <c r="J372" s="16" t="str">
        <f>VLOOKUP(A372,Asteriscati25!B:N,13,0)</f>
        <v>#N/A</v>
      </c>
      <c r="K372" s="26">
        <v>1.0</v>
      </c>
      <c r="L372" s="19" t="str">
        <f t="shared" si="103"/>
        <v>#REF!</v>
      </c>
      <c r="M372" s="19">
        <f>VLOOKUP(B372,FVM_Asta2324!C:M,11,0)</f>
        <v>47</v>
      </c>
      <c r="N372" s="19" t="str">
        <f t="shared" si="6"/>
        <v>#REF!</v>
      </c>
      <c r="O372" s="20">
        <f>VLOOKUP(B372,'FVM_1luglio-31luglio25'!D:Q,14,0)</f>
        <v>1</v>
      </c>
      <c r="P372" s="20">
        <f t="shared" si="95"/>
        <v>1</v>
      </c>
      <c r="Q372" s="21">
        <f>VLOOKUP(B372,'situazione contratti estate 24'!A:K,11,0)</f>
        <v>5.5</v>
      </c>
      <c r="R372" s="21" t="str">
        <f t="shared" si="97"/>
        <v/>
      </c>
      <c r="S372" s="20"/>
      <c r="T372" s="22"/>
      <c r="U372" s="23"/>
    </row>
    <row r="373" ht="22.5" hidden="1" customHeight="1">
      <c r="A373" s="9">
        <f>VLOOKUP(B373,FVM_astainv!A:B,2,0)</f>
        <v>460</v>
      </c>
      <c r="B373" s="25" t="s">
        <v>868</v>
      </c>
      <c r="C373" s="11" t="s">
        <v>90</v>
      </c>
      <c r="D373" s="12" t="str">
        <f>VLOOKUP(B373,FVM_astainv!A:F,6,0)</f>
        <v>Lazio</v>
      </c>
      <c r="E373" s="13" t="str">
        <f>VLOOKUP(B373,FVM_astainv!A:D,4,0)</f>
        <v>Dc</v>
      </c>
      <c r="F373" s="17" t="str">
        <f>VLOOKUP(B373,'situazione contratti estate 24'!A:I,9,0)</f>
        <v>Diritto 1+1</v>
      </c>
      <c r="G373" s="14">
        <v>45108.0</v>
      </c>
      <c r="H373" s="144">
        <f t="shared" si="58"/>
        <v>45839</v>
      </c>
      <c r="I373" s="11" t="s">
        <v>605</v>
      </c>
      <c r="J373" s="16" t="str">
        <f>VLOOKUP(A373,Asteriscati25!B:N,13,0)</f>
        <v>#N/A</v>
      </c>
      <c r="K373" s="26">
        <v>0.0</v>
      </c>
      <c r="L373" s="19" t="str">
        <f t="shared" si="103"/>
        <v>#REF!</v>
      </c>
      <c r="M373" s="19">
        <f>VLOOKUP(B373,FVM_Asta2324!C:M,11,0)</f>
        <v>36</v>
      </c>
      <c r="N373" s="19" t="str">
        <f t="shared" si="6"/>
        <v>#REF!</v>
      </c>
      <c r="O373" s="20">
        <f>VLOOKUP(B373,'FVM_1luglio-31luglio25'!D:Q,14,0)</f>
        <v>25</v>
      </c>
      <c r="P373" s="20">
        <f t="shared" si="95"/>
        <v>25</v>
      </c>
      <c r="Q373" s="21">
        <f>VLOOKUP(B373,'situazione contratti estate 24'!A:K,11,0)</f>
        <v>5</v>
      </c>
      <c r="R373" s="21" t="str">
        <f t="shared" si="97"/>
        <v/>
      </c>
      <c r="S373" s="20"/>
      <c r="T373" s="22"/>
      <c r="U373" s="23"/>
    </row>
    <row r="374" ht="22.5" hidden="1" customHeight="1">
      <c r="A374" s="9">
        <f>VLOOKUP(B374,FVM_astainv!A:B,2,0)</f>
        <v>5858</v>
      </c>
      <c r="B374" s="25" t="s">
        <v>757</v>
      </c>
      <c r="C374" s="11" t="s">
        <v>90</v>
      </c>
      <c r="D374" s="12" t="str">
        <f>VLOOKUP(B374,FVM_astainv!A:F,6,0)</f>
        <v>Bologna</v>
      </c>
      <c r="E374" s="13" t="str">
        <f>VLOOKUP(B374,FVM_astainv!A:D,4,0)</f>
        <v>C;T</v>
      </c>
      <c r="F374" s="17" t="str">
        <f>VLOOKUP(B374,'situazione contratti estate 24'!A:I,9,0)</f>
        <v>Obbligo 1+1</v>
      </c>
      <c r="G374" s="14">
        <v>45108.0</v>
      </c>
      <c r="H374" s="144">
        <f t="shared" si="58"/>
        <v>45839</v>
      </c>
      <c r="I374" s="11" t="s">
        <v>605</v>
      </c>
      <c r="J374" s="16" t="str">
        <f>VLOOKUP(A374,Asteriscati25!B:N,13,0)</f>
        <v>#N/A</v>
      </c>
      <c r="K374" s="26">
        <v>0.2</v>
      </c>
      <c r="L374" s="19" t="str">
        <f t="shared" si="103"/>
        <v>#REF!</v>
      </c>
      <c r="M374" s="19">
        <f>VLOOKUP(B374,FVM_Asta2324!C:M,11,0)</f>
        <v>74</v>
      </c>
      <c r="N374" s="19" t="str">
        <f t="shared" si="6"/>
        <v>#REF!</v>
      </c>
      <c r="O374" s="20">
        <f>VLOOKUP(B374,'FVM_1luglio-31luglio25'!D:Q,14,0)</f>
        <v>29</v>
      </c>
      <c r="P374" s="20">
        <f t="shared" si="95"/>
        <v>29</v>
      </c>
      <c r="Q374" s="21">
        <f>VLOOKUP(B374,'situazione contratti estate 24'!A:K,11,0)</f>
        <v>9</v>
      </c>
      <c r="R374" s="21" t="str">
        <f t="shared" si="97"/>
        <v/>
      </c>
      <c r="S374" s="20"/>
      <c r="T374" s="11" t="s">
        <v>90</v>
      </c>
      <c r="U374" s="10"/>
    </row>
    <row r="375" ht="22.5" hidden="1" customHeight="1">
      <c r="A375" s="9">
        <f>VLOOKUP(B375,FVM_astainv!A:B,2,0)</f>
        <v>788</v>
      </c>
      <c r="B375" s="25" t="s">
        <v>821</v>
      </c>
      <c r="C375" s="11" t="s">
        <v>90</v>
      </c>
      <c r="D375" s="12" t="str">
        <f>VLOOKUP(B375,FVM_astainv!A:F,6,0)</f>
        <v>Bologna</v>
      </c>
      <c r="E375" s="13" t="str">
        <f>VLOOKUP(B375,FVM_astainv!A:D,4,0)</f>
        <v>M;C</v>
      </c>
      <c r="F375" s="17" t="str">
        <f>VLOOKUP(B375,'situazione contratti estate 24'!A:I,9,0)</f>
        <v>Obbligo 1+1</v>
      </c>
      <c r="G375" s="14">
        <v>45108.0</v>
      </c>
      <c r="H375" s="144">
        <f t="shared" si="58"/>
        <v>45839</v>
      </c>
      <c r="I375" s="11" t="s">
        <v>605</v>
      </c>
      <c r="J375" s="16" t="str">
        <f>VLOOKUP(A375,Asteriscati25!B:N,13,0)</f>
        <v>#N/A</v>
      </c>
      <c r="K375" s="26">
        <v>0.4</v>
      </c>
      <c r="L375" s="19" t="str">
        <f t="shared" si="103"/>
        <v>#REF!</v>
      </c>
      <c r="M375" s="19">
        <f>VLOOKUP(B375,FVM_Asta2324!C:M,11,0)</f>
        <v>16</v>
      </c>
      <c r="N375" s="19" t="str">
        <f t="shared" si="6"/>
        <v>#REF!</v>
      </c>
      <c r="O375" s="20">
        <f>VLOOKUP(B375,'FVM_1luglio-31luglio25'!D:Q,14,0)</f>
        <v>28</v>
      </c>
      <c r="P375" s="20">
        <f t="shared" si="95"/>
        <v>28</v>
      </c>
      <c r="Q375" s="21">
        <f>VLOOKUP(B375,'situazione contratti estate 24'!A:K,11,0)</f>
        <v>2</v>
      </c>
      <c r="R375" s="21" t="str">
        <f t="shared" si="97"/>
        <v/>
      </c>
      <c r="S375" s="20"/>
      <c r="T375" s="11" t="s">
        <v>90</v>
      </c>
      <c r="U375" s="23"/>
    </row>
    <row r="376" ht="22.5" hidden="1" customHeight="1">
      <c r="A376" s="9">
        <f>VLOOKUP(B376,FVM_astainv!A:B,2,0)</f>
        <v>4371</v>
      </c>
      <c r="B376" s="25" t="s">
        <v>423</v>
      </c>
      <c r="C376" s="11" t="s">
        <v>90</v>
      </c>
      <c r="D376" s="12" t="str">
        <f>VLOOKUP(B376,FVM_astainv!A:F,6,0)</f>
        <v>Napoli</v>
      </c>
      <c r="E376" s="13" t="str">
        <f>VLOOKUP(B376,FVM_astainv!A:D,4,0)</f>
        <v>A</v>
      </c>
      <c r="F376" s="17" t="str">
        <f>VLOOKUP(B376,'situazione contratti estate 24'!A:I,9,0)</f>
        <v>Obbligo 1+1</v>
      </c>
      <c r="G376" s="14">
        <v>45108.0</v>
      </c>
      <c r="H376" s="144">
        <f t="shared" si="58"/>
        <v>45839</v>
      </c>
      <c r="I376" s="11" t="s">
        <v>605</v>
      </c>
      <c r="J376" s="16" t="str">
        <f>VLOOKUP(A376,Asteriscati25!B:N,13,0)</f>
        <v>#N/A</v>
      </c>
      <c r="K376" s="26">
        <v>0.0</v>
      </c>
      <c r="L376" s="19" t="str">
        <f t="shared" si="103"/>
        <v>#REF!</v>
      </c>
      <c r="M376" s="19">
        <f>VLOOKUP(B376,FVM_Asta2324!C:M,11,0)</f>
        <v>37</v>
      </c>
      <c r="N376" s="19" t="str">
        <f t="shared" si="6"/>
        <v>#REF!</v>
      </c>
      <c r="O376" s="20">
        <f>VLOOKUP(B376,'FVM_1luglio-31luglio25'!D:Q,14,0)</f>
        <v>33</v>
      </c>
      <c r="P376" s="20">
        <f t="shared" si="95"/>
        <v>33</v>
      </c>
      <c r="Q376" s="21">
        <f>VLOOKUP(B376,'situazione contratti estate 24'!A:K,11,0)</f>
        <v>4.5</v>
      </c>
      <c r="R376" s="21" t="str">
        <f t="shared" si="97"/>
        <v/>
      </c>
      <c r="S376" s="20"/>
      <c r="T376" s="22"/>
      <c r="U376" s="23"/>
    </row>
    <row r="377" ht="22.5" hidden="1" customHeight="1">
      <c r="A377" s="9">
        <f>VLOOKUP(B377,FVM_astainv!A:B,2,0)</f>
        <v>4923</v>
      </c>
      <c r="B377" s="25" t="s">
        <v>758</v>
      </c>
      <c r="C377" s="11" t="s">
        <v>90</v>
      </c>
      <c r="D377" s="12" t="str">
        <f>VLOOKUP(B377,FVM_astainv!A:F,6,0)</f>
        <v>Empoli</v>
      </c>
      <c r="E377" s="13" t="str">
        <f>VLOOKUP(B377,FVM_astainv!A:D,4,0)</f>
        <v>Pc</v>
      </c>
      <c r="F377" s="17" t="str">
        <f>VLOOKUP(B377,'situazione contratti estate 24'!A:I,9,0)</f>
        <v>Obbligo 1+1</v>
      </c>
      <c r="G377" s="14">
        <v>45108.0</v>
      </c>
      <c r="H377" s="144">
        <f t="shared" si="58"/>
        <v>45839</v>
      </c>
      <c r="I377" s="11" t="s">
        <v>605</v>
      </c>
      <c r="J377" s="16" t="str">
        <f>VLOOKUP(A377,Asteriscati25!B:N,13,0)</f>
        <v>#N/A</v>
      </c>
      <c r="K377" s="26">
        <v>0.6</v>
      </c>
      <c r="L377" s="19" t="str">
        <f t="shared" si="103"/>
        <v>#REF!</v>
      </c>
      <c r="M377" s="19">
        <f>VLOOKUP(B377,FVM_Asta2324!C:M,11,0)</f>
        <v>33</v>
      </c>
      <c r="N377" s="19" t="str">
        <f t="shared" si="6"/>
        <v>#REF!</v>
      </c>
      <c r="O377" s="20">
        <f>VLOOKUP(B377,'FVM_1luglio-31luglio25'!D:Q,14,0)</f>
        <v>30</v>
      </c>
      <c r="P377" s="20">
        <f t="shared" si="95"/>
        <v>30</v>
      </c>
      <c r="Q377" s="21">
        <f>VLOOKUP(B377,'situazione contratti estate 24'!A:K,11,0)</f>
        <v>4</v>
      </c>
      <c r="R377" s="21" t="str">
        <f t="shared" si="97"/>
        <v/>
      </c>
      <c r="S377" s="20"/>
      <c r="T377" s="22"/>
      <c r="U377" s="23"/>
    </row>
    <row r="378" ht="22.5" hidden="1" customHeight="1">
      <c r="A378" s="9">
        <f>VLOOKUP(B378,FVM_astainv!A:B,2,0)</f>
        <v>2841</v>
      </c>
      <c r="B378" s="25" t="s">
        <v>282</v>
      </c>
      <c r="C378" s="11" t="s">
        <v>90</v>
      </c>
      <c r="D378" s="12" t="str">
        <f>VLOOKUP(B378,FVM_astainv!A:F,6,0)</f>
        <v>Juventus</v>
      </c>
      <c r="E378" s="13" t="str">
        <f>VLOOKUP(B378,FVM_astainv!A:D,4,0)</f>
        <v>Pc</v>
      </c>
      <c r="F378" s="17" t="str">
        <f>VLOOKUP(B378,'situazione contratti estate 24'!A:I,9,0)</f>
        <v>Obbligo 1+1</v>
      </c>
      <c r="G378" s="14">
        <v>45108.0</v>
      </c>
      <c r="H378" s="144">
        <f t="shared" si="58"/>
        <v>45839</v>
      </c>
      <c r="I378" s="11" t="s">
        <v>605</v>
      </c>
      <c r="J378" s="16" t="str">
        <f>VLOOKUP(A378,Asteriscati25!B:N,13,0)</f>
        <v>#N/A</v>
      </c>
      <c r="K378" s="26">
        <v>0.6</v>
      </c>
      <c r="L378" s="19" t="str">
        <f t="shared" si="103"/>
        <v>#REF!</v>
      </c>
      <c r="M378" s="19">
        <f>VLOOKUP(B378,FVM_Asta2324!C:M,11,0)</f>
        <v>342</v>
      </c>
      <c r="N378" s="19" t="str">
        <f t="shared" si="6"/>
        <v>#REF!</v>
      </c>
      <c r="O378" s="20">
        <f>VLOOKUP(B378,'FVM_1luglio-31luglio25'!D:Q,14,0)</f>
        <v>261</v>
      </c>
      <c r="P378" s="20">
        <f t="shared" si="95"/>
        <v>261</v>
      </c>
      <c r="Q378" s="21">
        <f>VLOOKUP(B378,'situazione contratti estate 24'!A:K,11,0)</f>
        <v>39.5</v>
      </c>
      <c r="R378" s="21" t="str">
        <f t="shared" si="97"/>
        <v/>
      </c>
      <c r="S378" s="20"/>
      <c r="T378" s="22"/>
      <c r="U378" s="23"/>
    </row>
    <row r="379" ht="22.5" hidden="1" customHeight="1">
      <c r="A379" s="9">
        <f>VLOOKUP(B379,FVM_astainv!A:B,2,0)</f>
        <v>5620</v>
      </c>
      <c r="B379" s="138" t="s">
        <v>177</v>
      </c>
      <c r="C379" s="88" t="s">
        <v>90</v>
      </c>
      <c r="D379" s="12" t="str">
        <f>VLOOKUP(B379,FVM_astainv!A:F,6,0)</f>
        <v>Lazio</v>
      </c>
      <c r="E379" s="13" t="str">
        <f>VLOOKUP(B379,FVM_astainv!A:D,4,0)</f>
        <v>Ds;E</v>
      </c>
      <c r="F379" s="88" t="s">
        <v>55</v>
      </c>
      <c r="G379" s="150">
        <v>45474.0</v>
      </c>
      <c r="H379" s="155">
        <f t="shared" si="58"/>
        <v>46204</v>
      </c>
      <c r="I379" s="88" t="s">
        <v>122</v>
      </c>
      <c r="J379" s="92" t="str">
        <f>VLOOKUP(A379,Asteriscati25!B:N,13,0)</f>
        <v>#N/A</v>
      </c>
      <c r="K379" s="152">
        <v>0.2</v>
      </c>
      <c r="L379" s="94" t="str">
        <f t="shared" si="103"/>
        <v>#REF!</v>
      </c>
      <c r="M379" s="94">
        <f>VLOOKUP(B379,FVM_Asta2425!A:M,13,0)</f>
        <v>10</v>
      </c>
      <c r="N379" s="19" t="str">
        <f t="shared" si="6"/>
        <v>#REF!</v>
      </c>
      <c r="O379" s="20">
        <f>VLOOKUP(B379,'FVM_1luglio-31luglio25'!D:Q,14,0)</f>
        <v>21</v>
      </c>
      <c r="P379" s="20">
        <f t="shared" si="95"/>
        <v>21</v>
      </c>
      <c r="Q379" s="95">
        <f t="shared" ref="Q379:Q384" si="105">IF(F379="Standard",CEILING((M379/10),0.5),
IF(OR(F379="Diritto 1+1",M379="Inverno Diritto 0,5 + 1"),CEILING((M379/10)*1.3,0.5),
CEILING((M379/10)*1.15,0.5)))</f>
        <v>1.5</v>
      </c>
      <c r="R379" s="95">
        <f t="shared" si="97"/>
        <v>0.5</v>
      </c>
      <c r="S379" s="59"/>
      <c r="T379" s="88" t="s">
        <v>90</v>
      </c>
      <c r="U379" s="156"/>
    </row>
    <row r="380" ht="22.5" hidden="1" customHeight="1">
      <c r="A380" s="9">
        <f>VLOOKUP(B380,FVM_astainv!A:B,2,0)</f>
        <v>6042</v>
      </c>
      <c r="B380" s="87" t="s">
        <v>813</v>
      </c>
      <c r="C380" s="88" t="s">
        <v>90</v>
      </c>
      <c r="D380" s="12" t="str">
        <f>VLOOKUP(B380,FVM_astainv!A:F,6,0)</f>
        <v>Bologna</v>
      </c>
      <c r="E380" s="13" t="str">
        <f>VLOOKUP(B380,FVM_astainv!A:D,4,0)</f>
        <v>Dc</v>
      </c>
      <c r="F380" s="88" t="s">
        <v>45</v>
      </c>
      <c r="G380" s="150">
        <v>45474.0</v>
      </c>
      <c r="H380" s="151">
        <f t="shared" si="58"/>
        <v>45839</v>
      </c>
      <c r="I380" s="88" t="s">
        <v>89</v>
      </c>
      <c r="J380" s="92" t="str">
        <f>VLOOKUP(A380,Asteriscati25!B:N,13,0)</f>
        <v>#N/A</v>
      </c>
      <c r="K380" s="152">
        <v>0.6</v>
      </c>
      <c r="L380" s="94" t="str">
        <f t="shared" si="103"/>
        <v>#REF!</v>
      </c>
      <c r="M380" s="94">
        <f>VLOOKUP(B380,FVM_Asta2425!A:M,13,0)</f>
        <v>14</v>
      </c>
      <c r="N380" s="19" t="str">
        <f t="shared" si="6"/>
        <v>#REF!</v>
      </c>
      <c r="O380" s="20">
        <f>VLOOKUP(B380,'FVM_1luglio-31luglio25'!D:Q,14,0)</f>
        <v>14</v>
      </c>
      <c r="P380" s="20">
        <f t="shared" si="95"/>
        <v>14</v>
      </c>
      <c r="Q380" s="95">
        <f t="shared" si="105"/>
        <v>1.5</v>
      </c>
      <c r="R380" s="95">
        <f t="shared" si="97"/>
        <v>1</v>
      </c>
      <c r="S380" s="59"/>
      <c r="T380" s="88" t="s">
        <v>172</v>
      </c>
      <c r="U380" s="97"/>
    </row>
    <row r="381" ht="22.5" hidden="1" customHeight="1">
      <c r="A381" s="9">
        <f>VLOOKUP(B381,FVM_astainv!A:B,2,0)</f>
        <v>4892</v>
      </c>
      <c r="B381" s="25" t="s">
        <v>869</v>
      </c>
      <c r="C381" s="11" t="s">
        <v>90</v>
      </c>
      <c r="D381" s="12" t="str">
        <f>VLOOKUP(B381,FVM_astainv!A:F,6,0)</f>
        <v>Roma</v>
      </c>
      <c r="E381" s="13" t="str">
        <f>VLOOKUP(B381,FVM_astainv!A:D,4,0)</f>
        <v>W</v>
      </c>
      <c r="F381" s="11" t="s">
        <v>45</v>
      </c>
      <c r="G381" s="14">
        <v>45474.0</v>
      </c>
      <c r="H381" s="144">
        <f t="shared" si="58"/>
        <v>45839</v>
      </c>
      <c r="I381" s="11" t="s">
        <v>48</v>
      </c>
      <c r="J381" s="16" t="str">
        <f>VLOOKUP(A381,Asteriscati25!B:N,13,0)</f>
        <v>#N/A</v>
      </c>
      <c r="K381" s="26">
        <v>0.0</v>
      </c>
      <c r="L381" s="19" t="str">
        <f t="shared" si="103"/>
        <v>#REF!</v>
      </c>
      <c r="M381" s="19">
        <f>VLOOKUP(B381,FVM_Asta2425!A:M,13,0)</f>
        <v>11</v>
      </c>
      <c r="N381" s="19" t="str">
        <f t="shared" si="6"/>
        <v>#REF!</v>
      </c>
      <c r="O381" s="20">
        <f>VLOOKUP(B381,'FVM_1luglio-31luglio25'!D:Q,14,0)</f>
        <v>37</v>
      </c>
      <c r="P381" s="20">
        <f t="shared" si="95"/>
        <v>37</v>
      </c>
      <c r="Q381" s="21">
        <f t="shared" si="105"/>
        <v>1.5</v>
      </c>
      <c r="R381" s="21">
        <f t="shared" si="97"/>
        <v>1.5</v>
      </c>
      <c r="S381" s="20"/>
      <c r="T381" s="22"/>
      <c r="U381" s="23"/>
    </row>
    <row r="382" ht="22.5" hidden="1" customHeight="1">
      <c r="A382" s="9" t="str">
        <f>VLOOKUP(B382,FVM_astainv!A:B,2,0)</f>
        <v>#N/A</v>
      </c>
      <c r="B382" s="25" t="s">
        <v>870</v>
      </c>
      <c r="C382" s="11" t="s">
        <v>90</v>
      </c>
      <c r="D382" s="12" t="str">
        <f>VLOOKUP(B382,FVM_astainv!A:F,6,0)</f>
        <v>#N/A</v>
      </c>
      <c r="E382" s="13" t="str">
        <f>VLOOKUP(B382,FVM_astainv!A:D,4,0)</f>
        <v>#N/A</v>
      </c>
      <c r="F382" s="11" t="s">
        <v>45</v>
      </c>
      <c r="G382" s="14">
        <v>45474.0</v>
      </c>
      <c r="H382" s="144">
        <f t="shared" si="58"/>
        <v>45839</v>
      </c>
      <c r="I382" s="11" t="s">
        <v>639</v>
      </c>
      <c r="J382" s="16" t="str">
        <f>VLOOKUP(A382,Asteriscati25!B:N,13,0)</f>
        <v>#N/A</v>
      </c>
      <c r="K382" s="26">
        <v>0.0</v>
      </c>
      <c r="L382" s="19" t="str">
        <f t="shared" si="103"/>
        <v>#REF!</v>
      </c>
      <c r="M382" s="19">
        <f>VLOOKUP(B382,FVM_Asta2425!A:M,13,0)</f>
        <v>3</v>
      </c>
      <c r="N382" s="19" t="str">
        <f t="shared" si="6"/>
        <v>#REF!</v>
      </c>
      <c r="O382" s="20" t="str">
        <f>VLOOKUP(B382,'FVM_1luglio-31luglio25'!D:Q,14,0)</f>
        <v>#N/A</v>
      </c>
      <c r="P382" s="9">
        <v>0.0</v>
      </c>
      <c r="Q382" s="21">
        <f t="shared" si="105"/>
        <v>0.5</v>
      </c>
      <c r="R382" s="21">
        <v>0.5</v>
      </c>
      <c r="S382" s="20"/>
      <c r="T382" s="22"/>
      <c r="U382" s="23"/>
    </row>
    <row r="383" ht="22.5" hidden="1" customHeight="1">
      <c r="A383" s="9" t="str">
        <f>VLOOKUP(B383,FVM_astainv!A:B,2,0)</f>
        <v>#N/A</v>
      </c>
      <c r="B383" s="25" t="s">
        <v>690</v>
      </c>
      <c r="C383" s="11" t="s">
        <v>90</v>
      </c>
      <c r="D383" s="12" t="str">
        <f>VLOOKUP(B383,FVM_astainv!A:F,6,0)</f>
        <v>#N/A</v>
      </c>
      <c r="E383" s="13" t="str">
        <f>VLOOKUP(B383,FVM_astainv!A:D,4,0)</f>
        <v>#N/A</v>
      </c>
      <c r="F383" s="11" t="s">
        <v>45</v>
      </c>
      <c r="G383" s="14">
        <v>45474.0</v>
      </c>
      <c r="H383" s="144">
        <f t="shared" si="58"/>
        <v>45839</v>
      </c>
      <c r="I383" s="11" t="s">
        <v>122</v>
      </c>
      <c r="J383" s="16" t="str">
        <f>VLOOKUP(A383,Asteriscati25!B:N,13,0)</f>
        <v>#N/A</v>
      </c>
      <c r="K383" s="26">
        <v>0.2</v>
      </c>
      <c r="L383" s="19" t="str">
        <f t="shared" si="103"/>
        <v>#REF!</v>
      </c>
      <c r="M383" s="19">
        <f>VLOOKUP(B383,FVM_Asta2425!A:M,13,0)</f>
        <v>14</v>
      </c>
      <c r="N383" s="19" t="str">
        <f t="shared" si="6"/>
        <v>#REF!</v>
      </c>
      <c r="O383" s="20" t="str">
        <f>VLOOKUP(B383,'FVM_1luglio-31luglio25'!D:Q,14,0)</f>
        <v>#N/A</v>
      </c>
      <c r="P383" s="9">
        <v>0.0</v>
      </c>
      <c r="Q383" s="21">
        <f t="shared" si="105"/>
        <v>1.5</v>
      </c>
      <c r="R383" s="21">
        <f t="shared" ref="R383:R426" si="106">IF(OR(I383="asta", I383="Svincolato riconferma anno corrente", I383="vivaio"), Q383,
IF(OR(I383="asta riparazione", I383="Svincolato obbligo anno precedente", I383="Svincolo pausa invernale"), MAX(0.5, CEILING(Q383 / 2, 0.5)),
IF(OR(I383="ceduto in prestito", I383="acquisito in prestito", I383="acquistato tit definitivo", I383="Ceduto tit definitivo"),CEILING(Q383 * K383, 0.5),
IF(I383="asteriscato", "inserire a mano", ""))))
</f>
        <v>0.5</v>
      </c>
      <c r="S383" s="20"/>
      <c r="T383" s="11" t="s">
        <v>90</v>
      </c>
      <c r="U383" s="10"/>
    </row>
    <row r="384" ht="22.5" hidden="1" customHeight="1">
      <c r="A384" s="9">
        <f>VLOOKUP(B384,FVM_astainv!A:B,2,0)</f>
        <v>4947</v>
      </c>
      <c r="B384" s="138" t="s">
        <v>139</v>
      </c>
      <c r="C384" s="88" t="s">
        <v>90</v>
      </c>
      <c r="D384" s="12" t="str">
        <f>VLOOKUP(B384,FVM_astainv!A:F,6,0)</f>
        <v>Atalanta</v>
      </c>
      <c r="E384" s="13" t="str">
        <f>VLOOKUP(B384,FVM_astainv!A:D,4,0)</f>
        <v>M;C</v>
      </c>
      <c r="F384" s="88" t="s">
        <v>45</v>
      </c>
      <c r="G384" s="154">
        <v>45474.0</v>
      </c>
      <c r="H384" s="155">
        <f t="shared" si="58"/>
        <v>45839</v>
      </c>
      <c r="I384" s="88" t="s">
        <v>122</v>
      </c>
      <c r="J384" s="92" t="str">
        <f>VLOOKUP(A384,Asteriscati25!B:N,13,0)</f>
        <v>#N/A</v>
      </c>
      <c r="K384" s="152">
        <v>0.6</v>
      </c>
      <c r="L384" s="94" t="str">
        <f t="shared" si="103"/>
        <v>#REF!</v>
      </c>
      <c r="M384" s="94">
        <f>VLOOKUP(B384,FVM_Asta2425!A:M,13,0)</f>
        <v>48</v>
      </c>
      <c r="N384" s="19" t="str">
        <f t="shared" si="6"/>
        <v>#REF!</v>
      </c>
      <c r="O384" s="20">
        <f>VLOOKUP(B384,'FVM_1luglio-31luglio25'!D:Q,14,0)</f>
        <v>36</v>
      </c>
      <c r="P384" s="20">
        <f t="shared" ref="P384:P387" si="107">IFERROR(N384,O384)</f>
        <v>36</v>
      </c>
      <c r="Q384" s="95">
        <f t="shared" si="105"/>
        <v>5</v>
      </c>
      <c r="R384" s="95">
        <f t="shared" si="106"/>
        <v>3</v>
      </c>
      <c r="S384" s="59"/>
      <c r="T384" s="96"/>
      <c r="U384" s="97"/>
    </row>
    <row r="385" ht="22.5" hidden="1" customHeight="1">
      <c r="A385" s="9">
        <f>VLOOKUP(B385,FVM_astainv!A:B,2,0)</f>
        <v>5119</v>
      </c>
      <c r="B385" s="43" t="s">
        <v>387</v>
      </c>
      <c r="C385" s="198" t="s">
        <v>90</v>
      </c>
      <c r="D385" s="12" t="str">
        <f>VLOOKUP(B385,FVM_astainv!A:F,6,0)</f>
        <v>Atalanta</v>
      </c>
      <c r="E385" s="13" t="str">
        <f>VLOOKUP(B385,FVM_astainv!A:D,4,0)</f>
        <v>T</v>
      </c>
      <c r="F385" s="113" t="str">
        <f>VLOOKUP(B385,'situazione contratti estate 24'!A:I,9,0)</f>
        <v>Diritto 1+1</v>
      </c>
      <c r="G385" s="66">
        <v>45108.0</v>
      </c>
      <c r="H385" s="146">
        <f t="shared" si="58"/>
        <v>45839</v>
      </c>
      <c r="I385" s="11" t="s">
        <v>605</v>
      </c>
      <c r="J385" s="16" t="str">
        <f>VLOOKUP(A385,Asteriscati25!B:N,13,0)</f>
        <v>#N/A</v>
      </c>
      <c r="K385" s="147">
        <v>0.4</v>
      </c>
      <c r="L385" s="47" t="str">
        <f t="shared" si="103"/>
        <v>#REF!</v>
      </c>
      <c r="M385" s="47">
        <f>VLOOKUP(B385,FVM_Asta2324!C:M,11,0)</f>
        <v>50</v>
      </c>
      <c r="N385" s="19" t="str">
        <f t="shared" si="6"/>
        <v>#REF!</v>
      </c>
      <c r="O385" s="20">
        <f>VLOOKUP(B385,'FVM_1luglio-31luglio25'!D:Q,14,0)</f>
        <v>28</v>
      </c>
      <c r="P385" s="36">
        <f t="shared" si="107"/>
        <v>28</v>
      </c>
      <c r="Q385" s="119">
        <f>VLOOKUP(B385,'situazione contratti estate 24'!A:K,11,0)</f>
        <v>6.5</v>
      </c>
      <c r="R385" s="119" t="str">
        <f t="shared" si="106"/>
        <v/>
      </c>
      <c r="S385" s="37"/>
      <c r="T385" s="113" t="s">
        <v>235</v>
      </c>
      <c r="U385" s="202"/>
    </row>
    <row r="386" ht="22.5" hidden="1" customHeight="1">
      <c r="A386" s="9">
        <f>VLOOKUP(B386,FVM_astainv!A:B,2,0)</f>
        <v>5878</v>
      </c>
      <c r="B386" s="43" t="s">
        <v>817</v>
      </c>
      <c r="C386" s="33" t="s">
        <v>90</v>
      </c>
      <c r="D386" s="12" t="str">
        <f>VLOOKUP(B386,FVM_astainv!A:F,6,0)</f>
        <v>Fiorentina</v>
      </c>
      <c r="E386" s="13" t="str">
        <f>VLOOKUP(B386,FVM_astainv!A:D,4,0)</f>
        <v>T</v>
      </c>
      <c r="F386" s="65" t="str">
        <f>VLOOKUP(B386,'situazione contratti estate 24'!A:I,9,0)</f>
        <v>Obbligo 1+2</v>
      </c>
      <c r="G386" s="66">
        <v>45108.0</v>
      </c>
      <c r="H386" s="15">
        <f t="shared" si="58"/>
        <v>46204</v>
      </c>
      <c r="I386" s="33" t="s">
        <v>605</v>
      </c>
      <c r="J386" s="34" t="str">
        <f>VLOOKUP(A386,Asteriscati25!B:N,13,0)</f>
        <v>#N/A</v>
      </c>
      <c r="K386" s="67">
        <v>0.4</v>
      </c>
      <c r="L386" s="47" t="str">
        <f t="shared" si="103"/>
        <v>#REF!</v>
      </c>
      <c r="M386" s="47">
        <f>VLOOKUP(B386,FVM_Asta2324!C:M,11,0)</f>
        <v>25</v>
      </c>
      <c r="N386" s="19" t="str">
        <f t="shared" si="6"/>
        <v>#REF!</v>
      </c>
      <c r="O386" s="20">
        <f>VLOOKUP(B386,'FVM_1luglio-31luglio25'!D:Q,14,0)</f>
        <v>47</v>
      </c>
      <c r="P386" s="36">
        <f t="shared" si="107"/>
        <v>47</v>
      </c>
      <c r="Q386" s="119">
        <f>VLOOKUP(B386,'situazione contratti estate 24'!A:K,11,0)</f>
        <v>3</v>
      </c>
      <c r="R386" s="119" t="str">
        <f t="shared" si="106"/>
        <v/>
      </c>
      <c r="S386" s="37"/>
      <c r="T386" s="114" t="s">
        <v>172</v>
      </c>
      <c r="U386" s="115"/>
    </row>
    <row r="387" ht="22.5" hidden="1" customHeight="1">
      <c r="A387" s="9">
        <f>VLOOKUP(B387,FVM_astainv!A:B,2,0)</f>
        <v>6895</v>
      </c>
      <c r="B387" s="25" t="s">
        <v>694</v>
      </c>
      <c r="C387" s="11" t="s">
        <v>90</v>
      </c>
      <c r="D387" s="12" t="str">
        <f>VLOOKUP(B387,FVM_astainv!A:F,6,0)</f>
        <v>Bologna</v>
      </c>
      <c r="E387" s="13" t="str">
        <f>VLOOKUP(B387,FVM_astainv!A:D,4,0)</f>
        <v>A</v>
      </c>
      <c r="F387" s="11" t="s">
        <v>45</v>
      </c>
      <c r="G387" s="14">
        <v>45474.0</v>
      </c>
      <c r="H387" s="144">
        <f t="shared" si="58"/>
        <v>45839</v>
      </c>
      <c r="I387" s="11" t="s">
        <v>122</v>
      </c>
      <c r="J387" s="16" t="str">
        <f>VLOOKUP(A387,Asteriscati25!B:N,13,0)</f>
        <v>#N/A</v>
      </c>
      <c r="K387" s="26">
        <v>0.6</v>
      </c>
      <c r="L387" s="19" t="str">
        <f t="shared" si="103"/>
        <v>#REF!</v>
      </c>
      <c r="M387" s="19">
        <f>VLOOKUP(B387,FVM_Asta2425!A:M,13,0)</f>
        <v>11</v>
      </c>
      <c r="N387" s="19" t="str">
        <f t="shared" si="6"/>
        <v>#REF!</v>
      </c>
      <c r="O387" s="20">
        <f>VLOOKUP(B387,'FVM_1luglio-31luglio25'!D:Q,14,0)</f>
        <v>13</v>
      </c>
      <c r="P387" s="20">
        <f t="shared" si="107"/>
        <v>13</v>
      </c>
      <c r="Q387" s="21">
        <f t="shared" ref="Q387:Q388" si="108">IF(F387="Standard",CEILING((M387/10),0.5),
IF(OR(F387="Diritto 1+1",M387="Inverno Diritto 0,5 + 1"),CEILING((M387/10)*1.3,0.5),
CEILING((M387/10)*1.15,0.5)))</f>
        <v>1.5</v>
      </c>
      <c r="R387" s="21">
        <f t="shared" si="106"/>
        <v>1</v>
      </c>
      <c r="S387" s="20"/>
      <c r="T387" s="22"/>
      <c r="U387" s="23"/>
    </row>
    <row r="388" ht="22.5" hidden="1" customHeight="1">
      <c r="A388" s="9">
        <f>VLOOKUP(B388,FVM_astainv!A:B,2,0)</f>
        <v>313</v>
      </c>
      <c r="B388" s="25" t="s">
        <v>704</v>
      </c>
      <c r="C388" s="11" t="s">
        <v>90</v>
      </c>
      <c r="D388" s="12" t="str">
        <f>VLOOKUP(B388,FVM_astainv!A:F,6,0)</f>
        <v>Milan</v>
      </c>
      <c r="E388" s="13" t="str">
        <f>VLOOKUP(B388,FVM_astainv!A:D,4,0)</f>
        <v>Pc</v>
      </c>
      <c r="F388" s="11" t="s">
        <v>45</v>
      </c>
      <c r="G388" s="14">
        <v>45474.0</v>
      </c>
      <c r="H388" s="144">
        <f t="shared" si="58"/>
        <v>45839</v>
      </c>
      <c r="I388" s="11" t="s">
        <v>122</v>
      </c>
      <c r="J388" s="16" t="str">
        <f>VLOOKUP(A388,Asteriscati25!B:N,13,0)</f>
        <v>#N/A</v>
      </c>
      <c r="K388" s="26">
        <v>0.2</v>
      </c>
      <c r="L388" s="19" t="str">
        <f t="shared" si="103"/>
        <v>#REF!</v>
      </c>
      <c r="M388" s="19">
        <f>VLOOKUP(B388,FVM_Asta2425!A:M,13,0)</f>
        <v>177</v>
      </c>
      <c r="N388" s="19" t="str">
        <f t="shared" si="6"/>
        <v>#REF!</v>
      </c>
      <c r="O388" s="20" t="str">
        <f>VLOOKUP(B388,'FVM_1luglio-31luglio25'!D:Q,14,0)</f>
        <v>#N/A</v>
      </c>
      <c r="P388" s="9">
        <v>0.0</v>
      </c>
      <c r="Q388" s="21">
        <f t="shared" si="108"/>
        <v>18</v>
      </c>
      <c r="R388" s="21">
        <f t="shared" si="106"/>
        <v>4</v>
      </c>
      <c r="S388" s="20"/>
      <c r="T388" s="11" t="s">
        <v>90</v>
      </c>
      <c r="U388" s="10"/>
    </row>
    <row r="389" ht="22.5" hidden="1" customHeight="1">
      <c r="A389" s="9">
        <f>VLOOKUP(B389,FVM_astainv!A:B,2,0)</f>
        <v>2531</v>
      </c>
      <c r="B389" s="163" t="s">
        <v>685</v>
      </c>
      <c r="C389" s="70" t="s">
        <v>90</v>
      </c>
      <c r="D389" s="12" t="str">
        <f>VLOOKUP(B389,FVM_astainv!A:F,6,0)</f>
        <v>Napoli</v>
      </c>
      <c r="E389" s="13" t="str">
        <f>VLOOKUP(B389,FVM_astainv!A:D,4,0)</f>
        <v>Pc</v>
      </c>
      <c r="F389" s="72" t="str">
        <f>VLOOKUP(B389,'situazione contratti estate 24'!A:I,9,0)</f>
        <v>Diritto 1+1</v>
      </c>
      <c r="G389" s="85">
        <v>45108.0</v>
      </c>
      <c r="H389" s="151">
        <f t="shared" si="58"/>
        <v>45839</v>
      </c>
      <c r="I389" s="70" t="s">
        <v>605</v>
      </c>
      <c r="J389" s="71" t="str">
        <f>VLOOKUP(A389,Asteriscati25!B:N,13,0)</f>
        <v>#N/A</v>
      </c>
      <c r="K389" s="194">
        <v>0.8</v>
      </c>
      <c r="L389" s="166" t="str">
        <f t="shared" si="103"/>
        <v>#REF!</v>
      </c>
      <c r="M389" s="166">
        <f>VLOOKUP(B389,FVM_Asta2324!C:M,11,0)</f>
        <v>303</v>
      </c>
      <c r="N389" s="19" t="str">
        <f t="shared" si="6"/>
        <v>#REF!</v>
      </c>
      <c r="O389" s="20">
        <f>VLOOKUP(B389,'FVM_1luglio-31luglio25'!D:Q,14,0)</f>
        <v>356</v>
      </c>
      <c r="P389" s="20">
        <f t="shared" ref="P389:P427" si="109">IFERROR(N389,O389)</f>
        <v>356</v>
      </c>
      <c r="Q389" s="167">
        <f>VLOOKUP(B389,'situazione contratti estate 24'!A:K,11,0)</f>
        <v>39.5</v>
      </c>
      <c r="R389" s="167" t="str">
        <f t="shared" si="106"/>
        <v/>
      </c>
      <c r="S389" s="73"/>
      <c r="T389" s="70" t="s">
        <v>148</v>
      </c>
      <c r="U389" s="100"/>
    </row>
    <row r="390" ht="22.5" hidden="1" customHeight="1">
      <c r="A390" s="9">
        <f>VLOOKUP(B390,FVM_astainv!A:B,2,0)</f>
        <v>6572</v>
      </c>
      <c r="B390" s="77" t="s">
        <v>291</v>
      </c>
      <c r="C390" s="11" t="s">
        <v>90</v>
      </c>
      <c r="D390" s="12" t="str">
        <f>VLOOKUP(B390,FVM_astainv!A:F,6,0)</f>
        <v>Bologna</v>
      </c>
      <c r="E390" s="13" t="str">
        <f>VLOOKUP(B390,FVM_astainv!A:D,4,0)</f>
        <v>Pc</v>
      </c>
      <c r="F390" s="11" t="s">
        <v>55</v>
      </c>
      <c r="G390" s="14">
        <v>45474.0</v>
      </c>
      <c r="H390" s="144">
        <f t="shared" si="58"/>
        <v>46204</v>
      </c>
      <c r="I390" s="11" t="s">
        <v>89</v>
      </c>
      <c r="J390" s="16" t="str">
        <f>VLOOKUP(A390,Asteriscati25!B:N,13,0)</f>
        <v>#N/A</v>
      </c>
      <c r="K390" s="26">
        <v>0.8</v>
      </c>
      <c r="L390" s="19" t="str">
        <f t="shared" si="103"/>
        <v>#REF!</v>
      </c>
      <c r="M390" s="19">
        <f>VLOOKUP(B390,FVM_Asta2425!A:M,13,0)</f>
        <v>45</v>
      </c>
      <c r="N390" s="19" t="str">
        <f t="shared" si="6"/>
        <v>#REF!</v>
      </c>
      <c r="O390" s="20">
        <f>VLOOKUP(B390,'FVM_1luglio-31luglio25'!D:Q,14,0)</f>
        <v>49</v>
      </c>
      <c r="P390" s="20">
        <f t="shared" si="109"/>
        <v>49</v>
      </c>
      <c r="Q390" s="21">
        <f t="shared" ref="Q390:Q394" si="110">IF(F390="Standard",CEILING((M390/10),0.5),
IF(OR(F390="Diritto 1+1",M390="Inverno Diritto 0,5 + 1"),CEILING((M390/10)*1.3,0.5),
CEILING((M390/10)*1.15,0.5)))</f>
        <v>6</v>
      </c>
      <c r="R390" s="21">
        <f t="shared" si="106"/>
        <v>5</v>
      </c>
      <c r="S390" s="20"/>
      <c r="T390" s="11" t="s">
        <v>245</v>
      </c>
      <c r="U390" s="10"/>
    </row>
    <row r="391" ht="22.5" hidden="1" customHeight="1">
      <c r="A391" s="9">
        <f>VLOOKUP(B391,FVM_astainv!A:B,2,0)</f>
        <v>795</v>
      </c>
      <c r="B391" s="25" t="s">
        <v>778</v>
      </c>
      <c r="C391" s="11" t="s">
        <v>90</v>
      </c>
      <c r="D391" s="12" t="str">
        <f>VLOOKUP(B391,FVM_astainv!A:F,6,0)</f>
        <v>Roma</v>
      </c>
      <c r="E391" s="13" t="str">
        <f>VLOOKUP(B391,FVM_astainv!A:D,4,0)</f>
        <v>W</v>
      </c>
      <c r="F391" s="11" t="s">
        <v>45</v>
      </c>
      <c r="G391" s="14">
        <v>45474.0</v>
      </c>
      <c r="H391" s="144">
        <f t="shared" si="58"/>
        <v>45839</v>
      </c>
      <c r="I391" s="11" t="s">
        <v>89</v>
      </c>
      <c r="J391" s="16" t="str">
        <f>VLOOKUP(A391,Asteriscati25!B:N,13,0)</f>
        <v>#N/A</v>
      </c>
      <c r="K391" s="26">
        <v>0.8</v>
      </c>
      <c r="L391" s="19" t="str">
        <f t="shared" si="103"/>
        <v>#REF!</v>
      </c>
      <c r="M391" s="19">
        <f>VLOOKUP(B391,FVM_Asta2425!A:M,13,0)</f>
        <v>17</v>
      </c>
      <c r="N391" s="19" t="str">
        <f t="shared" si="6"/>
        <v>#REF!</v>
      </c>
      <c r="O391" s="20">
        <f>VLOOKUP(B391,'FVM_1luglio-31luglio25'!D:Q,14,0)</f>
        <v>16</v>
      </c>
      <c r="P391" s="20">
        <f t="shared" si="109"/>
        <v>16</v>
      </c>
      <c r="Q391" s="21">
        <f t="shared" si="110"/>
        <v>2</v>
      </c>
      <c r="R391" s="21">
        <f t="shared" si="106"/>
        <v>2</v>
      </c>
      <c r="S391" s="20"/>
      <c r="T391" s="11" t="s">
        <v>245</v>
      </c>
      <c r="U391" s="10"/>
    </row>
    <row r="392" ht="22.5" hidden="1" customHeight="1">
      <c r="A392" s="9">
        <f>VLOOKUP(B392,FVM_astainv!A:B,2,0)</f>
        <v>6519</v>
      </c>
      <c r="B392" s="25" t="s">
        <v>392</v>
      </c>
      <c r="C392" s="11" t="s">
        <v>90</v>
      </c>
      <c r="D392" s="12" t="str">
        <f>VLOOKUP(B392,FVM_astainv!A:F,6,0)</f>
        <v>Milan</v>
      </c>
      <c r="E392" s="13" t="str">
        <f>VLOOKUP(B392,FVM_astainv!A:D,4,0)</f>
        <v>Pc</v>
      </c>
      <c r="F392" s="11" t="s">
        <v>43</v>
      </c>
      <c r="G392" s="14">
        <v>45474.0</v>
      </c>
      <c r="H392" s="144">
        <f t="shared" si="58"/>
        <v>401768</v>
      </c>
      <c r="I392" s="11" t="s">
        <v>43</v>
      </c>
      <c r="J392" s="16" t="str">
        <f>VLOOKUP(A392,Asteriscati25!B:N,13,0)</f>
        <v>#N/A</v>
      </c>
      <c r="K392" s="26">
        <v>0.0</v>
      </c>
      <c r="L392" s="27">
        <v>1.0</v>
      </c>
      <c r="M392" s="19">
        <f>VLOOKUP(B392,FVM_Asta2425!A:M,13,0)</f>
        <v>1</v>
      </c>
      <c r="N392" s="19" t="str">
        <f t="shared" si="6"/>
        <v>#REF!</v>
      </c>
      <c r="O392" s="20">
        <f>VLOOKUP(B392,'FVM_1luglio-31luglio25'!D:Q,14,0)</f>
        <v>3</v>
      </c>
      <c r="P392" s="20">
        <f t="shared" si="109"/>
        <v>3</v>
      </c>
      <c r="Q392" s="21">
        <f t="shared" si="110"/>
        <v>0.5</v>
      </c>
      <c r="R392" s="21">
        <f t="shared" si="106"/>
        <v>0.5</v>
      </c>
      <c r="S392" s="20"/>
      <c r="T392" s="22"/>
      <c r="U392" s="23"/>
    </row>
    <row r="393" ht="22.5" hidden="1" customHeight="1">
      <c r="A393" s="9">
        <f>VLOOKUP(B393,FVM_astainv!A:B,2,0)</f>
        <v>6649</v>
      </c>
      <c r="B393" s="25" t="s">
        <v>871</v>
      </c>
      <c r="C393" s="11" t="s">
        <v>90</v>
      </c>
      <c r="D393" s="12" t="str">
        <f>VLOOKUP(B393,FVM_astainv!A:F,6,0)</f>
        <v>Roma</v>
      </c>
      <c r="E393" s="13" t="str">
        <f>VLOOKUP(B393,FVM_astainv!A:D,4,0)</f>
        <v>Dd;E</v>
      </c>
      <c r="F393" s="11" t="s">
        <v>43</v>
      </c>
      <c r="G393" s="14">
        <v>45474.0</v>
      </c>
      <c r="H393" s="144">
        <f t="shared" si="58"/>
        <v>401768</v>
      </c>
      <c r="I393" s="11" t="s">
        <v>43</v>
      </c>
      <c r="J393" s="16" t="str">
        <f>VLOOKUP(A393,Asteriscati25!B:N,13,0)</f>
        <v>#N/A</v>
      </c>
      <c r="K393" s="26">
        <v>0.0</v>
      </c>
      <c r="L393" s="27">
        <v>1.0</v>
      </c>
      <c r="M393" s="19">
        <f>VLOOKUP(B393,FVM_Asta2425!A:M,13,0)</f>
        <v>1</v>
      </c>
      <c r="N393" s="19" t="str">
        <f t="shared" si="6"/>
        <v>#REF!</v>
      </c>
      <c r="O393" s="20">
        <f>VLOOKUP(B393,'FVM_1luglio-31luglio25'!D:Q,14,0)</f>
        <v>1</v>
      </c>
      <c r="P393" s="20">
        <f t="shared" si="109"/>
        <v>1</v>
      </c>
      <c r="Q393" s="21">
        <f t="shared" si="110"/>
        <v>0.5</v>
      </c>
      <c r="R393" s="21">
        <f t="shared" si="106"/>
        <v>0.5</v>
      </c>
      <c r="S393" s="20"/>
      <c r="T393" s="22"/>
      <c r="U393" s="23"/>
    </row>
    <row r="394" ht="22.5" hidden="1" customHeight="1">
      <c r="A394" s="9">
        <f>VLOOKUP(B394,FVM_astainv!A:B,2,0)</f>
        <v>5822</v>
      </c>
      <c r="B394" s="25" t="s">
        <v>390</v>
      </c>
      <c r="C394" s="11" t="s">
        <v>90</v>
      </c>
      <c r="D394" s="12" t="str">
        <f>VLOOKUP(B394,FVM_astainv!A:F,6,0)</f>
        <v>Bologna</v>
      </c>
      <c r="E394" s="13" t="str">
        <f>VLOOKUP(B394,FVM_astainv!A:D,4,0)</f>
        <v>Por</v>
      </c>
      <c r="F394" s="11" t="s">
        <v>43</v>
      </c>
      <c r="G394" s="14">
        <v>45474.0</v>
      </c>
      <c r="H394" s="144">
        <f t="shared" si="58"/>
        <v>401768</v>
      </c>
      <c r="I394" s="11" t="s">
        <v>43</v>
      </c>
      <c r="J394" s="16" t="str">
        <f>VLOOKUP(A394,Asteriscati25!B:N,13,0)</f>
        <v>#N/A</v>
      </c>
      <c r="K394" s="26">
        <v>0.0</v>
      </c>
      <c r="L394" s="27">
        <v>1.0</v>
      </c>
      <c r="M394" s="19">
        <f>VLOOKUP(B394,FVM_Asta2425!A:M,13,0)</f>
        <v>1</v>
      </c>
      <c r="N394" s="19" t="str">
        <f t="shared" si="6"/>
        <v>#REF!</v>
      </c>
      <c r="O394" s="20">
        <f>VLOOKUP(B394,'FVM_1luglio-31luglio25'!D:Q,14,0)</f>
        <v>1</v>
      </c>
      <c r="P394" s="20">
        <f t="shared" si="109"/>
        <v>1</v>
      </c>
      <c r="Q394" s="21">
        <f t="shared" si="110"/>
        <v>0.5</v>
      </c>
      <c r="R394" s="21">
        <f t="shared" si="106"/>
        <v>0.5</v>
      </c>
      <c r="S394" s="20"/>
      <c r="T394" s="22"/>
      <c r="U394" s="23"/>
    </row>
    <row r="395" ht="22.5" hidden="1" customHeight="1">
      <c r="A395" s="9">
        <f>VLOOKUP(B395,FVM_astainv!A:B,2,0)</f>
        <v>2653</v>
      </c>
      <c r="B395" s="25" t="s">
        <v>872</v>
      </c>
      <c r="C395" s="11" t="s">
        <v>90</v>
      </c>
      <c r="D395" s="12" t="str">
        <f>VLOOKUP(B395,FVM_astainv!A:F,6,0)</f>
        <v>Bologna</v>
      </c>
      <c r="E395" s="13" t="str">
        <f>VLOOKUP(B395,FVM_astainv!A:D,4,0)</f>
        <v>Ds;E</v>
      </c>
      <c r="F395" s="11" t="s">
        <v>92</v>
      </c>
      <c r="G395" s="14">
        <v>45689.0</v>
      </c>
      <c r="H395" s="144">
        <f t="shared" si="58"/>
        <v>45839</v>
      </c>
      <c r="I395" s="11" t="s">
        <v>93</v>
      </c>
      <c r="J395" s="16" t="str">
        <f>VLOOKUP(A395,Asteriscati25!B:N,13,0)</f>
        <v>#N/A</v>
      </c>
      <c r="K395" s="26">
        <v>0.0</v>
      </c>
      <c r="L395" s="27">
        <v>22.0</v>
      </c>
      <c r="M395" s="19">
        <f>VLOOKUP(B395,FVM_astainv!A:N,14,0)</f>
        <v>15</v>
      </c>
      <c r="N395" s="19" t="str">
        <f t="shared" si="6"/>
        <v>#REF!</v>
      </c>
      <c r="O395" s="20">
        <f>VLOOKUP(B395,'FVM_1luglio-31luglio25'!D:Q,14,0)</f>
        <v>12</v>
      </c>
      <c r="P395" s="20">
        <f t="shared" si="109"/>
        <v>12</v>
      </c>
      <c r="Q395" s="21">
        <f t="shared" ref="Q395:Q398" si="111">IF(OR(F395="Standard",F395="Standard Inverno"),CEILING((M395/10),0.5),
IF(OR(F395="Diritto 1+1",F395="Inverno Diritto 0,5 + 1"),CEILING((M395/10)*1.3,0.5),
CEILING((M395/10)*1.15,0.5)))</f>
        <v>1.5</v>
      </c>
      <c r="R395" s="21">
        <f t="shared" si="106"/>
        <v>1</v>
      </c>
      <c r="S395" s="20"/>
      <c r="T395" s="22"/>
      <c r="U395" s="23"/>
    </row>
    <row r="396" ht="22.5" hidden="1" customHeight="1">
      <c r="A396" s="9">
        <f>VLOOKUP(B396,FVM_astainv!A:B,2,0)</f>
        <v>5804</v>
      </c>
      <c r="B396" s="25" t="s">
        <v>873</v>
      </c>
      <c r="C396" s="11" t="s">
        <v>90</v>
      </c>
      <c r="D396" s="12" t="str">
        <f>VLOOKUP(B396,FVM_astainv!A:F,6,0)</f>
        <v>Empoli</v>
      </c>
      <c r="E396" s="13" t="str">
        <f>VLOOKUP(B396,FVM_astainv!A:D,4,0)</f>
        <v>Ds;E</v>
      </c>
      <c r="F396" s="11" t="s">
        <v>97</v>
      </c>
      <c r="G396" s="14">
        <v>45689.0</v>
      </c>
      <c r="H396" s="144">
        <f t="shared" si="58"/>
        <v>46235</v>
      </c>
      <c r="I396" s="11" t="s">
        <v>605</v>
      </c>
      <c r="J396" s="16" t="str">
        <f>VLOOKUP(A396,Asteriscati25!B:N,13,0)</f>
        <v>#N/A</v>
      </c>
      <c r="K396" s="26">
        <v>0.0</v>
      </c>
      <c r="L396" s="27">
        <v>25.0</v>
      </c>
      <c r="M396" s="19">
        <f>VLOOKUP(B396,FVM_astainv!A:N,14,0)</f>
        <v>15</v>
      </c>
      <c r="N396" s="19" t="str">
        <f t="shared" si="6"/>
        <v>#REF!</v>
      </c>
      <c r="O396" s="20">
        <f>VLOOKUP(B396,'FVM_1luglio-31luglio25'!D:Q,14,0)</f>
        <v>9</v>
      </c>
      <c r="P396" s="20">
        <f t="shared" si="109"/>
        <v>9</v>
      </c>
      <c r="Q396" s="21">
        <f t="shared" si="111"/>
        <v>2</v>
      </c>
      <c r="R396" s="21" t="str">
        <f t="shared" si="106"/>
        <v/>
      </c>
      <c r="S396" s="20"/>
      <c r="T396" s="22"/>
      <c r="U396" s="23"/>
    </row>
    <row r="397" ht="22.5" hidden="1" customHeight="1">
      <c r="A397" s="9">
        <f>VLOOKUP(B397,FVM_astainv!A:B,2,0)</f>
        <v>5998</v>
      </c>
      <c r="B397" s="25" t="s">
        <v>460</v>
      </c>
      <c r="C397" s="11" t="s">
        <v>90</v>
      </c>
      <c r="D397" s="12" t="str">
        <f>VLOOKUP(B397,FVM_astainv!A:F,6,0)</f>
        <v>Venezia</v>
      </c>
      <c r="E397" s="13" t="str">
        <f>VLOOKUP(B397,FVM_astainv!A:D,4,0)</f>
        <v>E;W</v>
      </c>
      <c r="F397" s="11" t="s">
        <v>92</v>
      </c>
      <c r="G397" s="14">
        <v>45689.0</v>
      </c>
      <c r="H397" s="144">
        <f t="shared" si="58"/>
        <v>45839</v>
      </c>
      <c r="I397" s="11" t="s">
        <v>93</v>
      </c>
      <c r="J397" s="16" t="str">
        <f>VLOOKUP(A397,Asteriscati25!B:N,13,0)</f>
        <v>#N/A</v>
      </c>
      <c r="K397" s="26">
        <v>0.0</v>
      </c>
      <c r="L397" s="27">
        <v>23.0</v>
      </c>
      <c r="M397" s="19">
        <f>VLOOKUP(B397,FVM_astainv!A:N,14,0)</f>
        <v>26</v>
      </c>
      <c r="N397" s="19" t="str">
        <f t="shared" si="6"/>
        <v>#REF!</v>
      </c>
      <c r="O397" s="20">
        <f>VLOOKUP(B397,'FVM_1luglio-31luglio25'!D:Q,14,0)</f>
        <v>12</v>
      </c>
      <c r="P397" s="20">
        <f t="shared" si="109"/>
        <v>12</v>
      </c>
      <c r="Q397" s="21">
        <f t="shared" si="111"/>
        <v>3</v>
      </c>
      <c r="R397" s="21">
        <f t="shared" si="106"/>
        <v>1.5</v>
      </c>
      <c r="S397" s="20"/>
      <c r="T397" s="22"/>
      <c r="U397" s="23"/>
    </row>
    <row r="398" ht="22.5" hidden="1" customHeight="1">
      <c r="A398" s="9">
        <f>VLOOKUP(B398,FVM_astainv!A:B,2,0)</f>
        <v>6680</v>
      </c>
      <c r="B398" s="25" t="s">
        <v>874</v>
      </c>
      <c r="C398" s="11" t="s">
        <v>90</v>
      </c>
      <c r="D398" s="12" t="str">
        <f>VLOOKUP(B398,FVM_astainv!A:F,6,0)</f>
        <v>Udinese</v>
      </c>
      <c r="E398" s="13" t="str">
        <f>VLOOKUP(B398,FVM_astainv!A:D,4,0)</f>
        <v>M;C</v>
      </c>
      <c r="F398" s="11" t="s">
        <v>92</v>
      </c>
      <c r="G398" s="14">
        <v>45689.0</v>
      </c>
      <c r="H398" s="144">
        <f t="shared" si="58"/>
        <v>45839</v>
      </c>
      <c r="I398" s="11" t="s">
        <v>93</v>
      </c>
      <c r="J398" s="16" t="str">
        <f>VLOOKUP(A398,Asteriscati25!B:N,13,0)</f>
        <v>#N/A</v>
      </c>
      <c r="K398" s="26">
        <v>0.0</v>
      </c>
      <c r="L398" s="27">
        <v>25.0</v>
      </c>
      <c r="M398" s="19">
        <f>VLOOKUP(B398,FVM_astainv!A:N,14,0)</f>
        <v>23</v>
      </c>
      <c r="N398" s="19" t="str">
        <f t="shared" si="6"/>
        <v>#REF!</v>
      </c>
      <c r="O398" s="20">
        <f>VLOOKUP(B398,'FVM_1luglio-31luglio25'!D:Q,14,0)</f>
        <v>15</v>
      </c>
      <c r="P398" s="20">
        <f t="shared" si="109"/>
        <v>15</v>
      </c>
      <c r="Q398" s="21">
        <f t="shared" si="111"/>
        <v>2.5</v>
      </c>
      <c r="R398" s="21">
        <f t="shared" si="106"/>
        <v>1.5</v>
      </c>
      <c r="S398" s="20"/>
      <c r="T398" s="22"/>
      <c r="U398" s="23"/>
    </row>
    <row r="399" ht="22.5" hidden="1" customHeight="1">
      <c r="A399" s="9">
        <f>VLOOKUP(B399,FVM_astainv!A:B,2,0)</f>
        <v>4994</v>
      </c>
      <c r="B399" s="25" t="s">
        <v>875</v>
      </c>
      <c r="C399" s="11" t="s">
        <v>90</v>
      </c>
      <c r="D399" s="12" t="str">
        <f>VLOOKUP(B399,FVM_astainv!A:F,6,0)</f>
        <v>Torino</v>
      </c>
      <c r="E399" s="13" t="str">
        <f>VLOOKUP(B399,FVM_astainv!A:D,4,0)</f>
        <v>B;Dd;E</v>
      </c>
      <c r="F399" s="11" t="s">
        <v>45</v>
      </c>
      <c r="G399" s="14">
        <v>45474.0</v>
      </c>
      <c r="H399" s="144">
        <f t="shared" si="58"/>
        <v>45839</v>
      </c>
      <c r="I399" s="11" t="s">
        <v>48</v>
      </c>
      <c r="J399" s="16" t="str">
        <f>VLOOKUP(A399,Asteriscati25!B:N,13,0)</f>
        <v>#N/A</v>
      </c>
      <c r="K399" s="26">
        <v>0.0</v>
      </c>
      <c r="L399" s="19" t="str">
        <f t="shared" ref="L399:L412" si="112">VLOOKUP(B399,Rose!B:D,3,0)</f>
        <v>#REF!</v>
      </c>
      <c r="M399" s="19">
        <f>VLOOKUP(B399,FVM_Asta2425!A:M,13,0)</f>
        <v>14</v>
      </c>
      <c r="N399" s="19" t="str">
        <f t="shared" si="6"/>
        <v>#REF!</v>
      </c>
      <c r="O399" s="20">
        <f>VLOOKUP(B399,'FVM_1luglio-31luglio25'!D:Q,14,0)</f>
        <v>17</v>
      </c>
      <c r="P399" s="20">
        <f t="shared" si="109"/>
        <v>17</v>
      </c>
      <c r="Q399" s="21">
        <f t="shared" ref="Q399:Q403" si="113">IF(F399="Standard",CEILING((M399/10),0.5),
IF(OR(F399="Diritto 1+1",M399="Inverno Diritto 0,5 + 1"),CEILING((M399/10)*1.3,0.5),
CEILING((M399/10)*1.15,0.5)))</f>
        <v>1.5</v>
      </c>
      <c r="R399" s="21">
        <f t="shared" si="106"/>
        <v>1.5</v>
      </c>
      <c r="S399" s="20"/>
      <c r="T399" s="22"/>
      <c r="U399" s="23"/>
    </row>
    <row r="400" ht="22.5" hidden="1" customHeight="1">
      <c r="A400" s="9">
        <f>VLOOKUP(B400,FVM_astainv!A:B,2,0)</f>
        <v>5527</v>
      </c>
      <c r="B400" s="25" t="s">
        <v>876</v>
      </c>
      <c r="C400" s="11" t="s">
        <v>90</v>
      </c>
      <c r="D400" s="12" t="str">
        <f>VLOOKUP(B400,FVM_astainv!A:F,6,0)</f>
        <v>Genoa</v>
      </c>
      <c r="E400" s="13" t="str">
        <f>VLOOKUP(B400,FVM_astainv!A:D,4,0)</f>
        <v>Dd;E</v>
      </c>
      <c r="F400" s="11" t="s">
        <v>45</v>
      </c>
      <c r="G400" s="14">
        <v>45474.0</v>
      </c>
      <c r="H400" s="144">
        <f t="shared" si="58"/>
        <v>45839</v>
      </c>
      <c r="I400" s="11" t="s">
        <v>48</v>
      </c>
      <c r="J400" s="16" t="str">
        <f>VLOOKUP(A400,Asteriscati25!B:N,13,0)</f>
        <v>#N/A</v>
      </c>
      <c r="K400" s="26">
        <v>0.0</v>
      </c>
      <c r="L400" s="19" t="str">
        <f t="shared" si="112"/>
        <v>#REF!</v>
      </c>
      <c r="M400" s="19">
        <f>VLOOKUP(B400,FVM_Asta2425!A:M,13,0)</f>
        <v>9</v>
      </c>
      <c r="N400" s="19" t="str">
        <f t="shared" si="6"/>
        <v>#REF!</v>
      </c>
      <c r="O400" s="20">
        <f>VLOOKUP(B400,'FVM_1luglio-31luglio25'!D:Q,14,0)</f>
        <v>12</v>
      </c>
      <c r="P400" s="20">
        <f t="shared" si="109"/>
        <v>12</v>
      </c>
      <c r="Q400" s="21">
        <f t="shared" si="113"/>
        <v>1</v>
      </c>
      <c r="R400" s="21">
        <f t="shared" si="106"/>
        <v>1</v>
      </c>
      <c r="S400" s="20"/>
      <c r="T400" s="22"/>
      <c r="U400" s="23"/>
    </row>
    <row r="401" ht="22.5" customHeight="1">
      <c r="A401" s="9">
        <f>VLOOKUP(B401,FVM_astainv!A:B,2,0)</f>
        <v>2544</v>
      </c>
      <c r="B401" s="25" t="s">
        <v>877</v>
      </c>
      <c r="C401" s="11" t="s">
        <v>127</v>
      </c>
      <c r="D401" s="12" t="str">
        <f>VLOOKUP(B401,FVM_astainv!A:F,6,0)</f>
        <v>Milan</v>
      </c>
      <c r="E401" s="13" t="str">
        <f>VLOOKUP(B401,FVM_astainv!A:D,4,0)</f>
        <v>Pc</v>
      </c>
      <c r="F401" s="11" t="s">
        <v>45</v>
      </c>
      <c r="G401" s="14">
        <v>45474.0</v>
      </c>
      <c r="H401" s="144">
        <f t="shared" si="58"/>
        <v>45839</v>
      </c>
      <c r="I401" s="11" t="s">
        <v>46</v>
      </c>
      <c r="J401" s="16" t="str">
        <f>VLOOKUP(A401,Asteriscati25!B:N,13,0)</f>
        <v>#N/A</v>
      </c>
      <c r="K401" s="26">
        <v>0.0</v>
      </c>
      <c r="L401" s="19" t="str">
        <f t="shared" si="112"/>
        <v>#REF!</v>
      </c>
      <c r="M401" s="19">
        <f>VLOOKUP(B401,FVM_Asta2425!A:M,13,0)</f>
        <v>27</v>
      </c>
      <c r="N401" s="19" t="str">
        <f t="shared" si="6"/>
        <v>#REF!</v>
      </c>
      <c r="O401" s="20">
        <f>VLOOKUP(B401,'FVM_1luglio-31luglio25'!D:Q,14,0)</f>
        <v>29</v>
      </c>
      <c r="P401" s="20">
        <f t="shared" si="109"/>
        <v>29</v>
      </c>
      <c r="Q401" s="21">
        <f t="shared" si="113"/>
        <v>3</v>
      </c>
      <c r="R401" s="21">
        <f t="shared" si="106"/>
        <v>1.5</v>
      </c>
      <c r="S401" s="20"/>
      <c r="T401" s="22"/>
      <c r="U401" s="23"/>
    </row>
    <row r="402" ht="22.5" customHeight="1">
      <c r="A402" s="9">
        <f>VLOOKUP(B402,FVM_astainv!A:B,2,0)</f>
        <v>5838</v>
      </c>
      <c r="B402" s="25" t="s">
        <v>878</v>
      </c>
      <c r="C402" s="11" t="s">
        <v>127</v>
      </c>
      <c r="D402" s="12" t="str">
        <f>VLOOKUP(B402,FVM_astainv!A:F,6,0)</f>
        <v>Monza</v>
      </c>
      <c r="E402" s="13" t="str">
        <f>VLOOKUP(B402,FVM_astainv!A:D,4,0)</f>
        <v>Dd;Ds;E</v>
      </c>
      <c r="F402" s="11" t="s">
        <v>45</v>
      </c>
      <c r="G402" s="14">
        <v>45474.0</v>
      </c>
      <c r="H402" s="144">
        <f t="shared" si="58"/>
        <v>45839</v>
      </c>
      <c r="I402" s="11" t="s">
        <v>46</v>
      </c>
      <c r="J402" s="16" t="str">
        <f>VLOOKUP(A402,Asteriscati25!B:N,13,0)</f>
        <v>#N/A</v>
      </c>
      <c r="K402" s="26">
        <v>0.0</v>
      </c>
      <c r="L402" s="19" t="str">
        <f t="shared" si="112"/>
        <v>#REF!</v>
      </c>
      <c r="M402" s="19">
        <f>VLOOKUP(B402,FVM_Asta2425!A:M,13,0)</f>
        <v>9</v>
      </c>
      <c r="N402" s="19" t="str">
        <f t="shared" si="6"/>
        <v>#REF!</v>
      </c>
      <c r="O402" s="20">
        <f>VLOOKUP(B402,'FVM_1luglio-31luglio25'!D:Q,14,0)</f>
        <v>9</v>
      </c>
      <c r="P402" s="20">
        <f t="shared" si="109"/>
        <v>9</v>
      </c>
      <c r="Q402" s="21">
        <f t="shared" si="113"/>
        <v>1</v>
      </c>
      <c r="R402" s="21">
        <f t="shared" si="106"/>
        <v>0.5</v>
      </c>
      <c r="S402" s="20"/>
      <c r="T402" s="22"/>
      <c r="U402" s="23"/>
    </row>
    <row r="403" ht="22.5" customHeight="1">
      <c r="A403" s="9">
        <f>VLOOKUP(B403,FVM_astainv!A:B,2,0)</f>
        <v>6669</v>
      </c>
      <c r="B403" s="25" t="s">
        <v>879</v>
      </c>
      <c r="C403" s="11" t="s">
        <v>127</v>
      </c>
      <c r="D403" s="12" t="str">
        <f>VLOOKUP(B403,FVM_astainv!A:F,6,0)</f>
        <v>Parma</v>
      </c>
      <c r="E403" s="13" t="str">
        <f>VLOOKUP(B403,FVM_astainv!A:D,4,0)</f>
        <v>Pc</v>
      </c>
      <c r="F403" s="11" t="s">
        <v>45</v>
      </c>
      <c r="G403" s="14">
        <v>45474.0</v>
      </c>
      <c r="H403" s="144">
        <f t="shared" si="58"/>
        <v>45839</v>
      </c>
      <c r="I403" s="11" t="s">
        <v>46</v>
      </c>
      <c r="J403" s="16" t="str">
        <f>VLOOKUP(A403,Asteriscati25!B:N,13,0)</f>
        <v>#N/A</v>
      </c>
      <c r="K403" s="26">
        <v>0.0</v>
      </c>
      <c r="L403" s="19" t="str">
        <f t="shared" si="112"/>
        <v>#REF!</v>
      </c>
      <c r="M403" s="19">
        <f>VLOOKUP(B403,FVM_Asta2425!A:M,13,0)</f>
        <v>40</v>
      </c>
      <c r="N403" s="19" t="str">
        <f t="shared" si="6"/>
        <v>#REF!</v>
      </c>
      <c r="O403" s="20">
        <f>VLOOKUP(B403,'FVM_1luglio-31luglio25'!D:Q,14,0)</f>
        <v>39</v>
      </c>
      <c r="P403" s="20">
        <f t="shared" si="109"/>
        <v>39</v>
      </c>
      <c r="Q403" s="21">
        <f t="shared" si="113"/>
        <v>4</v>
      </c>
      <c r="R403" s="21">
        <f t="shared" si="106"/>
        <v>2</v>
      </c>
      <c r="S403" s="20"/>
      <c r="T403" s="22"/>
      <c r="U403" s="23"/>
    </row>
    <row r="404" ht="22.5" customHeight="1">
      <c r="A404" s="9">
        <f>VLOOKUP(B404,FVM_astainv!A:B,2,0)</f>
        <v>2724</v>
      </c>
      <c r="B404" s="25" t="s">
        <v>429</v>
      </c>
      <c r="C404" s="11" t="s">
        <v>127</v>
      </c>
      <c r="D404" s="12" t="str">
        <f>VLOOKUP(B404,FVM_astainv!A:F,6,0)</f>
        <v>Napoli</v>
      </c>
      <c r="E404" s="13" t="str">
        <f>VLOOKUP(B404,FVM_astainv!A:D,4,0)</f>
        <v>Dc</v>
      </c>
      <c r="F404" s="11" t="s">
        <v>59</v>
      </c>
      <c r="G404" s="14">
        <v>45108.0</v>
      </c>
      <c r="H404" s="144">
        <f t="shared" si="58"/>
        <v>46204</v>
      </c>
      <c r="I404" s="11" t="s">
        <v>126</v>
      </c>
      <c r="J404" s="16" t="str">
        <f>VLOOKUP(A404,Asteriscati25!B:N,13,0)</f>
        <v>#N/A</v>
      </c>
      <c r="K404" s="26">
        <v>0.4</v>
      </c>
      <c r="L404" s="19" t="str">
        <f t="shared" si="112"/>
        <v>#REF!</v>
      </c>
      <c r="M404" s="19">
        <v>23.0</v>
      </c>
      <c r="N404" s="19" t="str">
        <f t="shared" si="6"/>
        <v>#REF!</v>
      </c>
      <c r="O404" s="20">
        <f>VLOOKUP(B404,'FVM_1luglio-31luglio25'!D:Q,14,0)</f>
        <v>53</v>
      </c>
      <c r="P404" s="20">
        <f t="shared" si="109"/>
        <v>53</v>
      </c>
      <c r="Q404" s="21">
        <v>3.0</v>
      </c>
      <c r="R404" s="21">
        <f t="shared" si="106"/>
        <v>1.5</v>
      </c>
      <c r="S404" s="19"/>
      <c r="T404" s="11" t="s">
        <v>99</v>
      </c>
      <c r="U404" s="10"/>
    </row>
    <row r="405" ht="22.5" customHeight="1">
      <c r="A405" s="9">
        <f>VLOOKUP(B405,FVM_astainv!A:B,2,0)</f>
        <v>5520</v>
      </c>
      <c r="B405" s="25" t="s">
        <v>431</v>
      </c>
      <c r="C405" s="11" t="s">
        <v>127</v>
      </c>
      <c r="D405" s="12" t="str">
        <f>VLOOKUP(B405,FVM_astainv!A:F,6,0)</f>
        <v>Juventus</v>
      </c>
      <c r="E405" s="13" t="str">
        <f>VLOOKUP(B405,FVM_astainv!A:D,4,0)</f>
        <v>Dd;Ds;E</v>
      </c>
      <c r="F405" s="17" t="str">
        <f>VLOOKUP(B405,'situazione contratti estate 24'!A:I,9,0)</f>
        <v>Obbligo 1+2</v>
      </c>
      <c r="G405" s="14">
        <v>45108.0</v>
      </c>
      <c r="H405" s="144">
        <f t="shared" si="58"/>
        <v>46204</v>
      </c>
      <c r="I405" s="11" t="s">
        <v>48</v>
      </c>
      <c r="J405" s="16" t="str">
        <f>VLOOKUP(A405,Asteriscati25!B:N,13,0)</f>
        <v>#N/A</v>
      </c>
      <c r="K405" s="26">
        <v>0.0</v>
      </c>
      <c r="L405" s="19" t="str">
        <f t="shared" si="112"/>
        <v>#REF!</v>
      </c>
      <c r="M405" s="19">
        <f>VLOOKUP(B405,FVM_Asta2324!C:M,11,0)</f>
        <v>27</v>
      </c>
      <c r="N405" s="19" t="str">
        <f t="shared" si="6"/>
        <v>#REF!</v>
      </c>
      <c r="O405" s="20">
        <f>VLOOKUP(B405,'FVM_1luglio-31luglio25'!D:Q,14,0)</f>
        <v>39</v>
      </c>
      <c r="P405" s="20">
        <f t="shared" si="109"/>
        <v>39</v>
      </c>
      <c r="Q405" s="21">
        <f>VLOOKUP(B405,'situazione contratti estate 24'!A:K,11,0)</f>
        <v>3.5</v>
      </c>
      <c r="R405" s="21">
        <f t="shared" si="106"/>
        <v>3.5</v>
      </c>
      <c r="S405" s="20"/>
      <c r="T405" s="22"/>
      <c r="U405" s="23"/>
    </row>
    <row r="406" ht="22.5" customHeight="1">
      <c r="A406" s="9">
        <f>VLOOKUP(B406,FVM_astainv!A:B,2,0)</f>
        <v>5764</v>
      </c>
      <c r="B406" s="25" t="s">
        <v>880</v>
      </c>
      <c r="C406" s="11" t="s">
        <v>127</v>
      </c>
      <c r="D406" s="12" t="str">
        <f>VLOOKUP(B406,FVM_astainv!A:F,6,0)</f>
        <v>Verona</v>
      </c>
      <c r="E406" s="13" t="str">
        <f>VLOOKUP(B406,FVM_astainv!A:D,4,0)</f>
        <v>Dc</v>
      </c>
      <c r="F406" s="11" t="s">
        <v>45</v>
      </c>
      <c r="G406" s="14">
        <v>45474.0</v>
      </c>
      <c r="H406" s="144">
        <f t="shared" si="58"/>
        <v>45839</v>
      </c>
      <c r="I406" s="11" t="s">
        <v>48</v>
      </c>
      <c r="J406" s="16" t="str">
        <f>VLOOKUP(A406,Asteriscati25!B:N,13,0)</f>
        <v>#N/A</v>
      </c>
      <c r="K406" s="26">
        <v>0.0</v>
      </c>
      <c r="L406" s="19" t="str">
        <f t="shared" si="112"/>
        <v>#REF!</v>
      </c>
      <c r="M406" s="19">
        <f>VLOOKUP(B406,FVM_Asta2425!A:M,13,0)</f>
        <v>8</v>
      </c>
      <c r="N406" s="19" t="str">
        <f t="shared" si="6"/>
        <v>#REF!</v>
      </c>
      <c r="O406" s="20">
        <f>VLOOKUP(B406,'FVM_1luglio-31luglio25'!D:Q,14,0)</f>
        <v>9</v>
      </c>
      <c r="P406" s="20">
        <f t="shared" si="109"/>
        <v>9</v>
      </c>
      <c r="Q406" s="21">
        <f t="shared" ref="Q406:Q410" si="114">IF(F406="Standard",CEILING((M406/10),0.5),
IF(OR(F406="Diritto 1+1",M406="Inverno Diritto 0,5 + 1"),CEILING((M406/10)*1.3,0.5),
CEILING((M406/10)*1.15,0.5)))</f>
        <v>1</v>
      </c>
      <c r="R406" s="21">
        <f t="shared" si="106"/>
        <v>1</v>
      </c>
      <c r="S406" s="20"/>
      <c r="T406" s="22"/>
      <c r="U406" s="23"/>
    </row>
    <row r="407" ht="22.5" customHeight="1">
      <c r="A407" s="9">
        <f>VLOOKUP(B407,FVM_astainv!A:B,2,0)</f>
        <v>4493</v>
      </c>
      <c r="B407" s="25" t="s">
        <v>881</v>
      </c>
      <c r="C407" s="11" t="s">
        <v>127</v>
      </c>
      <c r="D407" s="12" t="str">
        <f>VLOOKUP(B407,FVM_astainv!A:F,6,0)</f>
        <v>Verona</v>
      </c>
      <c r="E407" s="13" t="str">
        <f>VLOOKUP(B407,FVM_astainv!A:D,4,0)</f>
        <v>Dc</v>
      </c>
      <c r="F407" s="11" t="s">
        <v>45</v>
      </c>
      <c r="G407" s="14">
        <v>45474.0</v>
      </c>
      <c r="H407" s="144">
        <f t="shared" si="58"/>
        <v>45839</v>
      </c>
      <c r="I407" s="11" t="s">
        <v>46</v>
      </c>
      <c r="J407" s="16" t="str">
        <f>VLOOKUP(A407,Asteriscati25!B:N,13,0)</f>
        <v>#N/A</v>
      </c>
      <c r="K407" s="26">
        <v>0.0</v>
      </c>
      <c r="L407" s="19" t="str">
        <f t="shared" si="112"/>
        <v>#REF!</v>
      </c>
      <c r="M407" s="19">
        <f>VLOOKUP(B407,FVM_Asta2425!A:M,13,0)</f>
        <v>7</v>
      </c>
      <c r="N407" s="19" t="str">
        <f t="shared" si="6"/>
        <v>#REF!</v>
      </c>
      <c r="O407" s="20">
        <f>VLOOKUP(B407,'FVM_1luglio-31luglio25'!D:Q,14,0)</f>
        <v>7</v>
      </c>
      <c r="P407" s="20">
        <f t="shared" si="109"/>
        <v>7</v>
      </c>
      <c r="Q407" s="21">
        <f t="shared" si="114"/>
        <v>1</v>
      </c>
      <c r="R407" s="21">
        <f t="shared" si="106"/>
        <v>0.5</v>
      </c>
      <c r="S407" s="20"/>
      <c r="T407" s="22"/>
      <c r="U407" s="23"/>
    </row>
    <row r="408" ht="22.5" customHeight="1">
      <c r="A408" s="9">
        <f>VLOOKUP(B408,FVM_astainv!A:B,2,0)</f>
        <v>6230</v>
      </c>
      <c r="B408" s="25" t="s">
        <v>882</v>
      </c>
      <c r="C408" s="11" t="s">
        <v>127</v>
      </c>
      <c r="D408" s="12" t="str">
        <f>VLOOKUP(B408,FVM_astainv!A:F,6,0)</f>
        <v>Como</v>
      </c>
      <c r="E408" s="13" t="str">
        <f>VLOOKUP(B408,FVM_astainv!A:D,4,0)</f>
        <v>Dc</v>
      </c>
      <c r="F408" s="11" t="s">
        <v>45</v>
      </c>
      <c r="G408" s="14">
        <v>45474.0</v>
      </c>
      <c r="H408" s="144">
        <f t="shared" si="58"/>
        <v>45839</v>
      </c>
      <c r="I408" s="11" t="s">
        <v>48</v>
      </c>
      <c r="J408" s="16" t="str">
        <f>VLOOKUP(A408,Asteriscati25!B:N,13,0)</f>
        <v>#N/A</v>
      </c>
      <c r="K408" s="26">
        <v>0.0</v>
      </c>
      <c r="L408" s="19" t="str">
        <f t="shared" si="112"/>
        <v>#REF!</v>
      </c>
      <c r="M408" s="19">
        <f>VLOOKUP(B408,FVM_Asta2425!A:M,13,0)</f>
        <v>14</v>
      </c>
      <c r="N408" s="19" t="str">
        <f t="shared" si="6"/>
        <v>#REF!</v>
      </c>
      <c r="O408" s="20">
        <f>VLOOKUP(B408,'FVM_1luglio-31luglio25'!D:Q,14,0)</f>
        <v>11</v>
      </c>
      <c r="P408" s="20">
        <f t="shared" si="109"/>
        <v>11</v>
      </c>
      <c r="Q408" s="21">
        <f t="shared" si="114"/>
        <v>1.5</v>
      </c>
      <c r="R408" s="21">
        <f t="shared" si="106"/>
        <v>1.5</v>
      </c>
      <c r="S408" s="20"/>
      <c r="T408" s="22"/>
      <c r="U408" s="23"/>
      <c r="V408" s="153"/>
      <c r="W408" s="153"/>
      <c r="X408" s="153"/>
      <c r="Y408" s="153"/>
      <c r="Z408" s="153"/>
      <c r="AA408" s="153"/>
      <c r="AB408" s="153"/>
      <c r="AC408" s="153"/>
      <c r="AD408" s="153"/>
      <c r="AE408" s="153"/>
      <c r="AF408" s="153"/>
      <c r="AG408" s="153"/>
      <c r="AH408" s="153"/>
      <c r="AI408" s="153"/>
      <c r="AJ408" s="153"/>
      <c r="AK408" s="153"/>
      <c r="AL408" s="153"/>
      <c r="AM408" s="153"/>
    </row>
    <row r="409" ht="22.5" customHeight="1">
      <c r="A409" s="9">
        <f>VLOOKUP(B409,FVM_astainv!A:B,2,0)</f>
        <v>5792</v>
      </c>
      <c r="B409" s="25" t="s">
        <v>202</v>
      </c>
      <c r="C409" s="11" t="s">
        <v>127</v>
      </c>
      <c r="D409" s="12" t="str">
        <f>VLOOKUP(B409,FVM_astainv!A:F,6,0)</f>
        <v>Atalanta</v>
      </c>
      <c r="E409" s="13" t="str">
        <f>VLOOKUP(B409,FVM_astainv!A:D,4,0)</f>
        <v>M;C</v>
      </c>
      <c r="F409" s="11" t="s">
        <v>59</v>
      </c>
      <c r="G409" s="14">
        <v>45474.0</v>
      </c>
      <c r="H409" s="144">
        <f t="shared" si="58"/>
        <v>46569</v>
      </c>
      <c r="I409" s="11" t="s">
        <v>48</v>
      </c>
      <c r="J409" s="16" t="str">
        <f>VLOOKUP(A409,Asteriscati25!B:N,13,0)</f>
        <v>#N/A</v>
      </c>
      <c r="K409" s="26">
        <v>0.0</v>
      </c>
      <c r="L409" s="19" t="str">
        <f t="shared" si="112"/>
        <v>#REF!</v>
      </c>
      <c r="M409" s="19">
        <f>VLOOKUP(B409,FVM_Asta2425!A:M,13,0)</f>
        <v>67</v>
      </c>
      <c r="N409" s="19" t="str">
        <f t="shared" si="6"/>
        <v>#REF!</v>
      </c>
      <c r="O409" s="20">
        <f>VLOOKUP(B409,'FVM_1luglio-31luglio25'!D:Q,14,0)</f>
        <v>63</v>
      </c>
      <c r="P409" s="20">
        <f t="shared" si="109"/>
        <v>63</v>
      </c>
      <c r="Q409" s="21">
        <f t="shared" si="114"/>
        <v>8</v>
      </c>
      <c r="R409" s="21">
        <f t="shared" si="106"/>
        <v>8</v>
      </c>
      <c r="S409" s="20"/>
      <c r="T409" s="22"/>
      <c r="U409" s="23"/>
    </row>
    <row r="410" ht="22.5" customHeight="1">
      <c r="A410" s="9">
        <f>VLOOKUP(B410,FVM_astainv!A:B,2,0)</f>
        <v>610</v>
      </c>
      <c r="B410" s="25" t="s">
        <v>135</v>
      </c>
      <c r="C410" s="11" t="s">
        <v>127</v>
      </c>
      <c r="D410" s="12" t="str">
        <f>VLOOKUP(B410,FVM_astainv!A:F,6,0)</f>
        <v>Roma</v>
      </c>
      <c r="E410" s="13" t="str">
        <f>VLOOKUP(B410,FVM_astainv!A:D,4,0)</f>
        <v>Por</v>
      </c>
      <c r="F410" s="11" t="s">
        <v>45</v>
      </c>
      <c r="G410" s="14">
        <v>45474.0</v>
      </c>
      <c r="H410" s="144">
        <f t="shared" si="58"/>
        <v>45839</v>
      </c>
      <c r="I410" s="11" t="s">
        <v>126</v>
      </c>
      <c r="J410" s="16" t="str">
        <f>VLOOKUP(A410,Asteriscati25!B:N,13,0)</f>
        <v>#N/A</v>
      </c>
      <c r="K410" s="29">
        <v>0.4</v>
      </c>
      <c r="L410" s="19" t="str">
        <f t="shared" si="112"/>
        <v>#REF!</v>
      </c>
      <c r="M410" s="19">
        <f>VLOOKUP(B410,FVM_Asta2425!A:M,13,0)</f>
        <v>38</v>
      </c>
      <c r="N410" s="19" t="str">
        <f t="shared" si="6"/>
        <v>#REF!</v>
      </c>
      <c r="O410" s="20">
        <f>VLOOKUP(B410,'FVM_1luglio-31luglio25'!D:Q,14,0)</f>
        <v>19</v>
      </c>
      <c r="P410" s="20">
        <f t="shared" si="109"/>
        <v>19</v>
      </c>
      <c r="Q410" s="21">
        <f t="shared" si="114"/>
        <v>4</v>
      </c>
      <c r="R410" s="21">
        <f t="shared" si="106"/>
        <v>2</v>
      </c>
      <c r="S410" s="9"/>
      <c r="T410" s="11" t="s">
        <v>235</v>
      </c>
      <c r="U410" s="23"/>
    </row>
    <row r="411" ht="22.5" customHeight="1">
      <c r="A411" s="9">
        <f>VLOOKUP(B411,FVM_astainv!A:B,2,0)</f>
        <v>4186</v>
      </c>
      <c r="B411" s="25" t="s">
        <v>438</v>
      </c>
      <c r="C411" s="11" t="s">
        <v>127</v>
      </c>
      <c r="D411" s="12" t="str">
        <f>VLOOKUP(B411,FVM_astainv!A:F,6,0)</f>
        <v>Lazio</v>
      </c>
      <c r="E411" s="13" t="str">
        <f>VLOOKUP(B411,FVM_astainv!A:D,4,0)</f>
        <v>C</v>
      </c>
      <c r="F411" s="17" t="str">
        <f>VLOOKUP(B411,'situazione contratti estate 24'!A:I,9,0)</f>
        <v>Obbligo 1+2</v>
      </c>
      <c r="G411" s="14">
        <v>45108.0</v>
      </c>
      <c r="H411" s="144">
        <f t="shared" si="58"/>
        <v>46204</v>
      </c>
      <c r="I411" s="11" t="s">
        <v>48</v>
      </c>
      <c r="J411" s="16" t="str">
        <f>VLOOKUP(A411,Asteriscati25!B:N,13,0)</f>
        <v>#N/A</v>
      </c>
      <c r="K411" s="26">
        <v>0.0</v>
      </c>
      <c r="L411" s="19" t="str">
        <f t="shared" si="112"/>
        <v>#REF!</v>
      </c>
      <c r="M411" s="19">
        <f>VLOOKUP(B411,FVM_Asta2324!C:M,11,0)</f>
        <v>30</v>
      </c>
      <c r="N411" s="19" t="str">
        <f t="shared" si="6"/>
        <v>#REF!</v>
      </c>
      <c r="O411" s="20">
        <f>VLOOKUP(B411,'FVM_1luglio-31luglio25'!D:Q,14,0)</f>
        <v>17</v>
      </c>
      <c r="P411" s="20">
        <f t="shared" si="109"/>
        <v>17</v>
      </c>
      <c r="Q411" s="21">
        <f>VLOOKUP(B411,'situazione contratti estate 24'!A:K,11,0)</f>
        <v>3.5</v>
      </c>
      <c r="R411" s="21">
        <f t="shared" si="106"/>
        <v>3.5</v>
      </c>
      <c r="S411" s="20"/>
      <c r="T411" s="22"/>
      <c r="U411" s="23"/>
    </row>
    <row r="412" ht="22.5" customHeight="1">
      <c r="A412" s="9">
        <f>VLOOKUP(B412,FVM_astainv!A:B,2,0)</f>
        <v>2438</v>
      </c>
      <c r="B412" s="25" t="s">
        <v>883</v>
      </c>
      <c r="C412" s="11" t="s">
        <v>127</v>
      </c>
      <c r="D412" s="12" t="str">
        <f>VLOOKUP(B412,FVM_astainv!A:F,6,0)</f>
        <v>Milan</v>
      </c>
      <c r="E412" s="13" t="str">
        <f>VLOOKUP(B412,FVM_astainv!A:D,4,0)</f>
        <v>Pc</v>
      </c>
      <c r="F412" s="11" t="s">
        <v>45</v>
      </c>
      <c r="G412" s="14">
        <v>45474.0</v>
      </c>
      <c r="H412" s="144">
        <f t="shared" si="58"/>
        <v>45839</v>
      </c>
      <c r="I412" s="11" t="s">
        <v>46</v>
      </c>
      <c r="J412" s="16" t="str">
        <f>VLOOKUP(A412,Asteriscati25!B:N,13,0)</f>
        <v>#N/A</v>
      </c>
      <c r="K412" s="26">
        <v>0.0</v>
      </c>
      <c r="L412" s="19" t="str">
        <f t="shared" si="112"/>
        <v>#REF!</v>
      </c>
      <c r="M412" s="19">
        <f>VLOOKUP(B412,FVM_Asta2425!A:M,13,0)</f>
        <v>15</v>
      </c>
      <c r="N412" s="19" t="str">
        <f t="shared" si="6"/>
        <v>#REF!</v>
      </c>
      <c r="O412" s="20">
        <f>VLOOKUP(B412,'FVM_1luglio-31luglio25'!D:Q,14,0)</f>
        <v>16</v>
      </c>
      <c r="P412" s="20">
        <f t="shared" si="109"/>
        <v>16</v>
      </c>
      <c r="Q412" s="21">
        <f>IF(F412="Standard",CEILING((M412/10),0.5),
IF(OR(F412="Diritto 1+1",M412="Inverno Diritto 0,5 + 1"),CEILING((M412/10)*1.3,0.5),
CEILING((M412/10)*1.15,0.5)))</f>
        <v>1.5</v>
      </c>
      <c r="R412" s="21">
        <f t="shared" si="106"/>
        <v>1</v>
      </c>
      <c r="S412" s="20"/>
      <c r="T412" s="22"/>
      <c r="U412" s="23"/>
    </row>
    <row r="413" ht="22.5" customHeight="1">
      <c r="A413" s="9">
        <f>VLOOKUP(B413,FVM_astainv!A:B,2,0)</f>
        <v>4199</v>
      </c>
      <c r="B413" s="25" t="s">
        <v>444</v>
      </c>
      <c r="C413" s="11" t="s">
        <v>127</v>
      </c>
      <c r="D413" s="12" t="str">
        <f>VLOOKUP(B413,FVM_astainv!A:F,6,0)</f>
        <v>Milan</v>
      </c>
      <c r="E413" s="13" t="str">
        <f>VLOOKUP(B413,FVM_astainv!A:D,4,0)</f>
        <v>C;T</v>
      </c>
      <c r="F413" s="11" t="s">
        <v>97</v>
      </c>
      <c r="G413" s="14">
        <v>45689.0</v>
      </c>
      <c r="H413" s="144">
        <f t="shared" si="58"/>
        <v>46235</v>
      </c>
      <c r="I413" s="11" t="s">
        <v>93</v>
      </c>
      <c r="J413" s="16" t="str">
        <f>VLOOKUP(A413,Asteriscati25!B:N,13,0)</f>
        <v>#N/A</v>
      </c>
      <c r="K413" s="26">
        <v>0.0</v>
      </c>
      <c r="L413" s="27">
        <v>12.0</v>
      </c>
      <c r="M413" s="19">
        <f>VLOOKUP(B413,FVM_astainv!A:N,14,0)</f>
        <v>12</v>
      </c>
      <c r="N413" s="19" t="str">
        <f t="shared" si="6"/>
        <v>#REF!</v>
      </c>
      <c r="O413" s="20">
        <f>VLOOKUP(B413,'FVM_1luglio-31luglio25'!D:Q,14,0)</f>
        <v>29</v>
      </c>
      <c r="P413" s="20">
        <f t="shared" si="109"/>
        <v>29</v>
      </c>
      <c r="Q413" s="21">
        <f>IF(OR(F413="Standard",F413="Standard Inverno"),CEILING((M413/10),0.5),
IF(OR(F413="Diritto 1+1",F413="Inverno Diritto 0,5 + 1"),CEILING((M413/10)*1.3,0.5),
CEILING((M413/10)*1.15,0.5)))</f>
        <v>2</v>
      </c>
      <c r="R413" s="21">
        <f t="shared" si="106"/>
        <v>1</v>
      </c>
      <c r="S413" s="20"/>
      <c r="T413" s="22"/>
      <c r="U413" s="23"/>
    </row>
    <row r="414" ht="22.5" customHeight="1">
      <c r="A414" s="9">
        <f>VLOOKUP(B414,FVM_astainv!A:B,2,0)</f>
        <v>1933</v>
      </c>
      <c r="B414" s="25" t="s">
        <v>884</v>
      </c>
      <c r="C414" s="11" t="s">
        <v>127</v>
      </c>
      <c r="D414" s="12" t="str">
        <f>VLOOKUP(B414,FVM_astainv!A:F,6,0)</f>
        <v>Fiorentina</v>
      </c>
      <c r="E414" s="13" t="str">
        <f>VLOOKUP(B414,FVM_astainv!A:D,4,0)</f>
        <v>M;C</v>
      </c>
      <c r="F414" s="11" t="s">
        <v>45</v>
      </c>
      <c r="G414" s="14">
        <v>45474.0</v>
      </c>
      <c r="H414" s="144">
        <f t="shared" si="58"/>
        <v>45839</v>
      </c>
      <c r="I414" s="11" t="s">
        <v>48</v>
      </c>
      <c r="J414" s="16" t="str">
        <f>VLOOKUP(A414,Asteriscati25!B:N,13,0)</f>
        <v>#N/A</v>
      </c>
      <c r="K414" s="26">
        <v>0.0</v>
      </c>
      <c r="L414" s="19" t="str">
        <f t="shared" ref="L414:L434" si="115">VLOOKUP(B414,Rose!B:D,3,0)</f>
        <v>#REF!</v>
      </c>
      <c r="M414" s="19">
        <f>VLOOKUP(B414,FVM_Asta2425!A:M,13,0)</f>
        <v>18</v>
      </c>
      <c r="N414" s="19" t="str">
        <f t="shared" si="6"/>
        <v>#REF!</v>
      </c>
      <c r="O414" s="20">
        <f>VLOOKUP(B414,'FVM_1luglio-31luglio25'!D:Q,14,0)</f>
        <v>32</v>
      </c>
      <c r="P414" s="20">
        <f t="shared" si="109"/>
        <v>32</v>
      </c>
      <c r="Q414" s="21">
        <f t="shared" ref="Q414:Q423" si="116">IF(F414="Standard",CEILING((M414/10),0.5),
IF(OR(F414="Diritto 1+1",M414="Inverno Diritto 0,5 + 1"),CEILING((M414/10)*1.3,0.5),
CEILING((M414/10)*1.15,0.5)))</f>
        <v>2</v>
      </c>
      <c r="R414" s="21">
        <f t="shared" si="106"/>
        <v>2</v>
      </c>
      <c r="S414" s="20"/>
      <c r="T414" s="22"/>
      <c r="U414" s="23"/>
    </row>
    <row r="415" ht="22.5" customHeight="1">
      <c r="A415" s="9">
        <f>VLOOKUP(B415,FVM_astainv!A:B,2,0)</f>
        <v>5481</v>
      </c>
      <c r="B415" s="25" t="s">
        <v>885</v>
      </c>
      <c r="C415" s="11" t="s">
        <v>127</v>
      </c>
      <c r="D415" s="12" t="str">
        <f>VLOOKUP(B415,FVM_astainv!A:F,6,0)</f>
        <v>Napoli</v>
      </c>
      <c r="E415" s="13" t="str">
        <f>VLOOKUP(B415,FVM_astainv!A:D,4,0)</f>
        <v>E</v>
      </c>
      <c r="F415" s="11" t="s">
        <v>45</v>
      </c>
      <c r="G415" s="14">
        <v>45474.0</v>
      </c>
      <c r="H415" s="144">
        <f t="shared" si="58"/>
        <v>45839</v>
      </c>
      <c r="I415" s="11" t="s">
        <v>46</v>
      </c>
      <c r="J415" s="16" t="str">
        <f>VLOOKUP(A415,Asteriscati25!B:N,13,0)</f>
        <v>#N/A</v>
      </c>
      <c r="K415" s="26">
        <v>0.0</v>
      </c>
      <c r="L415" s="19" t="str">
        <f t="shared" si="115"/>
        <v>#REF!</v>
      </c>
      <c r="M415" s="19">
        <f>VLOOKUP(B415,FVM_Asta2425!A:M,13,0)</f>
        <v>12</v>
      </c>
      <c r="N415" s="19" t="str">
        <f t="shared" si="6"/>
        <v>#REF!</v>
      </c>
      <c r="O415" s="20">
        <f>VLOOKUP(B415,'FVM_1luglio-31luglio25'!D:Q,14,0)</f>
        <v>10</v>
      </c>
      <c r="P415" s="20">
        <f t="shared" si="109"/>
        <v>10</v>
      </c>
      <c r="Q415" s="21">
        <f t="shared" si="116"/>
        <v>1.5</v>
      </c>
      <c r="R415" s="21">
        <f t="shared" si="106"/>
        <v>1</v>
      </c>
      <c r="S415" s="20"/>
      <c r="T415" s="22"/>
      <c r="U415" s="23"/>
    </row>
    <row r="416" ht="22.5" customHeight="1">
      <c r="A416" s="9">
        <f>VLOOKUP(B416,FVM_astainv!A:B,2,0)</f>
        <v>5813</v>
      </c>
      <c r="B416" s="25" t="s">
        <v>886</v>
      </c>
      <c r="C416" s="11" t="s">
        <v>127</v>
      </c>
      <c r="D416" s="12" t="str">
        <f>VLOOKUP(B416,FVM_astainv!A:F,6,0)</f>
        <v>Genoa</v>
      </c>
      <c r="E416" s="13" t="str">
        <f>VLOOKUP(B416,FVM_astainv!A:D,4,0)</f>
        <v>C;T</v>
      </c>
      <c r="F416" s="11" t="s">
        <v>45</v>
      </c>
      <c r="G416" s="14">
        <v>45474.0</v>
      </c>
      <c r="H416" s="144">
        <f t="shared" si="58"/>
        <v>45839</v>
      </c>
      <c r="I416" s="11" t="s">
        <v>48</v>
      </c>
      <c r="J416" s="16" t="str">
        <f>VLOOKUP(A416,Asteriscati25!B:N,13,0)</f>
        <v>#N/A</v>
      </c>
      <c r="K416" s="26">
        <v>0.0</v>
      </c>
      <c r="L416" s="19" t="str">
        <f t="shared" si="115"/>
        <v>#REF!</v>
      </c>
      <c r="M416" s="19">
        <f>VLOOKUP(B416,FVM_Asta2425!A:M,13,0)</f>
        <v>18</v>
      </c>
      <c r="N416" s="19" t="str">
        <f t="shared" si="6"/>
        <v>#REF!</v>
      </c>
      <c r="O416" s="20">
        <f>VLOOKUP(B416,'FVM_1luglio-31luglio25'!D:Q,14,0)</f>
        <v>20</v>
      </c>
      <c r="P416" s="20">
        <f t="shared" si="109"/>
        <v>20</v>
      </c>
      <c r="Q416" s="21">
        <f t="shared" si="116"/>
        <v>2</v>
      </c>
      <c r="R416" s="21">
        <f t="shared" si="106"/>
        <v>2</v>
      </c>
      <c r="S416" s="20"/>
      <c r="T416" s="22"/>
      <c r="U416" s="23"/>
    </row>
    <row r="417" ht="22.5" customHeight="1">
      <c r="A417" s="9">
        <f>VLOOKUP(B417,FVM_astainv!A:B,2,0)</f>
        <v>6831</v>
      </c>
      <c r="B417" s="25" t="s">
        <v>449</v>
      </c>
      <c r="C417" s="11" t="s">
        <v>127</v>
      </c>
      <c r="D417" s="12" t="str">
        <f>VLOOKUP(B417,FVM_astainv!A:F,6,0)</f>
        <v>Napoli</v>
      </c>
      <c r="E417" s="13" t="str">
        <f>VLOOKUP(B417,FVM_astainv!A:D,4,0)</f>
        <v>W;A</v>
      </c>
      <c r="F417" s="11" t="s">
        <v>55</v>
      </c>
      <c r="G417" s="14">
        <v>45474.0</v>
      </c>
      <c r="H417" s="144">
        <f t="shared" si="58"/>
        <v>46204</v>
      </c>
      <c r="I417" s="11" t="s">
        <v>48</v>
      </c>
      <c r="J417" s="16" t="str">
        <f>VLOOKUP(A417,Asteriscati25!B:N,13,0)</f>
        <v>#N/A</v>
      </c>
      <c r="K417" s="26">
        <v>0.0</v>
      </c>
      <c r="L417" s="19" t="str">
        <f t="shared" si="115"/>
        <v>#REF!</v>
      </c>
      <c r="M417" s="19">
        <f>VLOOKUP(B417,FVM_Asta2425!A:M,13,0)</f>
        <v>75</v>
      </c>
      <c r="N417" s="19" t="str">
        <f t="shared" si="6"/>
        <v>#REF!</v>
      </c>
      <c r="O417" s="20">
        <f>VLOOKUP(B417,'FVM_1luglio-31luglio25'!D:Q,14,0)</f>
        <v>54</v>
      </c>
      <c r="P417" s="20">
        <f t="shared" si="109"/>
        <v>54</v>
      </c>
      <c r="Q417" s="21">
        <f t="shared" si="116"/>
        <v>10</v>
      </c>
      <c r="R417" s="21">
        <f t="shared" si="106"/>
        <v>10</v>
      </c>
      <c r="S417" s="20"/>
      <c r="T417" s="22"/>
      <c r="U417" s="23"/>
    </row>
    <row r="418" ht="22.5" customHeight="1">
      <c r="A418" s="9">
        <f>VLOOKUP(B418,FVM_astainv!A:B,2,0)</f>
        <v>536</v>
      </c>
      <c r="B418" s="25" t="s">
        <v>887</v>
      </c>
      <c r="C418" s="11" t="s">
        <v>127</v>
      </c>
      <c r="D418" s="12" t="str">
        <f>VLOOKUP(B418,FVM_astainv!A:F,6,0)</f>
        <v>Napoli</v>
      </c>
      <c r="E418" s="13" t="str">
        <f>VLOOKUP(B418,FVM_astainv!A:D,4,0)</f>
        <v>W</v>
      </c>
      <c r="F418" s="11" t="s">
        <v>45</v>
      </c>
      <c r="G418" s="14">
        <v>45474.0</v>
      </c>
      <c r="H418" s="144">
        <f t="shared" si="58"/>
        <v>45839</v>
      </c>
      <c r="I418" s="11" t="s">
        <v>48</v>
      </c>
      <c r="J418" s="16" t="str">
        <f>VLOOKUP(A418,Asteriscati25!B:N,13,0)</f>
        <v>#N/A</v>
      </c>
      <c r="K418" s="26">
        <v>0.0</v>
      </c>
      <c r="L418" s="19" t="str">
        <f t="shared" si="115"/>
        <v>#REF!</v>
      </c>
      <c r="M418" s="19">
        <f>VLOOKUP(B418,FVM_Asta2425!A:M,13,0)</f>
        <v>70</v>
      </c>
      <c r="N418" s="19" t="str">
        <f t="shared" si="6"/>
        <v>#REF!</v>
      </c>
      <c r="O418" s="20">
        <f>VLOOKUP(B418,'FVM_1luglio-31luglio25'!D:Q,14,0)</f>
        <v>66</v>
      </c>
      <c r="P418" s="20">
        <f t="shared" si="109"/>
        <v>66</v>
      </c>
      <c r="Q418" s="21">
        <f t="shared" si="116"/>
        <v>7</v>
      </c>
      <c r="R418" s="21">
        <f t="shared" si="106"/>
        <v>7</v>
      </c>
      <c r="S418" s="20"/>
      <c r="T418" s="22"/>
      <c r="U418" s="23"/>
    </row>
    <row r="419" ht="22.5" customHeight="1">
      <c r="A419" s="9">
        <f>VLOOKUP(B419,FVM_astainv!A:B,2,0)</f>
        <v>387</v>
      </c>
      <c r="B419" s="25" t="s">
        <v>888</v>
      </c>
      <c r="C419" s="11" t="s">
        <v>127</v>
      </c>
      <c r="D419" s="12" t="str">
        <f>VLOOKUP(B419,FVM_astainv!A:F,6,0)</f>
        <v>Como</v>
      </c>
      <c r="E419" s="13" t="str">
        <f>VLOOKUP(B419,FVM_astainv!A:D,4,0)</f>
        <v>Por</v>
      </c>
      <c r="F419" s="11" t="s">
        <v>45</v>
      </c>
      <c r="G419" s="14">
        <v>45474.0</v>
      </c>
      <c r="H419" s="144">
        <f t="shared" si="58"/>
        <v>45839</v>
      </c>
      <c r="I419" s="11" t="s">
        <v>46</v>
      </c>
      <c r="J419" s="16" t="str">
        <f>VLOOKUP(A419,Asteriscati25!B:N,13,0)</f>
        <v>#N/A</v>
      </c>
      <c r="K419" s="26">
        <v>0.0</v>
      </c>
      <c r="L419" s="19" t="str">
        <f t="shared" si="115"/>
        <v>#REF!</v>
      </c>
      <c r="M419" s="19">
        <f>VLOOKUP(B419,FVM_Asta2425!A:M,13,0)</f>
        <v>12</v>
      </c>
      <c r="N419" s="19" t="str">
        <f t="shared" si="6"/>
        <v>#REF!</v>
      </c>
      <c r="O419" s="20">
        <f>VLOOKUP(B419,'FVM_1luglio-31luglio25'!D:Q,14,0)</f>
        <v>6</v>
      </c>
      <c r="P419" s="20">
        <f t="shared" si="109"/>
        <v>6</v>
      </c>
      <c r="Q419" s="21">
        <f t="shared" si="116"/>
        <v>1.5</v>
      </c>
      <c r="R419" s="21">
        <f t="shared" si="106"/>
        <v>1</v>
      </c>
      <c r="S419" s="20"/>
      <c r="T419" s="22"/>
      <c r="U419" s="23"/>
    </row>
    <row r="420" ht="22.5" customHeight="1">
      <c r="A420" s="9">
        <f>VLOOKUP(B420,FVM_astainv!A:B,2,0)</f>
        <v>479</v>
      </c>
      <c r="B420" s="25" t="s">
        <v>889</v>
      </c>
      <c r="C420" s="11" t="s">
        <v>127</v>
      </c>
      <c r="D420" s="12" t="str">
        <f>VLOOKUP(B420,FVM_astainv!A:F,6,0)</f>
        <v>Torino</v>
      </c>
      <c r="E420" s="13" t="str">
        <f>VLOOKUP(B420,FVM_astainv!A:D,4,0)</f>
        <v>Pc</v>
      </c>
      <c r="F420" s="11" t="s">
        <v>45</v>
      </c>
      <c r="G420" s="14">
        <v>45474.0</v>
      </c>
      <c r="H420" s="144">
        <f t="shared" si="58"/>
        <v>45839</v>
      </c>
      <c r="I420" s="11" t="s">
        <v>46</v>
      </c>
      <c r="J420" s="16" t="str">
        <f>VLOOKUP(A420,Asteriscati25!B:N,13,0)</f>
        <v>#N/A</v>
      </c>
      <c r="K420" s="26">
        <v>0.0</v>
      </c>
      <c r="L420" s="19" t="str">
        <f t="shared" si="115"/>
        <v>#REF!</v>
      </c>
      <c r="M420" s="19">
        <f>VLOOKUP(B420,FVM_Asta2425!A:M,13,0)</f>
        <v>18</v>
      </c>
      <c r="N420" s="19" t="str">
        <f t="shared" si="6"/>
        <v>#REF!</v>
      </c>
      <c r="O420" s="20">
        <f>VLOOKUP(B420,'FVM_1luglio-31luglio25'!D:Q,14,0)</f>
        <v>13</v>
      </c>
      <c r="P420" s="20">
        <f t="shared" si="109"/>
        <v>13</v>
      </c>
      <c r="Q420" s="21">
        <f t="shared" si="116"/>
        <v>2</v>
      </c>
      <c r="R420" s="21">
        <f t="shared" si="106"/>
        <v>1</v>
      </c>
      <c r="S420" s="20"/>
      <c r="T420" s="22"/>
      <c r="U420" s="23"/>
    </row>
    <row r="421" ht="22.5" customHeight="1">
      <c r="A421" s="9">
        <f>VLOOKUP(B421,FVM_astainv!A:B,2,0)</f>
        <v>2137</v>
      </c>
      <c r="B421" s="25" t="s">
        <v>452</v>
      </c>
      <c r="C421" s="11" t="s">
        <v>127</v>
      </c>
      <c r="D421" s="12" t="str">
        <f>VLOOKUP(B421,FVM_astainv!A:F,6,0)</f>
        <v>Atalanta</v>
      </c>
      <c r="E421" s="13" t="str">
        <f>VLOOKUP(B421,FVM_astainv!A:D,4,0)</f>
        <v>Pc</v>
      </c>
      <c r="F421" s="11" t="s">
        <v>59</v>
      </c>
      <c r="G421" s="14">
        <v>45474.0</v>
      </c>
      <c r="H421" s="144">
        <f t="shared" si="58"/>
        <v>46569</v>
      </c>
      <c r="I421" s="11" t="s">
        <v>48</v>
      </c>
      <c r="J421" s="16" t="str">
        <f>VLOOKUP(A421,Asteriscati25!B:N,13,0)</f>
        <v>#N/A</v>
      </c>
      <c r="K421" s="26">
        <v>0.0</v>
      </c>
      <c r="L421" s="19" t="str">
        <f t="shared" si="115"/>
        <v>#REF!</v>
      </c>
      <c r="M421" s="19">
        <f>VLOOKUP(B421,FVM_Asta2425!A:M,13,0)</f>
        <v>140</v>
      </c>
      <c r="N421" s="19" t="str">
        <f t="shared" si="6"/>
        <v>#REF!</v>
      </c>
      <c r="O421" s="20">
        <f>VLOOKUP(B421,'FVM_1luglio-31luglio25'!D:Q,14,0)</f>
        <v>100</v>
      </c>
      <c r="P421" s="20">
        <f t="shared" si="109"/>
        <v>100</v>
      </c>
      <c r="Q421" s="21">
        <f t="shared" si="116"/>
        <v>16.5</v>
      </c>
      <c r="R421" s="21">
        <f t="shared" si="106"/>
        <v>16.5</v>
      </c>
      <c r="S421" s="20"/>
      <c r="T421" s="22"/>
      <c r="U421" s="23"/>
    </row>
    <row r="422" ht="22.5" customHeight="1">
      <c r="A422" s="9">
        <f>VLOOKUP(B422,FVM_astainv!A:B,2,0)</f>
        <v>5841</v>
      </c>
      <c r="B422" s="25" t="s">
        <v>890</v>
      </c>
      <c r="C422" s="11" t="s">
        <v>127</v>
      </c>
      <c r="D422" s="12" t="str">
        <f>VLOOKUP(B422,FVM_astainv!A:F,6,0)</f>
        <v>Roma</v>
      </c>
      <c r="E422" s="13" t="str">
        <f>VLOOKUP(B422,FVM_astainv!A:D,4,0)</f>
        <v>Por</v>
      </c>
      <c r="F422" s="11" t="s">
        <v>45</v>
      </c>
      <c r="G422" s="14">
        <v>45474.0</v>
      </c>
      <c r="H422" s="144">
        <f t="shared" si="58"/>
        <v>45839</v>
      </c>
      <c r="I422" s="11" t="s">
        <v>48</v>
      </c>
      <c r="J422" s="16" t="str">
        <f>VLOOKUP(A422,Asteriscati25!B:N,13,0)</f>
        <v>#N/A</v>
      </c>
      <c r="K422" s="26">
        <v>0.0</v>
      </c>
      <c r="L422" s="19" t="str">
        <f t="shared" si="115"/>
        <v>#REF!</v>
      </c>
      <c r="M422" s="19">
        <f>VLOOKUP(B422,FVM_Asta2425!A:M,13,0)</f>
        <v>69</v>
      </c>
      <c r="N422" s="19" t="str">
        <f t="shared" si="6"/>
        <v>#REF!</v>
      </c>
      <c r="O422" s="20">
        <f>VLOOKUP(B422,'FVM_1luglio-31luglio25'!D:Q,14,0)</f>
        <v>76</v>
      </c>
      <c r="P422" s="20">
        <f t="shared" si="109"/>
        <v>76</v>
      </c>
      <c r="Q422" s="21">
        <f t="shared" si="116"/>
        <v>7</v>
      </c>
      <c r="R422" s="21">
        <f t="shared" si="106"/>
        <v>7</v>
      </c>
      <c r="S422" s="20"/>
      <c r="T422" s="22"/>
      <c r="U422" s="23"/>
    </row>
    <row r="423" ht="22.5" customHeight="1">
      <c r="A423" s="9">
        <f>VLOOKUP(B423,FVM_astainv!A:B,2,0)</f>
        <v>4890</v>
      </c>
      <c r="B423" s="25" t="s">
        <v>891</v>
      </c>
      <c r="C423" s="11" t="s">
        <v>127</v>
      </c>
      <c r="D423" s="12" t="str">
        <f>VLOOKUP(B423,FVM_astainv!A:F,6,0)</f>
        <v>Torino</v>
      </c>
      <c r="E423" s="13" t="str">
        <f>VLOOKUP(B423,FVM_astainv!A:D,4,0)</f>
        <v>M;C</v>
      </c>
      <c r="F423" s="11" t="s">
        <v>45</v>
      </c>
      <c r="G423" s="14">
        <v>45474.0</v>
      </c>
      <c r="H423" s="144">
        <f t="shared" si="58"/>
        <v>45839</v>
      </c>
      <c r="I423" s="11" t="s">
        <v>46</v>
      </c>
      <c r="J423" s="16" t="str">
        <f>VLOOKUP(A423,Asteriscati25!B:N,13,0)</f>
        <v>#N/A</v>
      </c>
      <c r="K423" s="26">
        <v>0.0</v>
      </c>
      <c r="L423" s="19" t="str">
        <f t="shared" si="115"/>
        <v>#REF!</v>
      </c>
      <c r="M423" s="19">
        <f>VLOOKUP(B423,FVM_Asta2425!A:M,13,0)</f>
        <v>11</v>
      </c>
      <c r="N423" s="19" t="str">
        <f t="shared" si="6"/>
        <v>#REF!</v>
      </c>
      <c r="O423" s="20">
        <f>VLOOKUP(B423,'FVM_1luglio-31luglio25'!D:Q,14,0)</f>
        <v>10</v>
      </c>
      <c r="P423" s="20">
        <f t="shared" si="109"/>
        <v>10</v>
      </c>
      <c r="Q423" s="21">
        <f t="shared" si="116"/>
        <v>1.5</v>
      </c>
      <c r="R423" s="21">
        <f t="shared" si="106"/>
        <v>1</v>
      </c>
      <c r="S423" s="20"/>
      <c r="T423" s="22"/>
      <c r="U423" s="23"/>
    </row>
    <row r="424" ht="22.5" customHeight="1">
      <c r="A424" s="9">
        <f>VLOOKUP(B424,FVM_astainv!A:B,2,0)</f>
        <v>4502</v>
      </c>
      <c r="B424" s="25" t="s">
        <v>892</v>
      </c>
      <c r="C424" s="11" t="s">
        <v>127</v>
      </c>
      <c r="D424" s="12" t="str">
        <f>VLOOKUP(B424,FVM_astainv!A:F,6,0)</f>
        <v>Lecce</v>
      </c>
      <c r="E424" s="13" t="str">
        <f>VLOOKUP(B424,FVM_astainv!A:D,4,0)</f>
        <v>Ds;E</v>
      </c>
      <c r="F424" s="17" t="str">
        <f>VLOOKUP(B424,'situazione contratti estate 24'!A:I,9,0)</f>
        <v>Diritto 1+1</v>
      </c>
      <c r="G424" s="14">
        <v>45108.0</v>
      </c>
      <c r="H424" s="144">
        <f t="shared" si="58"/>
        <v>45839</v>
      </c>
      <c r="I424" s="11" t="s">
        <v>605</v>
      </c>
      <c r="J424" s="16" t="str">
        <f>VLOOKUP(A424,Asteriscati25!B:N,13,0)</f>
        <v>#N/A</v>
      </c>
      <c r="K424" s="26">
        <v>0.0</v>
      </c>
      <c r="L424" s="19" t="str">
        <f t="shared" si="115"/>
        <v>#REF!</v>
      </c>
      <c r="M424" s="19">
        <f>VLOOKUP(B424,FVM_Asta2324!C:M,11,0)</f>
        <v>9</v>
      </c>
      <c r="N424" s="19" t="str">
        <f t="shared" si="6"/>
        <v>#REF!</v>
      </c>
      <c r="O424" s="20">
        <f>VLOOKUP(B424,'FVM_1luglio-31luglio25'!D:Q,14,0)</f>
        <v>11</v>
      </c>
      <c r="P424" s="20">
        <f t="shared" si="109"/>
        <v>11</v>
      </c>
      <c r="Q424" s="21">
        <f>VLOOKUP(B424,'situazione contratti estate 24'!A:K,11,0)</f>
        <v>1.5</v>
      </c>
      <c r="R424" s="21" t="str">
        <f t="shared" si="106"/>
        <v/>
      </c>
      <c r="S424" s="20"/>
      <c r="T424" s="22"/>
      <c r="U424" s="23"/>
    </row>
    <row r="425" ht="22.5" customHeight="1">
      <c r="A425" s="9">
        <f>VLOOKUP(B425,FVM_astainv!A:B,2,0)</f>
        <v>6424</v>
      </c>
      <c r="B425" s="25" t="s">
        <v>643</v>
      </c>
      <c r="C425" s="11" t="s">
        <v>127</v>
      </c>
      <c r="D425" s="12" t="str">
        <f>VLOOKUP(B425,FVM_astainv!A:F,6,0)</f>
        <v>Cagliari</v>
      </c>
      <c r="E425" s="13" t="str">
        <f>VLOOKUP(B425,FVM_astainv!A:D,4,0)</f>
        <v>M;C</v>
      </c>
      <c r="F425" s="17" t="str">
        <f>VLOOKUP(B425,'situazione contratti estate 24'!A:I,9,0)</f>
        <v>Diritto 1+1</v>
      </c>
      <c r="G425" s="14">
        <v>45108.0</v>
      </c>
      <c r="H425" s="144">
        <f t="shared" si="58"/>
        <v>45839</v>
      </c>
      <c r="I425" s="11" t="s">
        <v>605</v>
      </c>
      <c r="J425" s="16" t="str">
        <f>VLOOKUP(A425,Asteriscati25!B:N,13,0)</f>
        <v>#N/A</v>
      </c>
      <c r="K425" s="26">
        <v>0.6</v>
      </c>
      <c r="L425" s="19" t="str">
        <f t="shared" si="115"/>
        <v>#REF!</v>
      </c>
      <c r="M425" s="19">
        <f>VLOOKUP(B425,FVM_Asta2324!C:M,11,0)</f>
        <v>5</v>
      </c>
      <c r="N425" s="19" t="str">
        <f t="shared" si="6"/>
        <v>#REF!</v>
      </c>
      <c r="O425" s="20">
        <f>VLOOKUP(B425,'FVM_1luglio-31luglio25'!D:Q,14,0)</f>
        <v>14</v>
      </c>
      <c r="P425" s="20">
        <f t="shared" si="109"/>
        <v>14</v>
      </c>
      <c r="Q425" s="21">
        <f>VLOOKUP(B425,'situazione contratti estate 24'!A:K,11,0)</f>
        <v>1</v>
      </c>
      <c r="R425" s="21" t="str">
        <f t="shared" si="106"/>
        <v/>
      </c>
      <c r="S425" s="20"/>
      <c r="T425" s="11" t="s">
        <v>127</v>
      </c>
      <c r="U425" s="23"/>
    </row>
    <row r="426" ht="22.5" customHeight="1">
      <c r="A426" s="9">
        <f>VLOOKUP(B426,FVM_astainv!A:B,2,0)</f>
        <v>2423</v>
      </c>
      <c r="B426" s="25" t="s">
        <v>125</v>
      </c>
      <c r="C426" s="11" t="s">
        <v>127</v>
      </c>
      <c r="D426" s="12" t="str">
        <f>VLOOKUP(B426,FVM_astainv!A:F,6,0)</f>
        <v>Milan</v>
      </c>
      <c r="E426" s="13" t="str">
        <f>VLOOKUP(B426,FVM_astainv!A:D,4,0)</f>
        <v>T;A</v>
      </c>
      <c r="F426" s="17" t="str">
        <f>VLOOKUP(B426,'situazione contratti estate 24'!A:I,9,0)</f>
        <v>Obbligo 1+2</v>
      </c>
      <c r="G426" s="14">
        <v>45108.0</v>
      </c>
      <c r="H426" s="144">
        <f t="shared" si="58"/>
        <v>46204</v>
      </c>
      <c r="I426" s="11" t="s">
        <v>122</v>
      </c>
      <c r="J426" s="16" t="str">
        <f>VLOOKUP(A426,Asteriscati25!B:N,13,0)</f>
        <v>#N/A</v>
      </c>
      <c r="K426" s="26">
        <v>0.6</v>
      </c>
      <c r="L426" s="19" t="str">
        <f t="shared" si="115"/>
        <v>#REF!</v>
      </c>
      <c r="M426" s="19">
        <f>VLOOKUP(B426,FVM_Asta2324!C:M,11,0)</f>
        <v>120</v>
      </c>
      <c r="N426" s="19" t="str">
        <f t="shared" si="6"/>
        <v>#REF!</v>
      </c>
      <c r="O426" s="20">
        <f>VLOOKUP(B426,'FVM_1luglio-31luglio25'!D:Q,14,0)</f>
        <v>191</v>
      </c>
      <c r="P426" s="20">
        <f t="shared" si="109"/>
        <v>191</v>
      </c>
      <c r="Q426" s="21">
        <f>VLOOKUP(B426,'situazione contratti estate 24'!A:K,11,0)</f>
        <v>14</v>
      </c>
      <c r="R426" s="21">
        <f t="shared" si="106"/>
        <v>8.5</v>
      </c>
      <c r="S426" s="20"/>
      <c r="T426" s="11" t="s">
        <v>127</v>
      </c>
      <c r="U426" s="23"/>
    </row>
    <row r="427" ht="22.5" customHeight="1">
      <c r="A427" s="9">
        <f>VLOOKUP(B427,FVM_astainv!A:B,2,0)</f>
        <v>530</v>
      </c>
      <c r="B427" s="25" t="s">
        <v>281</v>
      </c>
      <c r="C427" s="11" t="s">
        <v>127</v>
      </c>
      <c r="D427" s="12" t="str">
        <f>VLOOKUP(B427,FVM_astainv!A:F,6,0)</f>
        <v>Roma</v>
      </c>
      <c r="E427" s="13" t="str">
        <f>VLOOKUP(B427,FVM_astainv!A:D,4,0)</f>
        <v>C;T</v>
      </c>
      <c r="F427" s="11" t="s">
        <v>55</v>
      </c>
      <c r="G427" s="14">
        <v>45474.0</v>
      </c>
      <c r="H427" s="144">
        <f t="shared" si="58"/>
        <v>46204</v>
      </c>
      <c r="I427" s="11" t="s">
        <v>605</v>
      </c>
      <c r="J427" s="16" t="str">
        <f>VLOOKUP(A427,Asteriscati25!B:N,13,0)</f>
        <v>#N/A</v>
      </c>
      <c r="K427" s="26">
        <v>0.6</v>
      </c>
      <c r="L427" s="19" t="str">
        <f t="shared" si="115"/>
        <v>#REF!</v>
      </c>
      <c r="M427" s="19">
        <f>VLOOKUP(B427,FVM_Asta2425!A:M,13,0)</f>
        <v>73</v>
      </c>
      <c r="N427" s="19" t="str">
        <f t="shared" si="6"/>
        <v>#REF!</v>
      </c>
      <c r="O427" s="20">
        <f>VLOOKUP(B427,'FVM_1luglio-31luglio25'!D:Q,14,0)</f>
        <v>43</v>
      </c>
      <c r="P427" s="20">
        <f t="shared" si="109"/>
        <v>43</v>
      </c>
      <c r="Q427" s="21">
        <f t="shared" ref="Q427:Q433" si="117">IF(F427="Standard",CEILING((M427/10),0.5),
IF(OR(F427="Diritto 1+1",M427="Inverno Diritto 0,5 + 1"),CEILING((M427/10)*1.3,0.5),
CEILING((M427/10)*1.15,0.5)))</f>
        <v>9.5</v>
      </c>
      <c r="R427" s="101">
        <v>0.0</v>
      </c>
      <c r="S427" s="20"/>
      <c r="T427" s="22"/>
      <c r="U427" s="23"/>
    </row>
    <row r="428" ht="22.5" customHeight="1">
      <c r="A428" s="9" t="str">
        <f>VLOOKUP(B428,FVM_astainv!A:B,2,0)</f>
        <v>#N/A</v>
      </c>
      <c r="B428" s="25" t="s">
        <v>893</v>
      </c>
      <c r="C428" s="11" t="s">
        <v>127</v>
      </c>
      <c r="D428" s="12" t="str">
        <f>VLOOKUP(B428,FVM_astainv!A:F,6,0)</f>
        <v>#N/A</v>
      </c>
      <c r="E428" s="13" t="str">
        <f>VLOOKUP(B428,FVM_astainv!A:D,4,0)</f>
        <v>#N/A</v>
      </c>
      <c r="F428" s="11" t="s">
        <v>55</v>
      </c>
      <c r="G428" s="14">
        <v>45474.0</v>
      </c>
      <c r="H428" s="144">
        <f t="shared" si="58"/>
        <v>46204</v>
      </c>
      <c r="I428" s="11" t="s">
        <v>639</v>
      </c>
      <c r="J428" s="16" t="str">
        <f>VLOOKUP(A428,Asteriscati25!B:N,13,0)</f>
        <v>#N/A</v>
      </c>
      <c r="K428" s="26">
        <v>0.0</v>
      </c>
      <c r="L428" s="19" t="str">
        <f t="shared" si="115"/>
        <v>#REF!</v>
      </c>
      <c r="M428" s="19">
        <f>VLOOKUP(B428,FVM_Asta2425!A:M,13,0)</f>
        <v>20</v>
      </c>
      <c r="N428" s="19" t="str">
        <f t="shared" si="6"/>
        <v>#REF!</v>
      </c>
      <c r="O428" s="20" t="str">
        <f>VLOOKUP(B428,'FVM_1luglio-31luglio25'!D:Q,14,0)</f>
        <v>#N/A</v>
      </c>
      <c r="P428" s="9">
        <v>0.0</v>
      </c>
      <c r="Q428" s="21">
        <f t="shared" si="117"/>
        <v>3</v>
      </c>
      <c r="R428" s="101">
        <v>1.5</v>
      </c>
      <c r="S428" s="20"/>
      <c r="T428" s="22"/>
      <c r="U428" s="23"/>
    </row>
    <row r="429" ht="22.5" customHeight="1">
      <c r="A429" s="9" t="str">
        <f>VLOOKUP(B429,FVM_astainv!A:B,2,0)</f>
        <v>#N/A</v>
      </c>
      <c r="B429" s="25" t="s">
        <v>894</v>
      </c>
      <c r="C429" s="11" t="s">
        <v>127</v>
      </c>
      <c r="D429" s="12" t="str">
        <f>VLOOKUP(B429,FVM_astainv!A:F,6,0)</f>
        <v>#N/A</v>
      </c>
      <c r="E429" s="13" t="str">
        <f>VLOOKUP(B429,FVM_astainv!A:D,4,0)</f>
        <v>#N/A</v>
      </c>
      <c r="F429" s="11" t="s">
        <v>45</v>
      </c>
      <c r="G429" s="14">
        <v>45474.0</v>
      </c>
      <c r="H429" s="144">
        <f t="shared" si="58"/>
        <v>45839</v>
      </c>
      <c r="I429" s="11" t="s">
        <v>639</v>
      </c>
      <c r="J429" s="16" t="str">
        <f>VLOOKUP(A429,Asteriscati25!B:N,13,0)</f>
        <v>#N/A</v>
      </c>
      <c r="K429" s="26">
        <v>0.0</v>
      </c>
      <c r="L429" s="19" t="str">
        <f t="shared" si="115"/>
        <v>#REF!</v>
      </c>
      <c r="M429" s="19">
        <f>VLOOKUP(B429,FVM_Asta2425!A:M,13,0)</f>
        <v>1</v>
      </c>
      <c r="N429" s="19" t="str">
        <f t="shared" si="6"/>
        <v>#REF!</v>
      </c>
      <c r="O429" s="20" t="str">
        <f>VLOOKUP(B429,'FVM_1luglio-31luglio25'!D:Q,14,0)</f>
        <v>#N/A</v>
      </c>
      <c r="P429" s="9">
        <v>0.0</v>
      </c>
      <c r="Q429" s="21">
        <f t="shared" si="117"/>
        <v>0.5</v>
      </c>
      <c r="R429" s="21">
        <v>0.5</v>
      </c>
      <c r="S429" s="20"/>
      <c r="T429" s="22"/>
      <c r="U429" s="23"/>
    </row>
    <row r="430" ht="22.5" customHeight="1">
      <c r="A430" s="9" t="str">
        <f>VLOOKUP(B430,FVM_astainv!A:B,2,0)</f>
        <v>#N/A</v>
      </c>
      <c r="B430" s="25" t="s">
        <v>895</v>
      </c>
      <c r="C430" s="11" t="s">
        <v>127</v>
      </c>
      <c r="D430" s="12" t="str">
        <f>VLOOKUP(B430,FVM_astainv!A:F,6,0)</f>
        <v>#N/A</v>
      </c>
      <c r="E430" s="13" t="str">
        <f>VLOOKUP(B430,FVM_astainv!A:D,4,0)</f>
        <v>#N/A</v>
      </c>
      <c r="F430" s="11" t="s">
        <v>45</v>
      </c>
      <c r="G430" s="14">
        <v>45474.0</v>
      </c>
      <c r="H430" s="144">
        <f t="shared" si="58"/>
        <v>45839</v>
      </c>
      <c r="I430" s="11" t="s">
        <v>639</v>
      </c>
      <c r="J430" s="16" t="str">
        <f>VLOOKUP(A430,Asteriscati25!B:N,13,0)</f>
        <v>#N/A</v>
      </c>
      <c r="K430" s="26">
        <v>0.0</v>
      </c>
      <c r="L430" s="19" t="str">
        <f t="shared" si="115"/>
        <v>#REF!</v>
      </c>
      <c r="M430" s="19">
        <f>VLOOKUP(B430,FVM_Asta2425!A:M,13,0)</f>
        <v>5</v>
      </c>
      <c r="N430" s="19" t="str">
        <f t="shared" si="6"/>
        <v>#REF!</v>
      </c>
      <c r="O430" s="20" t="str">
        <f>VLOOKUP(B430,'FVM_1luglio-31luglio25'!D:Q,14,0)</f>
        <v>#N/A</v>
      </c>
      <c r="P430" s="9">
        <v>0.0</v>
      </c>
      <c r="Q430" s="21">
        <f t="shared" si="117"/>
        <v>0.5</v>
      </c>
      <c r="R430" s="21">
        <v>0.5</v>
      </c>
      <c r="S430" s="20"/>
      <c r="T430" s="22"/>
      <c r="U430" s="23"/>
    </row>
    <row r="431" ht="22.5" customHeight="1">
      <c r="A431" s="9">
        <f>VLOOKUP(B431,FVM_astainv!A:B,2,0)</f>
        <v>6245</v>
      </c>
      <c r="B431" s="25" t="s">
        <v>896</v>
      </c>
      <c r="C431" s="11" t="s">
        <v>127</v>
      </c>
      <c r="D431" s="12" t="str">
        <f>VLOOKUP(B431,FVM_astainv!A:F,6,0)</f>
        <v>Parma</v>
      </c>
      <c r="E431" s="13" t="str">
        <f>VLOOKUP(B431,FVM_astainv!A:D,4,0)</f>
        <v>Dd;Dc</v>
      </c>
      <c r="F431" s="11" t="s">
        <v>45</v>
      </c>
      <c r="G431" s="14">
        <v>45474.0</v>
      </c>
      <c r="H431" s="144">
        <f t="shared" si="58"/>
        <v>45839</v>
      </c>
      <c r="I431" s="11" t="s">
        <v>48</v>
      </c>
      <c r="J431" s="16" t="str">
        <f>VLOOKUP(A431,Asteriscati25!B:N,13,0)</f>
        <v>#N/A</v>
      </c>
      <c r="K431" s="26">
        <v>0.0</v>
      </c>
      <c r="L431" s="19" t="str">
        <f t="shared" si="115"/>
        <v>#REF!</v>
      </c>
      <c r="M431" s="19">
        <f>VLOOKUP(B431,FVM_Asta2425!A:M,13,0)</f>
        <v>4</v>
      </c>
      <c r="N431" s="19" t="str">
        <f t="shared" si="6"/>
        <v>#REF!</v>
      </c>
      <c r="O431" s="20">
        <f>VLOOKUP(B431,'FVM_1luglio-31luglio25'!D:Q,14,0)</f>
        <v>9</v>
      </c>
      <c r="P431" s="20">
        <f t="shared" ref="P431:P446" si="118">IFERROR(N431,O431)</f>
        <v>9</v>
      </c>
      <c r="Q431" s="21">
        <f t="shared" si="117"/>
        <v>0.5</v>
      </c>
      <c r="R431" s="21">
        <f t="shared" ref="R431:R434" si="119">IF(OR(I431="asta", I431="Svincolato riconferma anno corrente", I431="vivaio"), Q431,
IF(OR(I431="asta riparazione", I431="Svincolato obbligo anno precedente", I431="Svincolo pausa invernale"), MAX(0.5, CEILING(Q431 / 2, 0.5)),
IF(OR(I431="ceduto in prestito", I431="acquisito in prestito", I431="acquistato tit definitivo", I431="Ceduto tit definitivo"),CEILING(Q431 * K431, 0.5),
IF(I431="asteriscato", "inserire a mano", ""))))
</f>
        <v>0.5</v>
      </c>
      <c r="S431" s="20"/>
      <c r="T431" s="22"/>
      <c r="U431" s="23"/>
    </row>
    <row r="432" ht="22.5" customHeight="1">
      <c r="A432" s="9">
        <f>VLOOKUP(B432,FVM_astainv!A:B,2,0)</f>
        <v>6434</v>
      </c>
      <c r="B432" s="138" t="s">
        <v>453</v>
      </c>
      <c r="C432" s="88" t="s">
        <v>127</v>
      </c>
      <c r="D432" s="12" t="str">
        <f>VLOOKUP(B432,FVM_astainv!A:F,6,0)</f>
        <v>Juventus</v>
      </c>
      <c r="E432" s="13" t="str">
        <f>VLOOKUP(B432,FVM_astainv!A:D,4,0)</f>
        <v>A</v>
      </c>
      <c r="F432" s="88" t="s">
        <v>59</v>
      </c>
      <c r="G432" s="154">
        <v>45474.0</v>
      </c>
      <c r="H432" s="155">
        <f t="shared" si="58"/>
        <v>46569</v>
      </c>
      <c r="I432" s="88" t="s">
        <v>126</v>
      </c>
      <c r="J432" s="92" t="str">
        <f>VLOOKUP(A432,Asteriscati25!B:N,13,0)</f>
        <v>#N/A</v>
      </c>
      <c r="K432" s="152">
        <v>0.4</v>
      </c>
      <c r="L432" s="94" t="str">
        <f t="shared" si="115"/>
        <v>#REF!</v>
      </c>
      <c r="M432" s="94">
        <f>VLOOKUP(B432,FVM_Asta2425!A:M,13,0)</f>
        <v>84</v>
      </c>
      <c r="N432" s="19" t="str">
        <f t="shared" si="6"/>
        <v>#REF!</v>
      </c>
      <c r="O432" s="20">
        <f>VLOOKUP(B432,'FVM_1luglio-31luglio25'!D:Q,14,0)</f>
        <v>78</v>
      </c>
      <c r="P432" s="20">
        <f t="shared" si="118"/>
        <v>78</v>
      </c>
      <c r="Q432" s="95">
        <f t="shared" si="117"/>
        <v>10</v>
      </c>
      <c r="R432" s="95">
        <f t="shared" si="119"/>
        <v>4</v>
      </c>
      <c r="S432" s="94"/>
      <c r="T432" s="88" t="s">
        <v>99</v>
      </c>
      <c r="U432" s="156"/>
    </row>
    <row r="433" ht="22.5" customHeight="1">
      <c r="A433" s="9">
        <f>VLOOKUP(B433,FVM_astainv!A:B,2,0)</f>
        <v>4461</v>
      </c>
      <c r="B433" s="25" t="s">
        <v>897</v>
      </c>
      <c r="C433" s="11" t="s">
        <v>127</v>
      </c>
      <c r="D433" s="12" t="str">
        <f>VLOOKUP(B433,FVM_astainv!A:F,6,0)</f>
        <v>Cagliari</v>
      </c>
      <c r="E433" s="13" t="str">
        <f>VLOOKUP(B433,FVM_astainv!A:D,4,0)</f>
        <v>B;Dd;E</v>
      </c>
      <c r="F433" s="11" t="s">
        <v>45</v>
      </c>
      <c r="G433" s="14">
        <v>45474.0</v>
      </c>
      <c r="H433" s="144">
        <f t="shared" si="58"/>
        <v>45839</v>
      </c>
      <c r="I433" s="11" t="s">
        <v>48</v>
      </c>
      <c r="J433" s="16" t="str">
        <f>VLOOKUP(A433,Asteriscati25!B:N,13,0)</f>
        <v>#N/A</v>
      </c>
      <c r="K433" s="26">
        <v>0.0</v>
      </c>
      <c r="L433" s="19" t="str">
        <f t="shared" si="115"/>
        <v>#REF!</v>
      </c>
      <c r="M433" s="19">
        <f>VLOOKUP(B433,FVM_Asta2425!A:M,13,0)</f>
        <v>12</v>
      </c>
      <c r="N433" s="19" t="str">
        <f t="shared" si="6"/>
        <v>#REF!</v>
      </c>
      <c r="O433" s="20">
        <f>VLOOKUP(B433,'FVM_1luglio-31luglio25'!D:Q,14,0)</f>
        <v>15</v>
      </c>
      <c r="P433" s="20">
        <f t="shared" si="118"/>
        <v>15</v>
      </c>
      <c r="Q433" s="21">
        <f t="shared" si="117"/>
        <v>1.5</v>
      </c>
      <c r="R433" s="21">
        <f t="shared" si="119"/>
        <v>1.5</v>
      </c>
      <c r="S433" s="20"/>
      <c r="T433" s="22"/>
      <c r="U433" s="23"/>
    </row>
    <row r="434" ht="22.5" customHeight="1">
      <c r="A434" s="9">
        <f>VLOOKUP(B434,FVM_astainv!A:B,2,0)</f>
        <v>6435</v>
      </c>
      <c r="B434" s="43" t="s">
        <v>341</v>
      </c>
      <c r="C434" s="33" t="s">
        <v>127</v>
      </c>
      <c r="D434" s="12" t="str">
        <f>VLOOKUP(B434,FVM_astainv!A:F,6,0)</f>
        <v>Lecce</v>
      </c>
      <c r="E434" s="13" t="str">
        <f>VLOOKUP(B434,FVM_astainv!A:D,4,0)</f>
        <v>Pc</v>
      </c>
      <c r="F434" s="65" t="str">
        <f>VLOOKUP(B434,'situazione contratti estate 24'!A:I,9,0)</f>
        <v>Obbligo 1+2</v>
      </c>
      <c r="G434" s="66">
        <v>45108.0</v>
      </c>
      <c r="H434" s="15">
        <f t="shared" si="58"/>
        <v>46204</v>
      </c>
      <c r="I434" s="44" t="s">
        <v>89</v>
      </c>
      <c r="J434" s="34" t="str">
        <f>VLOOKUP(A434,Asteriscati25!B:N,13,0)</f>
        <v>#N/A</v>
      </c>
      <c r="K434" s="67">
        <v>0.4</v>
      </c>
      <c r="L434" s="47" t="str">
        <f t="shared" si="115"/>
        <v>#REF!</v>
      </c>
      <c r="M434" s="47">
        <f>VLOOKUP(B434,FVM_Asta2324!C:M,11,0)</f>
        <v>55</v>
      </c>
      <c r="N434" s="19" t="str">
        <f t="shared" si="6"/>
        <v>#REF!</v>
      </c>
      <c r="O434" s="20">
        <f>VLOOKUP(B434,'FVM_1luglio-31luglio25'!D:Q,14,0)</f>
        <v>82</v>
      </c>
      <c r="P434" s="36">
        <f t="shared" si="118"/>
        <v>82</v>
      </c>
      <c r="Q434" s="119">
        <f>VLOOKUP(B434,'situazione contratti estate 24'!A:K,11,0)</f>
        <v>6.5</v>
      </c>
      <c r="R434" s="119">
        <f t="shared" si="119"/>
        <v>3</v>
      </c>
      <c r="S434" s="37"/>
      <c r="T434" s="114" t="s">
        <v>172</v>
      </c>
      <c r="U434" s="115"/>
    </row>
    <row r="435" ht="22.5" customHeight="1">
      <c r="A435" s="9">
        <f>VLOOKUP(B435,FVM_astainv!A:B,2,0)</f>
        <v>6537</v>
      </c>
      <c r="B435" s="25" t="s">
        <v>435</v>
      </c>
      <c r="C435" s="11" t="s">
        <v>127</v>
      </c>
      <c r="D435" s="12" t="str">
        <f>VLOOKUP(B435,FVM_astainv!A:F,6,0)</f>
        <v>Empoli</v>
      </c>
      <c r="E435" s="13" t="str">
        <f>VLOOKUP(B435,FVM_astainv!A:D,4,0)</f>
        <v>Dd;Dc</v>
      </c>
      <c r="F435" s="11" t="s">
        <v>43</v>
      </c>
      <c r="G435" s="14">
        <v>45474.0</v>
      </c>
      <c r="H435" s="144">
        <f t="shared" si="58"/>
        <v>401768</v>
      </c>
      <c r="I435" s="11" t="s">
        <v>51</v>
      </c>
      <c r="J435" s="16" t="str">
        <f>VLOOKUP(A435,Asteriscati25!B:N,13,0)</f>
        <v>#N/A</v>
      </c>
      <c r="K435" s="26">
        <v>0.0</v>
      </c>
      <c r="L435" s="27">
        <v>1.0</v>
      </c>
      <c r="M435" s="19">
        <f>VLOOKUP(B435,FVM_Asta2425!A:M,13,0)</f>
        <v>1</v>
      </c>
      <c r="N435" s="19" t="str">
        <f t="shared" si="6"/>
        <v>#REF!</v>
      </c>
      <c r="O435" s="20">
        <f>VLOOKUP(B435,'FVM_1luglio-31luglio25'!D:Q,14,0)</f>
        <v>8</v>
      </c>
      <c r="P435" s="20">
        <f t="shared" si="118"/>
        <v>8</v>
      </c>
      <c r="Q435" s="21">
        <f t="shared" ref="Q435:Q437" si="120">IF(F435="Standard",CEILING((M435/10),0.5),
IF(OR(F435="Diritto 1+1",M435="Inverno Diritto 0,5 + 1"),CEILING((M435/10)*1.3,0.5),
CEILING((M435/10)*1.15,0.5)))</f>
        <v>0.5</v>
      </c>
      <c r="R435" s="21">
        <v>0.5</v>
      </c>
      <c r="S435" s="20"/>
      <c r="T435" s="22"/>
      <c r="U435" s="23"/>
    </row>
    <row r="436" ht="22.5" customHeight="1">
      <c r="A436" s="9">
        <f>VLOOKUP(B436,FVM_astainv!A:B,2,0)</f>
        <v>6677</v>
      </c>
      <c r="B436" s="25" t="s">
        <v>427</v>
      </c>
      <c r="C436" s="11" t="s">
        <v>127</v>
      </c>
      <c r="D436" s="12" t="str">
        <f>VLOOKUP(B436,FVM_astainv!A:F,6,0)</f>
        <v>Juventus</v>
      </c>
      <c r="E436" s="13" t="str">
        <f>VLOOKUP(B436,FVM_astainv!A:D,4,0)</f>
        <v>T</v>
      </c>
      <c r="F436" s="11" t="s">
        <v>43</v>
      </c>
      <c r="G436" s="14">
        <v>45474.0</v>
      </c>
      <c r="H436" s="144">
        <f t="shared" si="58"/>
        <v>401768</v>
      </c>
      <c r="I436" s="11" t="s">
        <v>51</v>
      </c>
      <c r="J436" s="16" t="str">
        <f>VLOOKUP(A436,Asteriscati25!B:N,13,0)</f>
        <v>#N/A</v>
      </c>
      <c r="K436" s="26">
        <v>0.0</v>
      </c>
      <c r="L436" s="27">
        <v>1.0</v>
      </c>
      <c r="M436" s="19">
        <f>VLOOKUP(B436,FVM_Asta2425!A:M,13,0)</f>
        <v>1</v>
      </c>
      <c r="N436" s="19" t="str">
        <f t="shared" si="6"/>
        <v>#REF!</v>
      </c>
      <c r="O436" s="20">
        <f>VLOOKUP(B436,'FVM_1luglio-31luglio25'!D:Q,14,0)</f>
        <v>2</v>
      </c>
      <c r="P436" s="20">
        <f t="shared" si="118"/>
        <v>2</v>
      </c>
      <c r="Q436" s="21">
        <f t="shared" si="120"/>
        <v>0.5</v>
      </c>
      <c r="R436" s="21">
        <v>0.5</v>
      </c>
      <c r="S436" s="20"/>
      <c r="T436" s="22"/>
      <c r="U436" s="23"/>
    </row>
    <row r="437" ht="22.5" customHeight="1">
      <c r="A437" s="9">
        <f>VLOOKUP(B437,FVM_astainv!A:B,2,0)</f>
        <v>6839</v>
      </c>
      <c r="B437" s="25" t="s">
        <v>430</v>
      </c>
      <c r="C437" s="11" t="s">
        <v>127</v>
      </c>
      <c r="D437" s="12" t="str">
        <f>VLOOKUP(B437,FVM_astainv!A:F,6,0)</f>
        <v>Bologna</v>
      </c>
      <c r="E437" s="13" t="str">
        <f>VLOOKUP(B437,FVM_astainv!A:D,4,0)</f>
        <v>C;T</v>
      </c>
      <c r="F437" s="11" t="s">
        <v>43</v>
      </c>
      <c r="G437" s="14">
        <v>45474.0</v>
      </c>
      <c r="H437" s="144">
        <f t="shared" si="58"/>
        <v>401768</v>
      </c>
      <c r="I437" s="11" t="s">
        <v>43</v>
      </c>
      <c r="J437" s="16" t="str">
        <f>VLOOKUP(A437,Asteriscati25!B:N,13,0)</f>
        <v>#N/A</v>
      </c>
      <c r="K437" s="26">
        <v>0.0</v>
      </c>
      <c r="L437" s="27">
        <v>1.0</v>
      </c>
      <c r="M437" s="19">
        <f>VLOOKUP(B437,FVM_Asta2425!A:M,13,0)</f>
        <v>1</v>
      </c>
      <c r="N437" s="19" t="str">
        <f t="shared" si="6"/>
        <v>#REF!</v>
      </c>
      <c r="O437" s="20">
        <f>VLOOKUP(B437,'FVM_1luglio-31luglio25'!D:Q,14,0)</f>
        <v>1</v>
      </c>
      <c r="P437" s="20">
        <f t="shared" si="118"/>
        <v>1</v>
      </c>
      <c r="Q437" s="21">
        <f t="shared" si="120"/>
        <v>0.5</v>
      </c>
      <c r="R437" s="21">
        <f t="shared" ref="R437:R446" si="121">IF(OR(I437="asta", I437="Svincolato riconferma anno corrente", I437="vivaio"), Q437,
IF(OR(I437="asta riparazione", I437="Svincolato obbligo anno precedente", I437="Svincolo pausa invernale"), MAX(0.5, CEILING(Q437 / 2, 0.5)),
IF(OR(I437="ceduto in prestito", I437="acquisito in prestito", I437="acquistato tit definitivo", I437="Ceduto tit definitivo"),CEILING(Q437 * K437, 0.5),
IF(I437="asteriscato", "inserire a mano", ""))))
</f>
        <v>0.5</v>
      </c>
      <c r="S437" s="20"/>
      <c r="T437" s="22"/>
      <c r="U437" s="23"/>
    </row>
    <row r="438" ht="22.5" customHeight="1">
      <c r="A438" s="9">
        <f>VLOOKUP(B438,FVM_astainv!A:B,2,0)</f>
        <v>358</v>
      </c>
      <c r="B438" s="25" t="s">
        <v>898</v>
      </c>
      <c r="C438" s="11" t="s">
        <v>127</v>
      </c>
      <c r="D438" s="12" t="str">
        <f>VLOOKUP(B438,FVM_astainv!A:F,6,0)</f>
        <v>Empoli</v>
      </c>
      <c r="E438" s="13" t="str">
        <f>VLOOKUP(B438,FVM_astainv!A:D,4,0)</f>
        <v>Dd;Ds;E</v>
      </c>
      <c r="F438" s="11" t="s">
        <v>92</v>
      </c>
      <c r="G438" s="14">
        <v>45689.0</v>
      </c>
      <c r="H438" s="14">
        <v>45839.0</v>
      </c>
      <c r="I438" s="11" t="s">
        <v>93</v>
      </c>
      <c r="J438" s="16" t="str">
        <f>VLOOKUP(A438,Asteriscati25!B:N,13,0)</f>
        <v>#N/A</v>
      </c>
      <c r="K438" s="26">
        <v>0.0</v>
      </c>
      <c r="L438" s="27">
        <v>12.0</v>
      </c>
      <c r="M438" s="19">
        <f>VLOOKUP(B438,FVM_astainv!A:N,14,0)</f>
        <v>12</v>
      </c>
      <c r="N438" s="19" t="str">
        <f t="shared" si="6"/>
        <v>#REF!</v>
      </c>
      <c r="O438" s="20">
        <f>VLOOKUP(B438,'FVM_1luglio-31luglio25'!D:Q,14,0)</f>
        <v>10</v>
      </c>
      <c r="P438" s="20">
        <f t="shared" si="118"/>
        <v>10</v>
      </c>
      <c r="Q438" s="21">
        <f t="shared" ref="Q438:Q446" si="122">IF(OR(F438="Standard",F438="Standard Inverno"),CEILING((M438/10),0.5),
IF(OR(F438="Diritto 1+1",F438="Inverno Diritto 0,5 + 1"),CEILING((M438/10)*1.3,0.5),
CEILING((M438/10)*1.15,0.5)))</f>
        <v>1.5</v>
      </c>
      <c r="R438" s="21">
        <f t="shared" si="121"/>
        <v>1</v>
      </c>
      <c r="S438" s="20"/>
      <c r="T438" s="22"/>
      <c r="U438" s="23"/>
    </row>
    <row r="439" ht="22.5" customHeight="1">
      <c r="A439" s="9">
        <f>VLOOKUP(B439,FVM_astainv!A:B,2,0)</f>
        <v>6867</v>
      </c>
      <c r="B439" s="25" t="s">
        <v>899</v>
      </c>
      <c r="C439" s="11" t="s">
        <v>127</v>
      </c>
      <c r="D439" s="12" t="str">
        <f>VLOOKUP(B439,FVM_astainv!A:F,6,0)</f>
        <v>Como</v>
      </c>
      <c r="E439" s="13" t="str">
        <f>VLOOKUP(B439,FVM_astainv!A:D,4,0)</f>
        <v>Ds;E</v>
      </c>
      <c r="F439" s="11" t="s">
        <v>92</v>
      </c>
      <c r="G439" s="14">
        <v>45689.0</v>
      </c>
      <c r="H439" s="144">
        <f t="shared" ref="H439:H446" si="123">IF(F439="Vivaio", DATE(2999, 12, 31),
  IF(F439="Standard", DATE(YEAR(G439)+1, MONTH(G439), DAY(G439)),
    IF(F439="Standard Inverno", DATE(2025, 7, 1),
      IF(OR(F439="Diritto 1+1", F439="Obbligo 1+1"), DATE(YEAR(G439)+2, MONTH(G439), DAY(G439)),
        IF(F439="Obbligo 1+2", DATE(YEAR(G439)+3, MONTH(G439), DAY(G439)),
          IF(OR(F439="Inverno Obbligo 1,5", F439="Inverno Diritto 0,5 + 1"), DATE(YEAR(G439)+1, MONTH(G439)+6, DAY(G439)),
            IF(F439="Inverno Obbligo 2,5", DATE(YEAR(G439)+2, MONTH(G439)+6, DAY(G439)), G439)
          )
        )
      )
    )
  )
)</f>
        <v>45839</v>
      </c>
      <c r="I439" s="11" t="s">
        <v>93</v>
      </c>
      <c r="J439" s="16" t="str">
        <f>VLOOKUP(A439,Asteriscati25!B:N,13,0)</f>
        <v>#N/A</v>
      </c>
      <c r="K439" s="26">
        <v>0.0</v>
      </c>
      <c r="L439" s="27">
        <v>6.0</v>
      </c>
      <c r="M439" s="19">
        <f>VLOOKUP(B439,FVM_astainv!A:N,14,0)</f>
        <v>6</v>
      </c>
      <c r="N439" s="19" t="str">
        <f t="shared" si="6"/>
        <v>#REF!</v>
      </c>
      <c r="O439" s="20" t="str">
        <f>VLOOKUP(B439,'FVM_1luglio-31luglio25'!D:Q,14,0)</f>
        <v>#N/A</v>
      </c>
      <c r="P439" s="20" t="str">
        <f t="shared" si="118"/>
        <v>#N/A</v>
      </c>
      <c r="Q439" s="21">
        <f t="shared" si="122"/>
        <v>1</v>
      </c>
      <c r="R439" s="21">
        <f t="shared" si="121"/>
        <v>0.5</v>
      </c>
      <c r="S439" s="20"/>
      <c r="T439" s="22"/>
      <c r="U439" s="23"/>
    </row>
    <row r="440" ht="22.5" customHeight="1">
      <c r="A440" s="9">
        <f>VLOOKUP(B440,FVM_astainv!A:B,2,0)</f>
        <v>6232</v>
      </c>
      <c r="B440" s="25" t="s">
        <v>900</v>
      </c>
      <c r="C440" s="11" t="s">
        <v>127</v>
      </c>
      <c r="D440" s="12" t="str">
        <f>VLOOKUP(B440,FVM_astainv!A:F,6,0)</f>
        <v>Cagliari</v>
      </c>
      <c r="E440" s="13" t="str">
        <f>VLOOKUP(B440,FVM_astainv!A:D,4,0)</f>
        <v>M;C</v>
      </c>
      <c r="F440" s="11" t="s">
        <v>92</v>
      </c>
      <c r="G440" s="14">
        <v>45689.0</v>
      </c>
      <c r="H440" s="144">
        <f t="shared" si="123"/>
        <v>45839</v>
      </c>
      <c r="I440" s="11" t="s">
        <v>93</v>
      </c>
      <c r="J440" s="16" t="str">
        <f>VLOOKUP(A440,Asteriscati25!B:N,13,0)</f>
        <v>#N/A</v>
      </c>
      <c r="K440" s="26">
        <v>0.0</v>
      </c>
      <c r="L440" s="27">
        <v>15.0</v>
      </c>
      <c r="M440" s="19">
        <f>VLOOKUP(B440,FVM_astainv!A:N,14,0)</f>
        <v>15</v>
      </c>
      <c r="N440" s="19" t="str">
        <f t="shared" si="6"/>
        <v>#REF!</v>
      </c>
      <c r="O440" s="20">
        <f>VLOOKUP(B440,'FVM_1luglio-31luglio25'!D:Q,14,0)</f>
        <v>11</v>
      </c>
      <c r="P440" s="20">
        <f t="shared" si="118"/>
        <v>11</v>
      </c>
      <c r="Q440" s="21">
        <f t="shared" si="122"/>
        <v>1.5</v>
      </c>
      <c r="R440" s="21">
        <f t="shared" si="121"/>
        <v>1</v>
      </c>
      <c r="S440" s="20"/>
      <c r="T440" s="22"/>
      <c r="U440" s="23"/>
    </row>
    <row r="441" ht="22.5" customHeight="1">
      <c r="A441" s="9">
        <f>VLOOKUP(B441,FVM_astainv!A:B,2,0)</f>
        <v>6020</v>
      </c>
      <c r="B441" s="25" t="s">
        <v>901</v>
      </c>
      <c r="C441" s="11" t="s">
        <v>127</v>
      </c>
      <c r="D441" s="12" t="str">
        <f>VLOOKUP(B441,FVM_astainv!A:F,6,0)</f>
        <v>Venezia</v>
      </c>
      <c r="E441" s="13" t="str">
        <f>VLOOKUP(B441,FVM_astainv!A:D,4,0)</f>
        <v>C;W</v>
      </c>
      <c r="F441" s="11" t="s">
        <v>92</v>
      </c>
      <c r="G441" s="14">
        <v>45689.0</v>
      </c>
      <c r="H441" s="144">
        <f t="shared" si="123"/>
        <v>45839</v>
      </c>
      <c r="I441" s="11" t="s">
        <v>93</v>
      </c>
      <c r="J441" s="16" t="str">
        <f>VLOOKUP(A441,Asteriscati25!B:N,13,0)</f>
        <v>#N/A</v>
      </c>
      <c r="K441" s="26">
        <v>0.0</v>
      </c>
      <c r="L441" s="27">
        <v>23.0</v>
      </c>
      <c r="M441" s="19">
        <f>VLOOKUP(B441,FVM_astainv!A:N,14,0)</f>
        <v>23</v>
      </c>
      <c r="N441" s="19" t="str">
        <f t="shared" si="6"/>
        <v>#REF!</v>
      </c>
      <c r="O441" s="20">
        <f>VLOOKUP(B441,'FVM_1luglio-31luglio25'!D:Q,14,0)</f>
        <v>15</v>
      </c>
      <c r="P441" s="20">
        <f t="shared" si="118"/>
        <v>15</v>
      </c>
      <c r="Q441" s="21">
        <f t="shared" si="122"/>
        <v>2.5</v>
      </c>
      <c r="R441" s="21">
        <f t="shared" si="121"/>
        <v>1.5</v>
      </c>
      <c r="S441" s="20"/>
      <c r="T441" s="22"/>
      <c r="U441" s="23"/>
    </row>
    <row r="442" ht="22.5" customHeight="1">
      <c r="A442" s="9">
        <f>VLOOKUP(B442,FVM_astainv!A:B,2,0)</f>
        <v>4498</v>
      </c>
      <c r="B442" s="25" t="s">
        <v>902</v>
      </c>
      <c r="C442" s="11" t="s">
        <v>127</v>
      </c>
      <c r="D442" s="12" t="str">
        <f>VLOOKUP(B442,FVM_astainv!A:F,6,0)</f>
        <v>Empoli</v>
      </c>
      <c r="E442" s="13" t="str">
        <f>VLOOKUP(B442,FVM_astainv!A:D,4,0)</f>
        <v>C;T</v>
      </c>
      <c r="F442" s="11" t="s">
        <v>92</v>
      </c>
      <c r="G442" s="14">
        <v>45689.0</v>
      </c>
      <c r="H442" s="144">
        <f t="shared" si="123"/>
        <v>45839</v>
      </c>
      <c r="I442" s="11" t="s">
        <v>93</v>
      </c>
      <c r="J442" s="16" t="str">
        <f>VLOOKUP(A442,Asteriscati25!B:N,13,0)</f>
        <v>#N/A</v>
      </c>
      <c r="K442" s="26">
        <v>0.0</v>
      </c>
      <c r="L442" s="27">
        <v>15.0</v>
      </c>
      <c r="M442" s="19">
        <f>VLOOKUP(B442,FVM_astainv!A:N,14,0)</f>
        <v>15</v>
      </c>
      <c r="N442" s="19" t="str">
        <f t="shared" si="6"/>
        <v>#REF!</v>
      </c>
      <c r="O442" s="20">
        <f>VLOOKUP(B442,'FVM_1luglio-31luglio25'!D:Q,14,0)</f>
        <v>10</v>
      </c>
      <c r="P442" s="20">
        <f t="shared" si="118"/>
        <v>10</v>
      </c>
      <c r="Q442" s="21">
        <f t="shared" si="122"/>
        <v>1.5</v>
      </c>
      <c r="R442" s="21">
        <f t="shared" si="121"/>
        <v>1</v>
      </c>
      <c r="S442" s="20"/>
      <c r="T442" s="22"/>
      <c r="U442" s="23"/>
    </row>
    <row r="443" ht="22.5" customHeight="1">
      <c r="A443" s="9">
        <f>VLOOKUP(B443,FVM_astainv!A:B,2,0)</f>
        <v>5500</v>
      </c>
      <c r="B443" s="25" t="s">
        <v>903</v>
      </c>
      <c r="C443" s="11" t="s">
        <v>127</v>
      </c>
      <c r="D443" s="12" t="str">
        <f>VLOOKUP(B443,FVM_astainv!A:F,6,0)</f>
        <v>Parma</v>
      </c>
      <c r="E443" s="13" t="str">
        <f>VLOOKUP(B443,FVM_astainv!A:D,4,0)</f>
        <v>W;A</v>
      </c>
      <c r="F443" s="11" t="s">
        <v>92</v>
      </c>
      <c r="G443" s="14">
        <v>45689.0</v>
      </c>
      <c r="H443" s="144">
        <f t="shared" si="123"/>
        <v>45839</v>
      </c>
      <c r="I443" s="11" t="s">
        <v>93</v>
      </c>
      <c r="J443" s="16" t="str">
        <f>VLOOKUP(A443,Asteriscati25!B:N,13,0)</f>
        <v>#N/A</v>
      </c>
      <c r="K443" s="26">
        <v>0.0</v>
      </c>
      <c r="L443" s="27">
        <v>25.0</v>
      </c>
      <c r="M443" s="19">
        <f>VLOOKUP(B443,FVM_astainv!A:N,14,0)</f>
        <v>27</v>
      </c>
      <c r="N443" s="19" t="str">
        <f t="shared" si="6"/>
        <v>#REF!</v>
      </c>
      <c r="O443" s="20">
        <f>VLOOKUP(B443,'FVM_1luglio-31luglio25'!D:Q,14,0)</f>
        <v>13</v>
      </c>
      <c r="P443" s="20">
        <f t="shared" si="118"/>
        <v>13</v>
      </c>
      <c r="Q443" s="21">
        <f t="shared" si="122"/>
        <v>3</v>
      </c>
      <c r="R443" s="21">
        <f t="shared" si="121"/>
        <v>1.5</v>
      </c>
      <c r="S443" s="20"/>
      <c r="T443" s="22"/>
      <c r="U443" s="23"/>
    </row>
    <row r="444" ht="22.5" customHeight="1">
      <c r="A444" s="9">
        <f>VLOOKUP(B444,FVM_astainv!A:B,2,0)</f>
        <v>6815</v>
      </c>
      <c r="B444" s="25" t="s">
        <v>904</v>
      </c>
      <c r="C444" s="11" t="s">
        <v>127</v>
      </c>
      <c r="D444" s="12" t="str">
        <f>VLOOKUP(B444,FVM_astainv!A:F,6,0)</f>
        <v>Como</v>
      </c>
      <c r="E444" s="13" t="str">
        <f>VLOOKUP(B444,FVM_astainv!A:D,4,0)</f>
        <v>W;A</v>
      </c>
      <c r="F444" s="11" t="s">
        <v>92</v>
      </c>
      <c r="G444" s="14">
        <v>45689.0</v>
      </c>
      <c r="H444" s="144">
        <f t="shared" si="123"/>
        <v>45839</v>
      </c>
      <c r="I444" s="11" t="s">
        <v>93</v>
      </c>
      <c r="J444" s="16" t="str">
        <f>VLOOKUP(A444,Asteriscati25!B:N,13,0)</f>
        <v>#N/A</v>
      </c>
      <c r="K444" s="26">
        <v>0.0</v>
      </c>
      <c r="L444" s="27">
        <v>36.0</v>
      </c>
      <c r="M444" s="19">
        <f>VLOOKUP(B444,FVM_astainv!A:N,14,0)</f>
        <v>32</v>
      </c>
      <c r="N444" s="19" t="str">
        <f t="shared" si="6"/>
        <v>#REF!</v>
      </c>
      <c r="O444" s="20">
        <f>VLOOKUP(B444,'FVM_1luglio-31luglio25'!D:Q,14,0)</f>
        <v>12</v>
      </c>
      <c r="P444" s="20">
        <f t="shared" si="118"/>
        <v>12</v>
      </c>
      <c r="Q444" s="21">
        <f t="shared" si="122"/>
        <v>3.5</v>
      </c>
      <c r="R444" s="21">
        <f t="shared" si="121"/>
        <v>2</v>
      </c>
      <c r="S444" s="20"/>
      <c r="T444" s="22"/>
      <c r="U444" s="23"/>
    </row>
    <row r="445" ht="22.5" customHeight="1">
      <c r="A445" s="9">
        <f>VLOOKUP(B445,FVM_astainv!A:B,2,0)</f>
        <v>5687</v>
      </c>
      <c r="B445" s="25" t="s">
        <v>905</v>
      </c>
      <c r="C445" s="11" t="s">
        <v>127</v>
      </c>
      <c r="D445" s="12" t="str">
        <f>VLOOKUP(B445,FVM_astainv!A:F,6,0)</f>
        <v>Torino</v>
      </c>
      <c r="E445" s="13" t="str">
        <f>VLOOKUP(B445,FVM_astainv!A:D,4,0)</f>
        <v>T</v>
      </c>
      <c r="F445" s="11" t="s">
        <v>92</v>
      </c>
      <c r="G445" s="14">
        <v>45689.0</v>
      </c>
      <c r="H445" s="144">
        <f t="shared" si="123"/>
        <v>45839</v>
      </c>
      <c r="I445" s="11" t="s">
        <v>93</v>
      </c>
      <c r="J445" s="16" t="str">
        <f>VLOOKUP(A445,Asteriscati25!B:N,13,0)</f>
        <v>#N/A</v>
      </c>
      <c r="K445" s="26">
        <v>0.0</v>
      </c>
      <c r="L445" s="27">
        <v>56.0</v>
      </c>
      <c r="M445" s="19">
        <f>VLOOKUP(B445,FVM_astainv!A:N,14,0)</f>
        <v>32</v>
      </c>
      <c r="N445" s="19" t="str">
        <f t="shared" si="6"/>
        <v>#REF!</v>
      </c>
      <c r="O445" s="20">
        <f>VLOOKUP(B445,'FVM_1luglio-31luglio25'!D:Q,14,0)</f>
        <v>44</v>
      </c>
      <c r="P445" s="20">
        <f t="shared" si="118"/>
        <v>44</v>
      </c>
      <c r="Q445" s="21">
        <f t="shared" si="122"/>
        <v>3.5</v>
      </c>
      <c r="R445" s="21">
        <f t="shared" si="121"/>
        <v>2</v>
      </c>
      <c r="S445" s="20"/>
      <c r="T445" s="22"/>
      <c r="U445" s="23"/>
    </row>
    <row r="446" ht="22.5" customHeight="1">
      <c r="A446" s="9">
        <f>VLOOKUP(B446,FVM_astainv!A:B,2,0)</f>
        <v>5951</v>
      </c>
      <c r="B446" s="25" t="s">
        <v>906</v>
      </c>
      <c r="C446" s="11" t="s">
        <v>127</v>
      </c>
      <c r="D446" s="12" t="str">
        <f>VLOOKUP(B446,FVM_astainv!A:F,6,0)</f>
        <v>Juventus</v>
      </c>
      <c r="E446" s="13" t="str">
        <f>VLOOKUP(B446,FVM_astainv!A:D,4,0)</f>
        <v>Pc</v>
      </c>
      <c r="F446" s="11" t="s">
        <v>74</v>
      </c>
      <c r="G446" s="14">
        <v>45689.0</v>
      </c>
      <c r="H446" s="144">
        <f t="shared" si="123"/>
        <v>46600</v>
      </c>
      <c r="I446" s="11" t="s">
        <v>605</v>
      </c>
      <c r="J446" s="16" t="str">
        <f>VLOOKUP(A446,Asteriscati25!B:N,13,0)</f>
        <v>#N/A</v>
      </c>
      <c r="K446" s="26">
        <v>0.0</v>
      </c>
      <c r="L446" s="27">
        <v>237.0</v>
      </c>
      <c r="M446" s="19">
        <f>VLOOKUP(B446,FVM_astainv!A:N,14,0)</f>
        <v>57</v>
      </c>
      <c r="N446" s="19" t="str">
        <f t="shared" si="6"/>
        <v>#REF!</v>
      </c>
      <c r="O446" s="20">
        <f>VLOOKUP(B446,'FVM_1luglio-31luglio25'!D:Q,14,0)</f>
        <v>93</v>
      </c>
      <c r="P446" s="20">
        <f t="shared" si="118"/>
        <v>93</v>
      </c>
      <c r="Q446" s="21">
        <f t="shared" si="122"/>
        <v>7</v>
      </c>
      <c r="R446" s="21" t="str">
        <f t="shared" si="121"/>
        <v/>
      </c>
      <c r="S446" s="20"/>
      <c r="T446" s="22"/>
      <c r="U446" s="23"/>
    </row>
  </sheetData>
  <conditionalFormatting sqref="H1:H446">
    <cfRule type="expression" dxfId="5" priority="1">
      <formula>H1&lt;45840.0</formula>
    </cfRule>
  </conditionalFormatting>
  <conditionalFormatting sqref="G1:G446">
    <cfRule type="expression" dxfId="6" priority="2">
      <formula>G1=45108.0</formula>
    </cfRule>
  </conditionalFormatting>
  <dataValidations>
    <dataValidation type="list" allowBlank="1" sqref="I2:I446">
      <formula1>#REF!</formula1>
    </dataValidation>
    <dataValidation type="list" allowBlank="1" sqref="K2:K446">
      <formula1>"0%,20%,40%,60%,80%,100%"</formula1>
    </dataValidation>
    <dataValidation type="list" allowBlank="1" sqref="C2:C446">
      <formula1>#REF!</formula1>
    </dataValidation>
    <dataValidation type="custom" allowBlank="1" showDropDown="1" sqref="M2:N446 Q2:Q446 S2:S446">
      <formula1>AND(ISNUMBER(M2),(NOT(OR(NOT(ISERROR(DATEVALUE(M2))), AND(ISNUMBER(M2), LEFT(CELL("format", M2))="D")))))</formula1>
    </dataValidation>
    <dataValidation type="custom" allowBlank="1" showDropDown="1" sqref="G2:H446">
      <formula1>OR(NOT(ISERROR(DATEVALUE(G2))), AND(ISNUMBER(G2), LEFT(CELL("format", G2))="D"))</formula1>
    </dataValidation>
    <dataValidation type="list" allowBlank="1" sqref="T2:T446">
      <formula1>#REF!</formula1>
    </dataValidation>
    <dataValidation allowBlank="1" showDropDown="1" sqref="B2:B446 E2:E446"/>
    <dataValidation type="list" allowBlank="1" sqref="F2:F446">
      <formula1>#REF!</formula1>
    </dataValidation>
    <dataValidation type="custom" allowBlank="1" showDropDown="1" sqref="A2:A446 O2:P446">
      <formula1>AND(ISNUMBER(A2),(NOT(OR(NOT(ISERROR(DATEVALUE(A2))), AND(ISNUMBER(A2), LEFT(CELL("format", A2))="D")))))</formula1>
    </dataValidation>
    <dataValidation allowBlank="1" showDropDown="1" sqref="D2:D446"/>
  </dataValidations>
  <drawing r:id="rId4"/>
  <legacyDrawing r:id="rId5"/>
  <tableParts count="1"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5.63"/>
  </cols>
  <sheetData>
    <row r="1">
      <c r="C1" s="1" t="s">
        <v>908</v>
      </c>
    </row>
    <row r="2">
      <c r="C2" s="1">
        <v>2.0</v>
      </c>
    </row>
    <row r="3">
      <c r="C3" s="1">
        <v>48.0</v>
      </c>
    </row>
    <row r="4">
      <c r="C4" s="1">
        <v>3.0</v>
      </c>
    </row>
    <row r="5">
      <c r="C5" s="1">
        <v>21.0</v>
      </c>
    </row>
    <row r="6">
      <c r="C6" s="1">
        <v>25.0</v>
      </c>
    </row>
    <row r="7">
      <c r="C7" s="1">
        <v>182.0</v>
      </c>
    </row>
    <row r="8">
      <c r="C8" s="1">
        <v>121.0</v>
      </c>
    </row>
    <row r="9">
      <c r="C9" s="1">
        <v>51.0</v>
      </c>
    </row>
    <row r="10">
      <c r="C10" s="1">
        <v>47.0</v>
      </c>
    </row>
    <row r="11">
      <c r="C11" s="1">
        <v>55.0</v>
      </c>
    </row>
    <row r="12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50.13"/>
  </cols>
  <sheetData>
    <row r="1">
      <c r="A1" s="204" t="s">
        <v>910</v>
      </c>
      <c r="B1" s="205"/>
      <c r="C1" s="206"/>
    </row>
    <row r="2">
      <c r="A2" s="204" t="s">
        <v>911</v>
      </c>
      <c r="B2" s="207" t="s">
        <v>912</v>
      </c>
      <c r="C2" s="204" t="s">
        <v>913</v>
      </c>
    </row>
    <row r="3">
      <c r="B3" s="208"/>
    </row>
    <row r="4">
      <c r="B4" s="208"/>
    </row>
    <row r="5">
      <c r="B5" s="208"/>
    </row>
    <row r="6">
      <c r="B6" s="208"/>
    </row>
    <row r="7">
      <c r="B7" s="208"/>
    </row>
    <row r="8">
      <c r="B8" s="208"/>
    </row>
    <row r="9">
      <c r="B9" s="208"/>
    </row>
    <row r="10">
      <c r="B10" s="208"/>
    </row>
    <row r="11">
      <c r="B11" s="208"/>
    </row>
    <row r="12">
      <c r="B12" s="208"/>
    </row>
    <row r="13">
      <c r="B13" s="208"/>
    </row>
    <row r="14">
      <c r="B14" s="208"/>
    </row>
    <row r="15">
      <c r="B15" s="208"/>
    </row>
    <row r="16">
      <c r="B16" s="208"/>
    </row>
    <row r="17">
      <c r="B17" s="208"/>
    </row>
    <row r="18">
      <c r="B18" s="208"/>
    </row>
    <row r="19">
      <c r="B19" s="208"/>
    </row>
    <row r="20">
      <c r="B20" s="208"/>
    </row>
    <row r="21">
      <c r="B21" s="208"/>
    </row>
    <row r="22">
      <c r="B22" s="208"/>
    </row>
    <row r="23">
      <c r="B23" s="208"/>
    </row>
    <row r="24">
      <c r="B24" s="208"/>
    </row>
    <row r="25">
      <c r="B25" s="208"/>
    </row>
    <row r="26">
      <c r="B26" s="208"/>
    </row>
    <row r="27">
      <c r="B27" s="208"/>
    </row>
    <row r="28">
      <c r="B28" s="208"/>
    </row>
    <row r="29">
      <c r="B29" s="208"/>
    </row>
    <row r="30">
      <c r="B30" s="208"/>
    </row>
    <row r="31">
      <c r="B31" s="208"/>
    </row>
    <row r="32">
      <c r="B32" s="208"/>
    </row>
    <row r="33">
      <c r="B33" s="208"/>
    </row>
    <row r="34">
      <c r="B34" s="208"/>
    </row>
    <row r="35">
      <c r="B35" s="208"/>
    </row>
    <row r="36">
      <c r="B36" s="208"/>
    </row>
    <row r="37">
      <c r="B37" s="208"/>
    </row>
    <row r="38">
      <c r="B38" s="208"/>
    </row>
    <row r="39">
      <c r="B39" s="208"/>
    </row>
    <row r="40">
      <c r="B40" s="208"/>
    </row>
    <row r="41">
      <c r="B41" s="208"/>
    </row>
    <row r="42">
      <c r="B42" s="208"/>
    </row>
    <row r="43">
      <c r="B43" s="208"/>
    </row>
    <row r="44">
      <c r="B44" s="208"/>
    </row>
    <row r="45">
      <c r="B45" s="208"/>
    </row>
    <row r="46">
      <c r="B46" s="208"/>
    </row>
    <row r="47">
      <c r="B47" s="208"/>
    </row>
    <row r="48">
      <c r="B48" s="208"/>
    </row>
    <row r="49">
      <c r="B49" s="208"/>
    </row>
    <row r="50">
      <c r="B50" s="208"/>
    </row>
    <row r="51">
      <c r="B51" s="208"/>
    </row>
    <row r="52">
      <c r="B52" s="208"/>
    </row>
    <row r="53">
      <c r="B53" s="208"/>
    </row>
    <row r="54">
      <c r="B54" s="208"/>
    </row>
    <row r="55">
      <c r="B55" s="208"/>
    </row>
    <row r="56">
      <c r="B56" s="208"/>
    </row>
    <row r="57">
      <c r="B57" s="208"/>
    </row>
    <row r="58">
      <c r="B58" s="208"/>
    </row>
    <row r="59">
      <c r="B59" s="208"/>
    </row>
    <row r="60">
      <c r="B60" s="208"/>
    </row>
    <row r="61">
      <c r="B61" s="208"/>
    </row>
    <row r="62">
      <c r="B62" s="208"/>
    </row>
    <row r="63">
      <c r="B63" s="208"/>
    </row>
    <row r="64">
      <c r="B64" s="208"/>
    </row>
    <row r="65">
      <c r="B65" s="208"/>
    </row>
    <row r="66">
      <c r="B66" s="208"/>
    </row>
    <row r="67">
      <c r="B67" s="208"/>
    </row>
    <row r="68">
      <c r="B68" s="208"/>
    </row>
    <row r="69">
      <c r="B69" s="208"/>
    </row>
    <row r="70">
      <c r="B70" s="208"/>
    </row>
    <row r="71">
      <c r="B71" s="208"/>
    </row>
    <row r="72">
      <c r="B72" s="208"/>
    </row>
    <row r="73">
      <c r="B73" s="208"/>
    </row>
    <row r="74">
      <c r="B74" s="208"/>
    </row>
    <row r="75">
      <c r="B75" s="208"/>
    </row>
    <row r="76">
      <c r="B76" s="208"/>
    </row>
    <row r="77">
      <c r="B77" s="208"/>
    </row>
    <row r="78">
      <c r="B78" s="208"/>
    </row>
    <row r="79">
      <c r="B79" s="208"/>
    </row>
    <row r="80">
      <c r="B80" s="208"/>
    </row>
    <row r="81">
      <c r="B81" s="208"/>
    </row>
    <row r="82">
      <c r="B82" s="208"/>
    </row>
    <row r="83">
      <c r="B83" s="208"/>
    </row>
    <row r="84">
      <c r="B84" s="208"/>
    </row>
    <row r="85">
      <c r="B85" s="208"/>
    </row>
    <row r="86">
      <c r="B86" s="208"/>
    </row>
    <row r="87">
      <c r="B87" s="208"/>
    </row>
    <row r="88">
      <c r="B88" s="208"/>
    </row>
    <row r="89">
      <c r="B89" s="208"/>
    </row>
    <row r="90">
      <c r="B90" s="208"/>
    </row>
    <row r="91">
      <c r="B91" s="208"/>
    </row>
    <row r="92">
      <c r="B92" s="208"/>
    </row>
    <row r="93">
      <c r="B93" s="208"/>
    </row>
    <row r="94">
      <c r="B94" s="208"/>
    </row>
    <row r="95">
      <c r="B95" s="208"/>
    </row>
    <row r="96">
      <c r="B96" s="208"/>
    </row>
    <row r="97">
      <c r="B97" s="208"/>
    </row>
    <row r="98">
      <c r="B98" s="208"/>
    </row>
    <row r="99">
      <c r="B99" s="208"/>
    </row>
    <row r="100">
      <c r="B100" s="20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outlinePr summaryBelow="0" summaryRight="0"/>
  </sheetPr>
  <sheetViews>
    <sheetView workbookViewId="0"/>
  </sheetViews>
  <sheetFormatPr customHeight="1" defaultColWidth="12.63" defaultRowHeight="15.75"/>
  <sheetData>
    <row r="1">
      <c r="A1" s="209" t="s">
        <v>3</v>
      </c>
      <c r="B1" s="210" t="s">
        <v>914</v>
      </c>
      <c r="C1" s="211" t="s">
        <v>6</v>
      </c>
      <c r="D1" s="212" t="s">
        <v>915</v>
      </c>
      <c r="E1" s="211" t="s">
        <v>916</v>
      </c>
      <c r="F1" s="211" t="s">
        <v>917</v>
      </c>
      <c r="G1" s="213" t="s">
        <v>918</v>
      </c>
      <c r="H1" s="213" t="s">
        <v>919</v>
      </c>
      <c r="I1" s="210" t="s">
        <v>920</v>
      </c>
      <c r="J1" s="211" t="s">
        <v>921</v>
      </c>
      <c r="K1" s="212" t="s">
        <v>922</v>
      </c>
      <c r="L1" s="210" t="s">
        <v>923</v>
      </c>
      <c r="M1" s="210" t="s">
        <v>924</v>
      </c>
      <c r="N1" s="210" t="s">
        <v>925</v>
      </c>
      <c r="O1" s="211" t="s">
        <v>926</v>
      </c>
    </row>
    <row r="2">
      <c r="A2" s="214" t="s">
        <v>745</v>
      </c>
      <c r="B2" s="215" t="s">
        <v>99</v>
      </c>
      <c r="C2" s="215" t="s">
        <v>512</v>
      </c>
      <c r="D2" s="216">
        <v>60.0</v>
      </c>
      <c r="E2" s="216">
        <v>60.0</v>
      </c>
      <c r="F2" s="216">
        <v>50.0</v>
      </c>
      <c r="G2" s="216">
        <v>50.0</v>
      </c>
      <c r="H2" s="216">
        <v>-10.0</v>
      </c>
      <c r="I2" s="215" t="s">
        <v>55</v>
      </c>
      <c r="J2" s="217">
        <v>45900.0</v>
      </c>
      <c r="K2" s="216">
        <v>8.0</v>
      </c>
      <c r="L2" s="218" t="s">
        <v>927</v>
      </c>
      <c r="M2" s="215" t="s">
        <v>48</v>
      </c>
      <c r="N2" s="215" t="s">
        <v>928</v>
      </c>
      <c r="O2" s="216">
        <v>8.0</v>
      </c>
    </row>
    <row r="3">
      <c r="A3" s="214" t="s">
        <v>429</v>
      </c>
      <c r="B3" s="215" t="s">
        <v>99</v>
      </c>
      <c r="C3" s="215" t="s">
        <v>481</v>
      </c>
      <c r="D3" s="216">
        <v>23.0</v>
      </c>
      <c r="E3" s="216">
        <v>23.0</v>
      </c>
      <c r="F3" s="216">
        <v>90.0</v>
      </c>
      <c r="G3" s="216">
        <v>90.0</v>
      </c>
      <c r="H3" s="216">
        <v>67.0</v>
      </c>
      <c r="I3" s="215" t="s">
        <v>59</v>
      </c>
      <c r="J3" s="217">
        <v>46265.0</v>
      </c>
      <c r="K3" s="216">
        <v>3.0</v>
      </c>
      <c r="L3" s="218" t="s">
        <v>927</v>
      </c>
      <c r="M3" s="215" t="s">
        <v>48</v>
      </c>
      <c r="N3" s="215" t="s">
        <v>929</v>
      </c>
      <c r="O3" s="216">
        <v>3.0</v>
      </c>
    </row>
    <row r="4">
      <c r="A4" s="214" t="s">
        <v>850</v>
      </c>
      <c r="B4" s="215" t="s">
        <v>99</v>
      </c>
      <c r="C4" s="215" t="s">
        <v>930</v>
      </c>
      <c r="D4" s="216">
        <v>14.0</v>
      </c>
      <c r="E4" s="216">
        <v>14.0</v>
      </c>
      <c r="F4" s="216">
        <v>25.0</v>
      </c>
      <c r="G4" s="216">
        <v>25.0</v>
      </c>
      <c r="H4" s="216">
        <v>11.0</v>
      </c>
      <c r="I4" s="215" t="s">
        <v>67</v>
      </c>
      <c r="J4" s="217">
        <v>45900.0</v>
      </c>
      <c r="K4" s="216">
        <v>2.0</v>
      </c>
      <c r="L4" s="218" t="s">
        <v>927</v>
      </c>
      <c r="M4" s="215" t="s">
        <v>48</v>
      </c>
      <c r="N4" s="215" t="s">
        <v>929</v>
      </c>
      <c r="O4" s="216">
        <v>2.0</v>
      </c>
    </row>
    <row r="5">
      <c r="A5" s="214" t="s">
        <v>633</v>
      </c>
      <c r="B5" s="215" t="s">
        <v>99</v>
      </c>
      <c r="C5" s="215" t="s">
        <v>931</v>
      </c>
      <c r="D5" s="216">
        <v>88.0</v>
      </c>
      <c r="E5" s="216">
        <v>88.0</v>
      </c>
      <c r="F5" s="216">
        <v>100.0</v>
      </c>
      <c r="G5" s="216">
        <v>100.0</v>
      </c>
      <c r="H5" s="216">
        <v>12.0</v>
      </c>
      <c r="I5" s="215" t="s">
        <v>59</v>
      </c>
      <c r="J5" s="217">
        <v>46265.0</v>
      </c>
      <c r="K5" s="216">
        <v>10.5</v>
      </c>
      <c r="L5" s="218" t="s">
        <v>927</v>
      </c>
      <c r="M5" s="215" t="s">
        <v>48</v>
      </c>
      <c r="N5" s="215" t="s">
        <v>929</v>
      </c>
      <c r="O5" s="216">
        <v>10.5</v>
      </c>
    </row>
    <row r="6">
      <c r="A6" s="214" t="s">
        <v>634</v>
      </c>
      <c r="B6" s="215" t="s">
        <v>99</v>
      </c>
      <c r="C6" s="215" t="s">
        <v>478</v>
      </c>
      <c r="D6" s="216">
        <v>80.0</v>
      </c>
      <c r="E6" s="216">
        <v>80.0</v>
      </c>
      <c r="F6" s="216">
        <v>55.0</v>
      </c>
      <c r="G6" s="216">
        <v>55.0</v>
      </c>
      <c r="H6" s="216">
        <v>-25.0</v>
      </c>
      <c r="I6" s="215" t="s">
        <v>67</v>
      </c>
      <c r="J6" s="217">
        <v>45900.0</v>
      </c>
      <c r="K6" s="216">
        <v>9.5</v>
      </c>
      <c r="L6" s="218" t="s">
        <v>927</v>
      </c>
      <c r="M6" s="215" t="s">
        <v>48</v>
      </c>
      <c r="N6" s="215" t="s">
        <v>929</v>
      </c>
      <c r="O6" s="216">
        <v>9.5</v>
      </c>
    </row>
    <row r="7">
      <c r="A7" s="214" t="s">
        <v>635</v>
      </c>
      <c r="B7" s="215" t="s">
        <v>99</v>
      </c>
      <c r="C7" s="215" t="s">
        <v>931</v>
      </c>
      <c r="D7" s="216">
        <v>20.0</v>
      </c>
      <c r="E7" s="216">
        <v>20.0</v>
      </c>
      <c r="F7" s="216">
        <v>18.0</v>
      </c>
      <c r="G7" s="216">
        <v>18.0</v>
      </c>
      <c r="H7" s="216">
        <v>-2.0</v>
      </c>
      <c r="I7" s="219" t="s">
        <v>67</v>
      </c>
      <c r="J7" s="220">
        <v>45900.0</v>
      </c>
      <c r="K7" s="216">
        <v>2.5</v>
      </c>
      <c r="L7" s="218" t="s">
        <v>932</v>
      </c>
      <c r="M7" s="215" t="s">
        <v>48</v>
      </c>
      <c r="N7" s="215" t="s">
        <v>929</v>
      </c>
      <c r="O7" s="216">
        <v>2.5</v>
      </c>
    </row>
    <row r="8">
      <c r="A8" s="214" t="s">
        <v>636</v>
      </c>
      <c r="B8" s="215" t="s">
        <v>99</v>
      </c>
      <c r="C8" s="215" t="s">
        <v>930</v>
      </c>
      <c r="D8" s="216">
        <v>50.0</v>
      </c>
      <c r="E8" s="216">
        <v>50.0</v>
      </c>
      <c r="F8" s="216">
        <v>35.0</v>
      </c>
      <c r="G8" s="216">
        <v>35.0</v>
      </c>
      <c r="H8" s="216">
        <v>-15.0</v>
      </c>
      <c r="I8" s="221" t="s">
        <v>59</v>
      </c>
      <c r="J8" s="217">
        <v>46265.0</v>
      </c>
      <c r="K8" s="216">
        <v>6.0</v>
      </c>
      <c r="L8" s="218" t="s">
        <v>927</v>
      </c>
      <c r="M8" s="215" t="s">
        <v>48</v>
      </c>
      <c r="N8" s="215" t="s">
        <v>929</v>
      </c>
      <c r="O8" s="216">
        <v>6.0</v>
      </c>
    </row>
    <row r="9">
      <c r="A9" s="214" t="s">
        <v>637</v>
      </c>
      <c r="B9" s="215" t="s">
        <v>99</v>
      </c>
      <c r="C9" s="215" t="s">
        <v>930</v>
      </c>
      <c r="D9" s="216">
        <v>12.0</v>
      </c>
      <c r="E9" s="216">
        <v>12.0</v>
      </c>
      <c r="F9" s="216">
        <v>28.0</v>
      </c>
      <c r="G9" s="216">
        <v>28.0</v>
      </c>
      <c r="H9" s="216">
        <v>16.0</v>
      </c>
      <c r="I9" s="215" t="s">
        <v>67</v>
      </c>
      <c r="J9" s="217">
        <v>45900.0</v>
      </c>
      <c r="K9" s="216">
        <v>1.5</v>
      </c>
      <c r="L9" s="218" t="s">
        <v>927</v>
      </c>
      <c r="M9" s="215" t="s">
        <v>48</v>
      </c>
      <c r="N9" s="215" t="s">
        <v>929</v>
      </c>
      <c r="O9" s="216">
        <v>1.5</v>
      </c>
    </row>
    <row r="10">
      <c r="A10" s="214" t="s">
        <v>709</v>
      </c>
      <c r="B10" s="215" t="s">
        <v>235</v>
      </c>
      <c r="C10" s="215" t="s">
        <v>478</v>
      </c>
      <c r="D10" s="216">
        <v>14.0</v>
      </c>
      <c r="E10" s="216">
        <v>14.0</v>
      </c>
      <c r="F10" s="216">
        <v>65.0</v>
      </c>
      <c r="G10" s="216">
        <v>65.0</v>
      </c>
      <c r="H10" s="216">
        <v>51.0</v>
      </c>
      <c r="I10" s="215" t="s">
        <v>55</v>
      </c>
      <c r="J10" s="217">
        <v>45900.0</v>
      </c>
      <c r="K10" s="216">
        <v>2.0</v>
      </c>
      <c r="L10" s="218" t="s">
        <v>927</v>
      </c>
      <c r="M10" s="215" t="s">
        <v>48</v>
      </c>
      <c r="N10" s="215" t="s">
        <v>928</v>
      </c>
      <c r="O10" s="216">
        <v>2.0</v>
      </c>
    </row>
    <row r="11">
      <c r="A11" s="214" t="s">
        <v>269</v>
      </c>
      <c r="B11" s="215" t="s">
        <v>235</v>
      </c>
      <c r="C11" s="215" t="s">
        <v>481</v>
      </c>
      <c r="D11" s="216">
        <v>30.0</v>
      </c>
      <c r="E11" s="216">
        <v>30.0</v>
      </c>
      <c r="F11" s="216">
        <v>40.0</v>
      </c>
      <c r="G11" s="216">
        <v>40.0</v>
      </c>
      <c r="H11" s="216">
        <v>10.0</v>
      </c>
      <c r="I11" s="215" t="s">
        <v>59</v>
      </c>
      <c r="J11" s="217">
        <v>46265.0</v>
      </c>
      <c r="K11" s="216">
        <v>3.5</v>
      </c>
      <c r="L11" s="218" t="s">
        <v>927</v>
      </c>
      <c r="M11" s="215" t="s">
        <v>48</v>
      </c>
      <c r="N11" s="215" t="s">
        <v>929</v>
      </c>
      <c r="O11" s="216">
        <v>3.5</v>
      </c>
    </row>
    <row r="12">
      <c r="A12" s="214" t="s">
        <v>933</v>
      </c>
      <c r="B12" s="215" t="s">
        <v>235</v>
      </c>
      <c r="C12" s="215" t="s">
        <v>481</v>
      </c>
      <c r="D12" s="216">
        <v>27.0</v>
      </c>
      <c r="E12" s="216">
        <v>27.0</v>
      </c>
      <c r="F12" s="216">
        <v>24.0</v>
      </c>
      <c r="G12" s="216">
        <v>24.0</v>
      </c>
      <c r="H12" s="216">
        <v>-3.0</v>
      </c>
      <c r="I12" s="215" t="s">
        <v>55</v>
      </c>
      <c r="J12" s="217">
        <v>45900.0</v>
      </c>
      <c r="K12" s="216">
        <v>4.0</v>
      </c>
      <c r="L12" s="218" t="s">
        <v>927</v>
      </c>
      <c r="M12" s="215" t="s">
        <v>48</v>
      </c>
      <c r="N12" s="215" t="s">
        <v>928</v>
      </c>
      <c r="O12" s="216">
        <v>4.0</v>
      </c>
    </row>
    <row r="13">
      <c r="A13" s="214" t="s">
        <v>751</v>
      </c>
      <c r="B13" s="215" t="s">
        <v>235</v>
      </c>
      <c r="C13" s="215" t="s">
        <v>521</v>
      </c>
      <c r="D13" s="216">
        <v>39.0</v>
      </c>
      <c r="E13" s="216">
        <v>39.0</v>
      </c>
      <c r="F13" s="216">
        <v>85.0</v>
      </c>
      <c r="G13" s="216">
        <v>85.0</v>
      </c>
      <c r="H13" s="216">
        <v>46.0</v>
      </c>
      <c r="I13" s="215" t="s">
        <v>67</v>
      </c>
      <c r="J13" s="217">
        <v>45900.0</v>
      </c>
      <c r="K13" s="216">
        <v>4.5</v>
      </c>
      <c r="L13" s="218" t="s">
        <v>932</v>
      </c>
      <c r="M13" s="215" t="s">
        <v>48</v>
      </c>
      <c r="N13" s="215" t="s">
        <v>929</v>
      </c>
      <c r="O13" s="216">
        <v>4.5</v>
      </c>
    </row>
    <row r="14">
      <c r="A14" s="214" t="s">
        <v>866</v>
      </c>
      <c r="B14" s="215" t="s">
        <v>235</v>
      </c>
      <c r="C14" s="215" t="s">
        <v>930</v>
      </c>
      <c r="D14" s="216">
        <v>40.0</v>
      </c>
      <c r="E14" s="216">
        <v>40.0</v>
      </c>
      <c r="F14" s="216">
        <v>25.0</v>
      </c>
      <c r="G14" s="216">
        <v>25.0</v>
      </c>
      <c r="H14" s="216">
        <v>-15.0</v>
      </c>
      <c r="I14" s="215" t="s">
        <v>55</v>
      </c>
      <c r="J14" s="217">
        <v>45900.0</v>
      </c>
      <c r="K14" s="216">
        <v>5.5</v>
      </c>
      <c r="L14" s="218" t="s">
        <v>927</v>
      </c>
      <c r="M14" s="215" t="s">
        <v>48</v>
      </c>
      <c r="N14" s="215" t="s">
        <v>928</v>
      </c>
      <c r="O14" s="216">
        <v>5.5</v>
      </c>
    </row>
    <row r="15">
      <c r="A15" s="214" t="s">
        <v>256</v>
      </c>
      <c r="B15" s="215" t="s">
        <v>235</v>
      </c>
      <c r="C15" s="215" t="s">
        <v>492</v>
      </c>
      <c r="D15" s="216">
        <v>54.0</v>
      </c>
      <c r="E15" s="216">
        <v>54.0</v>
      </c>
      <c r="F15" s="216">
        <v>55.0</v>
      </c>
      <c r="G15" s="216">
        <v>55.0</v>
      </c>
      <c r="H15" s="216">
        <v>1.0</v>
      </c>
      <c r="I15" s="215" t="s">
        <v>59</v>
      </c>
      <c r="J15" s="217">
        <v>46265.0</v>
      </c>
      <c r="K15" s="216">
        <v>6.5</v>
      </c>
      <c r="L15" s="218" t="s">
        <v>927</v>
      </c>
      <c r="M15" s="215" t="s">
        <v>48</v>
      </c>
      <c r="N15" s="215" t="s">
        <v>929</v>
      </c>
      <c r="O15" s="216">
        <v>6.5</v>
      </c>
    </row>
    <row r="16">
      <c r="A16" s="214" t="s">
        <v>387</v>
      </c>
      <c r="B16" s="215" t="s">
        <v>235</v>
      </c>
      <c r="C16" s="215" t="s">
        <v>934</v>
      </c>
      <c r="D16" s="216">
        <v>50.0</v>
      </c>
      <c r="E16" s="216">
        <v>50.0</v>
      </c>
      <c r="F16" s="216">
        <v>55.0</v>
      </c>
      <c r="G16" s="216">
        <v>55.0</v>
      </c>
      <c r="H16" s="216">
        <v>5.0</v>
      </c>
      <c r="I16" s="215" t="s">
        <v>55</v>
      </c>
      <c r="J16" s="217">
        <v>45900.0</v>
      </c>
      <c r="K16" s="216">
        <v>6.5</v>
      </c>
      <c r="L16" s="218" t="s">
        <v>927</v>
      </c>
      <c r="M16" s="215" t="s">
        <v>48</v>
      </c>
      <c r="N16" s="215" t="s">
        <v>928</v>
      </c>
      <c r="O16" s="216">
        <v>6.5</v>
      </c>
    </row>
    <row r="17">
      <c r="A17" s="214" t="s">
        <v>752</v>
      </c>
      <c r="B17" s="215" t="s">
        <v>235</v>
      </c>
      <c r="C17" s="215" t="s">
        <v>935</v>
      </c>
      <c r="D17" s="216">
        <v>155.0</v>
      </c>
      <c r="E17" s="216">
        <v>155.0</v>
      </c>
      <c r="F17" s="216">
        <v>120.0</v>
      </c>
      <c r="G17" s="216">
        <v>120.0</v>
      </c>
      <c r="H17" s="216">
        <v>-35.0</v>
      </c>
      <c r="I17" s="215" t="s">
        <v>67</v>
      </c>
      <c r="J17" s="217">
        <v>45900.0</v>
      </c>
      <c r="K17" s="216">
        <v>18.0</v>
      </c>
      <c r="L17" s="218" t="s">
        <v>932</v>
      </c>
      <c r="M17" s="215" t="s">
        <v>48</v>
      </c>
      <c r="N17" s="215" t="s">
        <v>929</v>
      </c>
      <c r="O17" s="216">
        <v>18.0</v>
      </c>
    </row>
    <row r="18">
      <c r="A18" s="214" t="s">
        <v>753</v>
      </c>
      <c r="B18" s="215" t="s">
        <v>235</v>
      </c>
      <c r="C18" s="215" t="s">
        <v>507</v>
      </c>
      <c r="D18" s="216">
        <v>165.0</v>
      </c>
      <c r="E18" s="216">
        <v>165.0</v>
      </c>
      <c r="F18" s="216">
        <v>250.0</v>
      </c>
      <c r="G18" s="216">
        <v>250.0</v>
      </c>
      <c r="H18" s="216">
        <v>85.0</v>
      </c>
      <c r="I18" s="215" t="s">
        <v>55</v>
      </c>
      <c r="J18" s="217">
        <v>45900.0</v>
      </c>
      <c r="K18" s="216">
        <v>21.5</v>
      </c>
      <c r="L18" s="218" t="s">
        <v>927</v>
      </c>
      <c r="M18" s="215" t="s">
        <v>48</v>
      </c>
      <c r="N18" s="215" t="s">
        <v>928</v>
      </c>
      <c r="O18" s="216">
        <v>21.5</v>
      </c>
    </row>
    <row r="19">
      <c r="A19" s="214" t="s">
        <v>936</v>
      </c>
      <c r="B19" s="215" t="s">
        <v>235</v>
      </c>
      <c r="C19" s="215" t="s">
        <v>507</v>
      </c>
      <c r="D19" s="216">
        <v>32.0</v>
      </c>
      <c r="E19" s="216">
        <v>32.0</v>
      </c>
      <c r="F19" s="216">
        <v>20.0</v>
      </c>
      <c r="G19" s="216">
        <v>20.0</v>
      </c>
      <c r="H19" s="216">
        <v>-12.0</v>
      </c>
      <c r="I19" s="215" t="s">
        <v>55</v>
      </c>
      <c r="J19" s="217">
        <v>45900.0</v>
      </c>
      <c r="K19" s="216">
        <v>4.5</v>
      </c>
      <c r="L19" s="218" t="s">
        <v>932</v>
      </c>
      <c r="M19" s="215" t="s">
        <v>48</v>
      </c>
      <c r="N19" s="215" t="s">
        <v>928</v>
      </c>
      <c r="O19" s="216">
        <v>4.5</v>
      </c>
    </row>
    <row r="20">
      <c r="A20" s="214" t="s">
        <v>273</v>
      </c>
      <c r="B20" s="215" t="s">
        <v>235</v>
      </c>
      <c r="C20" s="215" t="s">
        <v>512</v>
      </c>
      <c r="D20" s="216">
        <v>185.0</v>
      </c>
      <c r="E20" s="216">
        <v>185.0</v>
      </c>
      <c r="F20" s="216">
        <v>320.0</v>
      </c>
      <c r="G20" s="216">
        <v>320.0</v>
      </c>
      <c r="H20" s="216">
        <v>135.0</v>
      </c>
      <c r="I20" s="215" t="s">
        <v>59</v>
      </c>
      <c r="J20" s="217">
        <v>46265.0</v>
      </c>
      <c r="K20" s="216">
        <v>21.5</v>
      </c>
      <c r="L20" s="218" t="s">
        <v>927</v>
      </c>
      <c r="M20" s="215" t="s">
        <v>48</v>
      </c>
      <c r="N20" s="215" t="s">
        <v>929</v>
      </c>
      <c r="O20" s="216">
        <v>21.5</v>
      </c>
    </row>
    <row r="21">
      <c r="A21" s="222" t="s">
        <v>204</v>
      </c>
      <c r="B21" s="223" t="s">
        <v>193</v>
      </c>
      <c r="C21" s="215" t="s">
        <v>478</v>
      </c>
      <c r="D21" s="216">
        <v>22.0</v>
      </c>
      <c r="E21" s="216">
        <v>22.0</v>
      </c>
      <c r="F21" s="216">
        <v>25.0</v>
      </c>
      <c r="G21" s="216">
        <v>25.0</v>
      </c>
      <c r="H21" s="216">
        <v>3.0</v>
      </c>
      <c r="I21" s="215" t="s">
        <v>59</v>
      </c>
      <c r="J21" s="217">
        <v>46265.0</v>
      </c>
      <c r="K21" s="216">
        <v>3.0</v>
      </c>
      <c r="L21" s="218" t="s">
        <v>927</v>
      </c>
      <c r="M21" s="215" t="s">
        <v>48</v>
      </c>
      <c r="N21" s="215" t="s">
        <v>929</v>
      </c>
      <c r="O21" s="216">
        <v>3.0</v>
      </c>
    </row>
    <row r="22">
      <c r="A22" s="222" t="s">
        <v>261</v>
      </c>
      <c r="B22" s="223" t="s">
        <v>193</v>
      </c>
      <c r="C22" s="215" t="s">
        <v>478</v>
      </c>
      <c r="D22" s="216">
        <v>89.0</v>
      </c>
      <c r="E22" s="216">
        <v>89.0</v>
      </c>
      <c r="F22" s="216">
        <v>75.0</v>
      </c>
      <c r="G22" s="216">
        <v>75.0</v>
      </c>
      <c r="H22" s="216">
        <v>-14.0</v>
      </c>
      <c r="I22" s="215" t="s">
        <v>55</v>
      </c>
      <c r="J22" s="217">
        <v>45900.0</v>
      </c>
      <c r="K22" s="216">
        <v>12.0</v>
      </c>
      <c r="L22" s="218" t="s">
        <v>927</v>
      </c>
      <c r="M22" s="215" t="s">
        <v>48</v>
      </c>
      <c r="N22" s="215" t="s">
        <v>928</v>
      </c>
      <c r="O22" s="216">
        <v>12.0</v>
      </c>
    </row>
    <row r="23">
      <c r="A23" s="222" t="s">
        <v>193</v>
      </c>
      <c r="B23" s="223" t="s">
        <v>193</v>
      </c>
      <c r="C23" s="215" t="s">
        <v>937</v>
      </c>
      <c r="D23" s="216">
        <v>27.0</v>
      </c>
      <c r="E23" s="216">
        <v>27.0</v>
      </c>
      <c r="F23" s="216">
        <v>52.0</v>
      </c>
      <c r="G23" s="216">
        <v>52.0</v>
      </c>
      <c r="H23" s="216">
        <v>25.0</v>
      </c>
      <c r="I23" s="215" t="s">
        <v>55</v>
      </c>
      <c r="J23" s="217">
        <v>45900.0</v>
      </c>
      <c r="K23" s="216">
        <v>4.0</v>
      </c>
      <c r="L23" s="218" t="s">
        <v>927</v>
      </c>
      <c r="M23" s="215" t="s">
        <v>48</v>
      </c>
      <c r="N23" s="215" t="s">
        <v>928</v>
      </c>
      <c r="O23" s="216">
        <v>4.0</v>
      </c>
    </row>
    <row r="24">
      <c r="A24" s="222" t="s">
        <v>717</v>
      </c>
      <c r="B24" s="223" t="s">
        <v>193</v>
      </c>
      <c r="C24" s="215" t="s">
        <v>938</v>
      </c>
      <c r="D24" s="216">
        <v>96.0</v>
      </c>
      <c r="E24" s="216">
        <v>96.0</v>
      </c>
      <c r="F24" s="216">
        <v>55.0</v>
      </c>
      <c r="G24" s="216">
        <v>55.0</v>
      </c>
      <c r="H24" s="216">
        <v>-41.0</v>
      </c>
      <c r="I24" s="215" t="s">
        <v>55</v>
      </c>
      <c r="J24" s="217">
        <v>45900.0</v>
      </c>
      <c r="K24" s="216">
        <v>12.5</v>
      </c>
      <c r="L24" s="218" t="s">
        <v>932</v>
      </c>
      <c r="M24" s="215" t="s">
        <v>48</v>
      </c>
      <c r="N24" s="215" t="s">
        <v>928</v>
      </c>
      <c r="O24" s="216">
        <v>12.5</v>
      </c>
    </row>
    <row r="25">
      <c r="A25" s="222" t="s">
        <v>718</v>
      </c>
      <c r="B25" s="223" t="s">
        <v>193</v>
      </c>
      <c r="C25" s="215" t="s">
        <v>937</v>
      </c>
      <c r="D25" s="216">
        <v>50.0</v>
      </c>
      <c r="E25" s="216">
        <v>50.0</v>
      </c>
      <c r="F25" s="216">
        <v>75.0</v>
      </c>
      <c r="G25" s="216">
        <v>75.0</v>
      </c>
      <c r="H25" s="216">
        <v>25.0</v>
      </c>
      <c r="I25" s="215" t="s">
        <v>55</v>
      </c>
      <c r="J25" s="217">
        <v>45900.0</v>
      </c>
      <c r="K25" s="216">
        <v>6.5</v>
      </c>
      <c r="L25" s="218" t="s">
        <v>927</v>
      </c>
      <c r="M25" s="215" t="s">
        <v>48</v>
      </c>
      <c r="N25" s="215" t="s">
        <v>928</v>
      </c>
      <c r="O25" s="216">
        <v>6.5</v>
      </c>
    </row>
    <row r="26">
      <c r="A26" s="222" t="s">
        <v>815</v>
      </c>
      <c r="B26" s="223" t="s">
        <v>193</v>
      </c>
      <c r="C26" s="215" t="s">
        <v>931</v>
      </c>
      <c r="D26" s="216">
        <v>8.0</v>
      </c>
      <c r="E26" s="216">
        <v>8.0</v>
      </c>
      <c r="F26" s="216">
        <v>42.0</v>
      </c>
      <c r="G26" s="216">
        <v>42.0</v>
      </c>
      <c r="H26" s="216">
        <v>34.0</v>
      </c>
      <c r="I26" s="215" t="s">
        <v>55</v>
      </c>
      <c r="J26" s="217">
        <v>45900.0</v>
      </c>
      <c r="K26" s="216">
        <v>1.5</v>
      </c>
      <c r="L26" s="218" t="s">
        <v>927</v>
      </c>
      <c r="M26" s="215" t="s">
        <v>48</v>
      </c>
      <c r="N26" s="215" t="s">
        <v>928</v>
      </c>
      <c r="O26" s="216">
        <v>1.5</v>
      </c>
    </row>
    <row r="27">
      <c r="A27" s="224" t="s">
        <v>192</v>
      </c>
      <c r="B27" s="223" t="s">
        <v>193</v>
      </c>
      <c r="C27" s="223" t="s">
        <v>481</v>
      </c>
      <c r="D27" s="225">
        <v>48.0</v>
      </c>
      <c r="E27" s="225">
        <v>48.0</v>
      </c>
      <c r="F27" s="216">
        <v>85.0</v>
      </c>
      <c r="G27" s="216">
        <v>85.0</v>
      </c>
      <c r="H27" s="216">
        <v>37.0</v>
      </c>
      <c r="I27" s="223" t="s">
        <v>59</v>
      </c>
      <c r="J27" s="217">
        <v>46265.0</v>
      </c>
      <c r="K27" s="216">
        <v>6.0</v>
      </c>
      <c r="L27" s="218" t="s">
        <v>927</v>
      </c>
      <c r="M27" s="215" t="s">
        <v>48</v>
      </c>
      <c r="N27" s="215" t="s">
        <v>929</v>
      </c>
      <c r="O27" s="216">
        <v>6.0</v>
      </c>
    </row>
    <row r="28">
      <c r="A28" s="226" t="s">
        <v>719</v>
      </c>
      <c r="B28" s="221" t="s">
        <v>193</v>
      </c>
      <c r="C28" s="221" t="s">
        <v>930</v>
      </c>
      <c r="D28" s="227">
        <v>81.0</v>
      </c>
      <c r="E28" s="227">
        <v>81.0</v>
      </c>
      <c r="F28" s="216">
        <v>330.0</v>
      </c>
      <c r="G28" s="216">
        <v>330.0</v>
      </c>
      <c r="H28" s="216">
        <v>249.0</v>
      </c>
      <c r="I28" s="221" t="s">
        <v>55</v>
      </c>
      <c r="J28" s="217">
        <v>45900.0</v>
      </c>
      <c r="K28" s="216">
        <v>11.0</v>
      </c>
      <c r="L28" s="218" t="s">
        <v>927</v>
      </c>
      <c r="M28" s="215" t="s">
        <v>48</v>
      </c>
      <c r="N28" s="215" t="s">
        <v>928</v>
      </c>
      <c r="O28" s="216">
        <v>11.0</v>
      </c>
    </row>
    <row r="29">
      <c r="A29" s="222" t="s">
        <v>720</v>
      </c>
      <c r="B29" s="215" t="s">
        <v>193</v>
      </c>
      <c r="C29" s="215" t="s">
        <v>507</v>
      </c>
      <c r="D29" s="216">
        <v>100.0</v>
      </c>
      <c r="E29" s="216">
        <v>100.0</v>
      </c>
      <c r="F29" s="216">
        <v>125.0</v>
      </c>
      <c r="G29" s="216">
        <v>125.0</v>
      </c>
      <c r="H29" s="216">
        <v>25.0</v>
      </c>
      <c r="I29" s="215" t="s">
        <v>55</v>
      </c>
      <c r="J29" s="217">
        <v>45900.0</v>
      </c>
      <c r="K29" s="216">
        <v>13.0</v>
      </c>
      <c r="L29" s="218" t="s">
        <v>927</v>
      </c>
      <c r="M29" s="215" t="s">
        <v>48</v>
      </c>
      <c r="N29" s="215" t="s">
        <v>928</v>
      </c>
      <c r="O29" s="216">
        <v>13.0</v>
      </c>
    </row>
    <row r="30">
      <c r="A30" s="222" t="s">
        <v>721</v>
      </c>
      <c r="B30" s="215" t="s">
        <v>193</v>
      </c>
      <c r="C30" s="215" t="s">
        <v>507</v>
      </c>
      <c r="D30" s="216">
        <v>265.0</v>
      </c>
      <c r="E30" s="216">
        <v>265.0</v>
      </c>
      <c r="F30" s="216">
        <v>190.0</v>
      </c>
      <c r="G30" s="216">
        <v>190.0</v>
      </c>
      <c r="H30" s="216">
        <v>-75.0</v>
      </c>
      <c r="I30" s="215" t="s">
        <v>55</v>
      </c>
      <c r="J30" s="217">
        <v>45900.0</v>
      </c>
      <c r="K30" s="216">
        <v>34.5</v>
      </c>
      <c r="L30" s="218" t="s">
        <v>932</v>
      </c>
      <c r="M30" s="215" t="s">
        <v>48</v>
      </c>
      <c r="N30" s="215" t="s">
        <v>928</v>
      </c>
      <c r="O30" s="216">
        <v>34.5</v>
      </c>
    </row>
    <row r="31">
      <c r="A31" s="214" t="s">
        <v>347</v>
      </c>
      <c r="B31" s="215" t="s">
        <v>172</v>
      </c>
      <c r="C31" s="215" t="s">
        <v>478</v>
      </c>
      <c r="D31" s="216">
        <v>60.0</v>
      </c>
      <c r="E31" s="216">
        <v>60.0</v>
      </c>
      <c r="F31" s="216">
        <v>55.0</v>
      </c>
      <c r="G31" s="216">
        <v>55.0</v>
      </c>
      <c r="H31" s="216">
        <v>-5.0</v>
      </c>
      <c r="I31" s="215" t="s">
        <v>59</v>
      </c>
      <c r="J31" s="217">
        <v>46265.0</v>
      </c>
      <c r="K31" s="216">
        <v>7.0</v>
      </c>
      <c r="L31" s="218" t="s">
        <v>927</v>
      </c>
      <c r="M31" s="215" t="s">
        <v>48</v>
      </c>
      <c r="N31" s="215" t="s">
        <v>929</v>
      </c>
      <c r="O31" s="216">
        <v>7.0</v>
      </c>
    </row>
    <row r="32">
      <c r="A32" s="228" t="s">
        <v>867</v>
      </c>
      <c r="B32" s="215" t="s">
        <v>172</v>
      </c>
      <c r="C32" s="215" t="s">
        <v>478</v>
      </c>
      <c r="D32" s="216">
        <v>47.0</v>
      </c>
      <c r="E32" s="216">
        <v>47.0</v>
      </c>
      <c r="F32" s="216">
        <v>5.0</v>
      </c>
      <c r="G32" s="216">
        <v>5.0</v>
      </c>
      <c r="H32" s="216">
        <v>-42.0</v>
      </c>
      <c r="I32" s="215" t="s">
        <v>67</v>
      </c>
      <c r="J32" s="217">
        <v>45900.0</v>
      </c>
      <c r="K32" s="216">
        <v>5.5</v>
      </c>
      <c r="L32" s="218" t="s">
        <v>927</v>
      </c>
      <c r="M32" s="215" t="s">
        <v>48</v>
      </c>
      <c r="N32" s="215" t="s">
        <v>929</v>
      </c>
      <c r="O32" s="216">
        <v>5.5</v>
      </c>
    </row>
    <row r="33">
      <c r="A33" s="214" t="s">
        <v>346</v>
      </c>
      <c r="B33" s="215" t="s">
        <v>172</v>
      </c>
      <c r="C33" s="215" t="s">
        <v>937</v>
      </c>
      <c r="D33" s="216">
        <v>50.0</v>
      </c>
      <c r="E33" s="216">
        <v>50.0</v>
      </c>
      <c r="F33" s="216">
        <v>40.0</v>
      </c>
      <c r="G33" s="216">
        <v>40.0</v>
      </c>
      <c r="H33" s="216">
        <v>-10.0</v>
      </c>
      <c r="I33" s="215" t="s">
        <v>59</v>
      </c>
      <c r="J33" s="217">
        <v>46265.0</v>
      </c>
      <c r="K33" s="216">
        <v>6.0</v>
      </c>
      <c r="L33" s="218" t="s">
        <v>927</v>
      </c>
      <c r="M33" s="215" t="s">
        <v>48</v>
      </c>
      <c r="N33" s="215" t="s">
        <v>929</v>
      </c>
      <c r="O33" s="216">
        <v>6.0</v>
      </c>
    </row>
    <row r="34">
      <c r="A34" s="214" t="s">
        <v>816</v>
      </c>
      <c r="B34" s="215" t="s">
        <v>172</v>
      </c>
      <c r="C34" s="215" t="s">
        <v>481</v>
      </c>
      <c r="D34" s="216">
        <v>44.0</v>
      </c>
      <c r="E34" s="216">
        <v>44.0</v>
      </c>
      <c r="F34" s="216">
        <v>38.0</v>
      </c>
      <c r="G34" s="216">
        <v>38.0</v>
      </c>
      <c r="H34" s="216">
        <v>-6.0</v>
      </c>
      <c r="I34" s="215" t="s">
        <v>67</v>
      </c>
      <c r="J34" s="217">
        <v>45900.0</v>
      </c>
      <c r="K34" s="216">
        <v>5.5</v>
      </c>
      <c r="L34" s="218" t="s">
        <v>927</v>
      </c>
      <c r="M34" s="215" t="s">
        <v>48</v>
      </c>
      <c r="N34" s="215" t="s">
        <v>929</v>
      </c>
      <c r="O34" s="216">
        <v>5.5</v>
      </c>
    </row>
    <row r="35">
      <c r="A35" s="214" t="s">
        <v>225</v>
      </c>
      <c r="B35" s="215" t="s">
        <v>172</v>
      </c>
      <c r="C35" s="215" t="s">
        <v>934</v>
      </c>
      <c r="D35" s="216">
        <v>78.0</v>
      </c>
      <c r="E35" s="216">
        <v>78.0</v>
      </c>
      <c r="F35" s="216">
        <v>30.0</v>
      </c>
      <c r="G35" s="216">
        <v>30.0</v>
      </c>
      <c r="H35" s="216">
        <v>-48.0</v>
      </c>
      <c r="I35" s="215" t="s">
        <v>59</v>
      </c>
      <c r="J35" s="217">
        <v>46265.0</v>
      </c>
      <c r="K35" s="216">
        <v>9.0</v>
      </c>
      <c r="L35" s="218" t="s">
        <v>927</v>
      </c>
      <c r="M35" s="215" t="s">
        <v>48</v>
      </c>
      <c r="N35" s="215" t="s">
        <v>929</v>
      </c>
      <c r="O35" s="216">
        <v>9.0</v>
      </c>
    </row>
    <row r="36">
      <c r="A36" s="214" t="s">
        <v>817</v>
      </c>
      <c r="B36" s="215" t="s">
        <v>172</v>
      </c>
      <c r="C36" s="215" t="s">
        <v>934</v>
      </c>
      <c r="D36" s="216">
        <v>25.0</v>
      </c>
      <c r="E36" s="216">
        <v>25.0</v>
      </c>
      <c r="F36" s="216">
        <v>105.0</v>
      </c>
      <c r="G36" s="216">
        <v>105.0</v>
      </c>
      <c r="H36" s="216">
        <v>80.0</v>
      </c>
      <c r="I36" s="215" t="s">
        <v>59</v>
      </c>
      <c r="J36" s="217">
        <v>46265.0</v>
      </c>
      <c r="K36" s="216">
        <v>3.0</v>
      </c>
      <c r="L36" s="218" t="s">
        <v>927</v>
      </c>
      <c r="M36" s="215" t="s">
        <v>48</v>
      </c>
      <c r="N36" s="215" t="s">
        <v>929</v>
      </c>
      <c r="O36" s="216">
        <v>3.0</v>
      </c>
    </row>
    <row r="37">
      <c r="A37" s="214" t="s">
        <v>818</v>
      </c>
      <c r="B37" s="215" t="s">
        <v>172</v>
      </c>
      <c r="C37" s="215" t="s">
        <v>935</v>
      </c>
      <c r="D37" s="216">
        <v>14.0</v>
      </c>
      <c r="E37" s="216">
        <v>14.0</v>
      </c>
      <c r="F37" s="216">
        <v>85.0</v>
      </c>
      <c r="G37" s="216">
        <v>85.0</v>
      </c>
      <c r="H37" s="216">
        <v>71.0</v>
      </c>
      <c r="I37" s="215" t="s">
        <v>55</v>
      </c>
      <c r="J37" s="217">
        <v>45900.0</v>
      </c>
      <c r="K37" s="216">
        <v>2.0</v>
      </c>
      <c r="L37" s="218" t="s">
        <v>927</v>
      </c>
      <c r="M37" s="215" t="s">
        <v>48</v>
      </c>
      <c r="N37" s="215" t="s">
        <v>928</v>
      </c>
      <c r="O37" s="216">
        <v>2.0</v>
      </c>
    </row>
    <row r="38">
      <c r="A38" s="214" t="s">
        <v>792</v>
      </c>
      <c r="B38" s="215" t="s">
        <v>172</v>
      </c>
      <c r="C38" s="215" t="s">
        <v>507</v>
      </c>
      <c r="D38" s="216">
        <v>25.0</v>
      </c>
      <c r="E38" s="216">
        <v>25.0</v>
      </c>
      <c r="F38" s="216">
        <v>12.0</v>
      </c>
      <c r="G38" s="216">
        <v>12.0</v>
      </c>
      <c r="H38" s="216">
        <v>-13.0</v>
      </c>
      <c r="I38" s="215" t="s">
        <v>55</v>
      </c>
      <c r="J38" s="217">
        <v>45900.0</v>
      </c>
      <c r="K38" s="216">
        <v>3.5</v>
      </c>
      <c r="L38" s="218" t="s">
        <v>927</v>
      </c>
      <c r="M38" s="215" t="s">
        <v>48</v>
      </c>
      <c r="N38" s="215" t="s">
        <v>928</v>
      </c>
      <c r="O38" s="216">
        <v>3.5</v>
      </c>
    </row>
    <row r="39">
      <c r="A39" s="214" t="s">
        <v>145</v>
      </c>
      <c r="B39" s="215" t="s">
        <v>172</v>
      </c>
      <c r="C39" s="215" t="s">
        <v>512</v>
      </c>
      <c r="D39" s="216">
        <v>436.0</v>
      </c>
      <c r="E39" s="216">
        <v>436.0</v>
      </c>
      <c r="F39" s="216">
        <v>450.0</v>
      </c>
      <c r="G39" s="216">
        <v>450.0</v>
      </c>
      <c r="H39" s="216">
        <v>14.0</v>
      </c>
      <c r="I39" s="215" t="s">
        <v>59</v>
      </c>
      <c r="J39" s="217">
        <v>46265.0</v>
      </c>
      <c r="K39" s="216">
        <v>50.5</v>
      </c>
      <c r="L39" s="218" t="s">
        <v>927</v>
      </c>
      <c r="M39" s="215" t="s">
        <v>48</v>
      </c>
      <c r="N39" s="215" t="s">
        <v>929</v>
      </c>
      <c r="O39" s="216">
        <v>50.5</v>
      </c>
    </row>
    <row r="40">
      <c r="A40" s="214" t="s">
        <v>341</v>
      </c>
      <c r="B40" s="215" t="s">
        <v>172</v>
      </c>
      <c r="C40" s="215" t="s">
        <v>512</v>
      </c>
      <c r="D40" s="216">
        <v>55.0</v>
      </c>
      <c r="E40" s="216">
        <v>55.0</v>
      </c>
      <c r="F40" s="216">
        <v>47.0</v>
      </c>
      <c r="G40" s="216">
        <v>47.0</v>
      </c>
      <c r="H40" s="216">
        <v>-8.0</v>
      </c>
      <c r="I40" s="215" t="s">
        <v>59</v>
      </c>
      <c r="J40" s="217">
        <v>46265.0</v>
      </c>
      <c r="K40" s="216">
        <v>6.5</v>
      </c>
      <c r="L40" s="218" t="s">
        <v>927</v>
      </c>
      <c r="M40" s="215" t="s">
        <v>48</v>
      </c>
      <c r="N40" s="215" t="s">
        <v>929</v>
      </c>
      <c r="O40" s="216">
        <v>6.5</v>
      </c>
    </row>
    <row r="41">
      <c r="A41" s="214" t="s">
        <v>305</v>
      </c>
      <c r="B41" s="215" t="s">
        <v>245</v>
      </c>
      <c r="C41" s="215" t="s">
        <v>934</v>
      </c>
      <c r="D41" s="216">
        <v>112.0</v>
      </c>
      <c r="E41" s="216">
        <v>112.0</v>
      </c>
      <c r="F41" s="216">
        <v>300.0</v>
      </c>
      <c r="G41" s="216">
        <v>300.0</v>
      </c>
      <c r="H41" s="216">
        <v>188.0</v>
      </c>
      <c r="I41" s="215" t="s">
        <v>59</v>
      </c>
      <c r="J41" s="217">
        <v>46265.0</v>
      </c>
      <c r="K41" s="216">
        <v>13.0</v>
      </c>
      <c r="L41" s="218" t="s">
        <v>927</v>
      </c>
      <c r="M41" s="215" t="s">
        <v>48</v>
      </c>
      <c r="N41" s="215" t="s">
        <v>929</v>
      </c>
      <c r="O41" s="216">
        <v>13.0</v>
      </c>
    </row>
    <row r="42">
      <c r="A42" s="214" t="s">
        <v>786</v>
      </c>
      <c r="B42" s="215" t="s">
        <v>245</v>
      </c>
      <c r="C42" s="215" t="s">
        <v>492</v>
      </c>
      <c r="D42" s="216">
        <v>18.0</v>
      </c>
      <c r="E42" s="216">
        <v>18.0</v>
      </c>
      <c r="F42" s="216">
        <v>45.0</v>
      </c>
      <c r="G42" s="216">
        <v>45.0</v>
      </c>
      <c r="H42" s="216">
        <v>27.0</v>
      </c>
      <c r="I42" s="215" t="s">
        <v>55</v>
      </c>
      <c r="J42" s="217">
        <v>45900.0</v>
      </c>
      <c r="K42" s="216">
        <v>2.5</v>
      </c>
      <c r="L42" s="218" t="s">
        <v>927</v>
      </c>
      <c r="M42" s="215" t="s">
        <v>48</v>
      </c>
      <c r="N42" s="215" t="s">
        <v>928</v>
      </c>
      <c r="O42" s="216">
        <v>2.5</v>
      </c>
    </row>
    <row r="43">
      <c r="A43" s="214" t="s">
        <v>306</v>
      </c>
      <c r="B43" s="215" t="s">
        <v>245</v>
      </c>
      <c r="C43" s="215" t="s">
        <v>507</v>
      </c>
      <c r="D43" s="216">
        <v>282.0</v>
      </c>
      <c r="E43" s="216">
        <v>282.0</v>
      </c>
      <c r="F43" s="216">
        <v>200.0</v>
      </c>
      <c r="G43" s="216">
        <v>200.0</v>
      </c>
      <c r="H43" s="216">
        <v>-82.0</v>
      </c>
      <c r="I43" s="215" t="s">
        <v>59</v>
      </c>
      <c r="J43" s="217">
        <v>46265.0</v>
      </c>
      <c r="K43" s="216">
        <v>32.5</v>
      </c>
      <c r="L43" s="218" t="s">
        <v>927</v>
      </c>
      <c r="M43" s="215" t="s">
        <v>48</v>
      </c>
      <c r="N43" s="215" t="s">
        <v>929</v>
      </c>
      <c r="O43" s="216">
        <v>32.5</v>
      </c>
    </row>
    <row r="44">
      <c r="A44" s="214" t="s">
        <v>297</v>
      </c>
      <c r="B44" s="215" t="s">
        <v>245</v>
      </c>
      <c r="C44" s="215" t="s">
        <v>507</v>
      </c>
      <c r="D44" s="216">
        <v>292.0</v>
      </c>
      <c r="E44" s="216">
        <v>292.0</v>
      </c>
      <c r="F44" s="216">
        <v>330.0</v>
      </c>
      <c r="G44" s="216">
        <v>330.0</v>
      </c>
      <c r="H44" s="216">
        <v>38.0</v>
      </c>
      <c r="I44" s="215" t="s">
        <v>59</v>
      </c>
      <c r="J44" s="217">
        <v>46265.0</v>
      </c>
      <c r="K44" s="216">
        <v>34.0</v>
      </c>
      <c r="L44" s="218" t="s">
        <v>927</v>
      </c>
      <c r="M44" s="215" t="s">
        <v>48</v>
      </c>
      <c r="N44" s="215" t="s">
        <v>929</v>
      </c>
      <c r="O44" s="216">
        <v>34.0</v>
      </c>
    </row>
    <row r="45">
      <c r="A45" s="214" t="s">
        <v>393</v>
      </c>
      <c r="B45" s="223" t="s">
        <v>90</v>
      </c>
      <c r="C45" s="215" t="s">
        <v>478</v>
      </c>
      <c r="D45" s="216">
        <v>16.0</v>
      </c>
      <c r="E45" s="216">
        <v>16.0</v>
      </c>
      <c r="F45" s="216">
        <v>65.0</v>
      </c>
      <c r="G45" s="216">
        <v>65.0</v>
      </c>
      <c r="H45" s="216">
        <v>49.0</v>
      </c>
      <c r="I45" s="219" t="s">
        <v>59</v>
      </c>
      <c r="J45" s="220">
        <v>46265.0</v>
      </c>
      <c r="K45" s="216">
        <v>2.0</v>
      </c>
      <c r="L45" s="218" t="s">
        <v>927</v>
      </c>
      <c r="M45" s="215" t="s">
        <v>48</v>
      </c>
      <c r="N45" s="215" t="s">
        <v>929</v>
      </c>
      <c r="O45" s="216">
        <v>2.0</v>
      </c>
    </row>
    <row r="46">
      <c r="A46" s="214" t="s">
        <v>939</v>
      </c>
      <c r="B46" s="223" t="s">
        <v>90</v>
      </c>
      <c r="C46" s="215" t="s">
        <v>478</v>
      </c>
      <c r="D46" s="216">
        <v>28.0</v>
      </c>
      <c r="E46" s="216">
        <v>28.0</v>
      </c>
      <c r="F46" s="216">
        <v>5.0</v>
      </c>
      <c r="G46" s="216">
        <v>5.0</v>
      </c>
      <c r="H46" s="216">
        <v>-23.0</v>
      </c>
      <c r="I46" s="219" t="s">
        <v>59</v>
      </c>
      <c r="J46" s="220">
        <v>46265.0</v>
      </c>
      <c r="K46" s="216">
        <v>3.5</v>
      </c>
      <c r="L46" s="218" t="s">
        <v>927</v>
      </c>
      <c r="M46" s="215" t="s">
        <v>48</v>
      </c>
      <c r="N46" s="215" t="s">
        <v>929</v>
      </c>
      <c r="O46" s="216">
        <v>3.5</v>
      </c>
    </row>
    <row r="47">
      <c r="A47" s="228" t="s">
        <v>940</v>
      </c>
      <c r="B47" s="223" t="s">
        <v>90</v>
      </c>
      <c r="C47" s="215" t="s">
        <v>481</v>
      </c>
      <c r="D47" s="216">
        <v>26.0</v>
      </c>
      <c r="E47" s="216">
        <v>26.0</v>
      </c>
      <c r="F47" s="216">
        <v>23.0</v>
      </c>
      <c r="G47" s="216">
        <v>23.0</v>
      </c>
      <c r="H47" s="216">
        <v>-3.0</v>
      </c>
      <c r="I47" s="219" t="s">
        <v>55</v>
      </c>
      <c r="J47" s="220">
        <v>45900.0</v>
      </c>
      <c r="K47" s="216">
        <v>3.5</v>
      </c>
      <c r="L47" s="218" t="s">
        <v>927</v>
      </c>
      <c r="M47" s="215" t="s">
        <v>48</v>
      </c>
      <c r="N47" s="215" t="s">
        <v>928</v>
      </c>
      <c r="O47" s="216">
        <v>3.5</v>
      </c>
    </row>
    <row r="48">
      <c r="A48" s="214" t="s">
        <v>868</v>
      </c>
      <c r="B48" s="223" t="s">
        <v>90</v>
      </c>
      <c r="C48" s="215" t="s">
        <v>481</v>
      </c>
      <c r="D48" s="216">
        <v>36.0</v>
      </c>
      <c r="E48" s="216">
        <v>36.0</v>
      </c>
      <c r="F48" s="216">
        <v>32.0</v>
      </c>
      <c r="G48" s="216">
        <v>32.0</v>
      </c>
      <c r="H48" s="216">
        <v>-4.0</v>
      </c>
      <c r="I48" s="219" t="s">
        <v>55</v>
      </c>
      <c r="J48" s="220">
        <v>45900.0</v>
      </c>
      <c r="K48" s="216">
        <v>5.0</v>
      </c>
      <c r="L48" s="218" t="s">
        <v>927</v>
      </c>
      <c r="M48" s="215" t="s">
        <v>48</v>
      </c>
      <c r="N48" s="215" t="s">
        <v>928</v>
      </c>
      <c r="O48" s="216">
        <v>5.0</v>
      </c>
    </row>
    <row r="49">
      <c r="A49" s="214" t="s">
        <v>941</v>
      </c>
      <c r="B49" s="223" t="s">
        <v>90</v>
      </c>
      <c r="C49" s="215" t="s">
        <v>938</v>
      </c>
      <c r="D49" s="216">
        <v>6.0</v>
      </c>
      <c r="E49" s="216">
        <v>6.0</v>
      </c>
      <c r="F49" s="216">
        <v>22.0</v>
      </c>
      <c r="G49" s="216">
        <v>22.0</v>
      </c>
      <c r="H49" s="216">
        <v>16.0</v>
      </c>
      <c r="I49" s="219" t="s">
        <v>55</v>
      </c>
      <c r="J49" s="220">
        <v>45900.0</v>
      </c>
      <c r="K49" s="216">
        <v>1.0</v>
      </c>
      <c r="L49" s="218" t="s">
        <v>927</v>
      </c>
      <c r="M49" s="215" t="s">
        <v>48</v>
      </c>
      <c r="N49" s="215" t="s">
        <v>928</v>
      </c>
      <c r="O49" s="216">
        <v>1.0</v>
      </c>
    </row>
    <row r="50">
      <c r="A50" s="214" t="s">
        <v>757</v>
      </c>
      <c r="B50" s="223" t="s">
        <v>90</v>
      </c>
      <c r="C50" s="215" t="s">
        <v>934</v>
      </c>
      <c r="D50" s="216">
        <v>74.0</v>
      </c>
      <c r="E50" s="216">
        <v>74.0</v>
      </c>
      <c r="F50" s="216">
        <v>50.0</v>
      </c>
      <c r="G50" s="216">
        <v>50.0</v>
      </c>
      <c r="H50" s="216">
        <v>-24.0</v>
      </c>
      <c r="I50" s="219" t="s">
        <v>67</v>
      </c>
      <c r="J50" s="220">
        <v>45900.0</v>
      </c>
      <c r="K50" s="216">
        <v>9.0</v>
      </c>
      <c r="L50" s="218" t="s">
        <v>927</v>
      </c>
      <c r="M50" s="215" t="s">
        <v>48</v>
      </c>
      <c r="N50" s="215" t="s">
        <v>929</v>
      </c>
      <c r="O50" s="216">
        <v>9.0</v>
      </c>
    </row>
    <row r="51">
      <c r="A51" s="228" t="s">
        <v>942</v>
      </c>
      <c r="B51" s="223" t="s">
        <v>90</v>
      </c>
      <c r="C51" s="215" t="s">
        <v>934</v>
      </c>
      <c r="D51" s="216">
        <v>122.0</v>
      </c>
      <c r="E51" s="216">
        <v>122.0</v>
      </c>
      <c r="F51" s="216">
        <v>80.0</v>
      </c>
      <c r="G51" s="216">
        <v>80.0</v>
      </c>
      <c r="H51" s="216">
        <v>-42.0</v>
      </c>
      <c r="I51" s="219" t="s">
        <v>59</v>
      </c>
      <c r="J51" s="220">
        <v>46265.0</v>
      </c>
      <c r="K51" s="216">
        <v>14.5</v>
      </c>
      <c r="L51" s="218" t="s">
        <v>927</v>
      </c>
      <c r="M51" s="215" t="s">
        <v>48</v>
      </c>
      <c r="N51" s="215" t="s">
        <v>929</v>
      </c>
      <c r="O51" s="216">
        <v>14.5</v>
      </c>
    </row>
    <row r="52">
      <c r="A52" s="214" t="s">
        <v>821</v>
      </c>
      <c r="B52" s="223" t="s">
        <v>90</v>
      </c>
      <c r="C52" s="215" t="s">
        <v>930</v>
      </c>
      <c r="D52" s="216">
        <v>16.0</v>
      </c>
      <c r="E52" s="216">
        <v>16.0</v>
      </c>
      <c r="F52" s="216">
        <v>32.0</v>
      </c>
      <c r="G52" s="216">
        <v>32.0</v>
      </c>
      <c r="H52" s="216">
        <v>16.0</v>
      </c>
      <c r="I52" s="219" t="s">
        <v>67</v>
      </c>
      <c r="J52" s="220">
        <v>45900.0</v>
      </c>
      <c r="K52" s="216">
        <v>2.0</v>
      </c>
      <c r="L52" s="218" t="s">
        <v>927</v>
      </c>
      <c r="M52" s="215" t="s">
        <v>48</v>
      </c>
      <c r="N52" s="215" t="s">
        <v>929</v>
      </c>
      <c r="O52" s="216">
        <v>2.0</v>
      </c>
    </row>
    <row r="53">
      <c r="A53" s="214" t="s">
        <v>423</v>
      </c>
      <c r="B53" s="223" t="s">
        <v>90</v>
      </c>
      <c r="C53" s="215" t="s">
        <v>507</v>
      </c>
      <c r="D53" s="216">
        <v>37.0</v>
      </c>
      <c r="E53" s="216">
        <v>37.0</v>
      </c>
      <c r="F53" s="216">
        <v>25.0</v>
      </c>
      <c r="G53" s="216">
        <v>25.0</v>
      </c>
      <c r="H53" s="216">
        <v>-12.0</v>
      </c>
      <c r="I53" s="219" t="s">
        <v>67</v>
      </c>
      <c r="J53" s="220">
        <v>45900.0</v>
      </c>
      <c r="K53" s="216">
        <v>4.5</v>
      </c>
      <c r="L53" s="218" t="s">
        <v>927</v>
      </c>
      <c r="M53" s="215" t="s">
        <v>48</v>
      </c>
      <c r="N53" s="215" t="s">
        <v>929</v>
      </c>
      <c r="O53" s="216">
        <v>4.5</v>
      </c>
    </row>
    <row r="54">
      <c r="A54" s="214" t="s">
        <v>758</v>
      </c>
      <c r="B54" s="223" t="s">
        <v>90</v>
      </c>
      <c r="C54" s="215" t="s">
        <v>512</v>
      </c>
      <c r="D54" s="216">
        <v>33.0</v>
      </c>
      <c r="E54" s="216">
        <v>33.0</v>
      </c>
      <c r="F54" s="216">
        <v>10.0</v>
      </c>
      <c r="G54" s="216">
        <v>10.0</v>
      </c>
      <c r="H54" s="216">
        <v>-23.0</v>
      </c>
      <c r="I54" s="219" t="s">
        <v>67</v>
      </c>
      <c r="J54" s="220">
        <v>45900.0</v>
      </c>
      <c r="K54" s="216">
        <v>4.0</v>
      </c>
      <c r="L54" s="218" t="s">
        <v>927</v>
      </c>
      <c r="M54" s="215" t="s">
        <v>48</v>
      </c>
      <c r="N54" s="215" t="s">
        <v>929</v>
      </c>
      <c r="O54" s="216">
        <v>4.0</v>
      </c>
    </row>
    <row r="55">
      <c r="A55" s="214" t="s">
        <v>282</v>
      </c>
      <c r="B55" s="223" t="s">
        <v>90</v>
      </c>
      <c r="C55" s="215" t="s">
        <v>512</v>
      </c>
      <c r="D55" s="216">
        <v>342.0</v>
      </c>
      <c r="E55" s="216">
        <v>342.0</v>
      </c>
      <c r="F55" s="216">
        <v>350.0</v>
      </c>
      <c r="G55" s="216">
        <v>350.0</v>
      </c>
      <c r="H55" s="216">
        <v>8.0</v>
      </c>
      <c r="I55" s="219" t="s">
        <v>67</v>
      </c>
      <c r="J55" s="220">
        <v>45900.0</v>
      </c>
      <c r="K55" s="216">
        <v>39.5</v>
      </c>
      <c r="L55" s="218" t="s">
        <v>927</v>
      </c>
      <c r="M55" s="215" t="s">
        <v>48</v>
      </c>
      <c r="N55" s="215" t="s">
        <v>929</v>
      </c>
      <c r="O55" s="216">
        <v>39.5</v>
      </c>
    </row>
    <row r="56">
      <c r="A56" s="214" t="s">
        <v>682</v>
      </c>
      <c r="B56" s="223" t="s">
        <v>148</v>
      </c>
      <c r="C56" s="215" t="s">
        <v>931</v>
      </c>
      <c r="D56" s="216">
        <v>10.0</v>
      </c>
      <c r="E56" s="216">
        <v>10.0</v>
      </c>
      <c r="F56" s="216">
        <v>26.0</v>
      </c>
      <c r="G56" s="216">
        <v>26.0</v>
      </c>
      <c r="H56" s="216">
        <v>16.0</v>
      </c>
      <c r="I56" s="219" t="s">
        <v>55</v>
      </c>
      <c r="J56" s="220">
        <v>45900.0</v>
      </c>
      <c r="K56" s="216">
        <v>1.5</v>
      </c>
      <c r="L56" s="218" t="s">
        <v>927</v>
      </c>
      <c r="M56" s="215" t="s">
        <v>48</v>
      </c>
      <c r="N56" s="215" t="s">
        <v>928</v>
      </c>
      <c r="O56" s="216">
        <v>1.5</v>
      </c>
    </row>
    <row r="57">
      <c r="A57" s="214" t="s">
        <v>683</v>
      </c>
      <c r="B57" s="223" t="s">
        <v>148</v>
      </c>
      <c r="C57" s="215" t="s">
        <v>931</v>
      </c>
      <c r="D57" s="216">
        <v>7.0</v>
      </c>
      <c r="E57" s="216">
        <v>7.0</v>
      </c>
      <c r="F57" s="216">
        <v>19.0</v>
      </c>
      <c r="G57" s="216">
        <v>19.0</v>
      </c>
      <c r="H57" s="216">
        <v>12.0</v>
      </c>
      <c r="I57" s="219" t="s">
        <v>55</v>
      </c>
      <c r="J57" s="220">
        <v>45900.0</v>
      </c>
      <c r="K57" s="216">
        <v>1.0</v>
      </c>
      <c r="L57" s="218" t="s">
        <v>927</v>
      </c>
      <c r="M57" s="215" t="s">
        <v>48</v>
      </c>
      <c r="N57" s="215" t="s">
        <v>928</v>
      </c>
      <c r="O57" s="216">
        <v>1.0</v>
      </c>
    </row>
    <row r="58">
      <c r="A58" s="228" t="s">
        <v>943</v>
      </c>
      <c r="B58" s="223" t="s">
        <v>148</v>
      </c>
      <c r="C58" s="215" t="s">
        <v>934</v>
      </c>
      <c r="D58" s="216">
        <v>39.0</v>
      </c>
      <c r="E58" s="216">
        <v>39.0</v>
      </c>
      <c r="F58" s="216">
        <v>95.0</v>
      </c>
      <c r="G58" s="216">
        <v>95.0</v>
      </c>
      <c r="H58" s="216">
        <v>56.0</v>
      </c>
      <c r="I58" s="219" t="s">
        <v>55</v>
      </c>
      <c r="J58" s="220">
        <v>45900.0</v>
      </c>
      <c r="K58" s="216">
        <v>5.5</v>
      </c>
      <c r="L58" s="218" t="s">
        <v>927</v>
      </c>
      <c r="M58" s="215" t="s">
        <v>48</v>
      </c>
      <c r="N58" s="215" t="s">
        <v>928</v>
      </c>
      <c r="O58" s="216">
        <v>5.5</v>
      </c>
    </row>
    <row r="59">
      <c r="A59" s="214" t="s">
        <v>151</v>
      </c>
      <c r="B59" s="223" t="s">
        <v>148</v>
      </c>
      <c r="C59" s="215" t="s">
        <v>935</v>
      </c>
      <c r="D59" s="216">
        <v>75.0</v>
      </c>
      <c r="E59" s="216">
        <v>75.0</v>
      </c>
      <c r="F59" s="216">
        <v>35.0</v>
      </c>
      <c r="G59" s="216">
        <v>35.0</v>
      </c>
      <c r="H59" s="216">
        <v>-40.0</v>
      </c>
      <c r="I59" s="219" t="s">
        <v>59</v>
      </c>
      <c r="J59" s="220">
        <v>46265.0</v>
      </c>
      <c r="K59" s="216">
        <v>9.0</v>
      </c>
      <c r="L59" s="218" t="s">
        <v>927</v>
      </c>
      <c r="M59" s="215" t="s">
        <v>48</v>
      </c>
      <c r="N59" s="215" t="s">
        <v>929</v>
      </c>
      <c r="O59" s="216">
        <v>9.0</v>
      </c>
    </row>
    <row r="60">
      <c r="A60" s="214" t="s">
        <v>785</v>
      </c>
      <c r="B60" s="223" t="s">
        <v>148</v>
      </c>
      <c r="C60" s="215" t="s">
        <v>543</v>
      </c>
      <c r="D60" s="216">
        <v>37.0</v>
      </c>
      <c r="E60" s="216">
        <v>37.0</v>
      </c>
      <c r="F60" s="216">
        <v>270.0</v>
      </c>
      <c r="G60" s="216">
        <v>270.0</v>
      </c>
      <c r="H60" s="216">
        <v>233.0</v>
      </c>
      <c r="I60" s="219" t="s">
        <v>55</v>
      </c>
      <c r="J60" s="220">
        <v>45900.0</v>
      </c>
      <c r="K60" s="216">
        <v>5.0</v>
      </c>
      <c r="L60" s="218" t="s">
        <v>927</v>
      </c>
      <c r="M60" s="215" t="s">
        <v>48</v>
      </c>
      <c r="N60" s="215" t="s">
        <v>928</v>
      </c>
      <c r="O60" s="216">
        <v>5.0</v>
      </c>
    </row>
    <row r="61">
      <c r="A61" s="214" t="s">
        <v>684</v>
      </c>
      <c r="B61" s="223" t="s">
        <v>148</v>
      </c>
      <c r="C61" s="215" t="s">
        <v>507</v>
      </c>
      <c r="D61" s="216">
        <v>9.0</v>
      </c>
      <c r="E61" s="216">
        <v>9.0</v>
      </c>
      <c r="F61" s="216">
        <v>41.0</v>
      </c>
      <c r="G61" s="216">
        <v>41.0</v>
      </c>
      <c r="H61" s="216">
        <v>32.0</v>
      </c>
      <c r="I61" s="219" t="s">
        <v>55</v>
      </c>
      <c r="J61" s="220">
        <v>45900.0</v>
      </c>
      <c r="K61" s="216">
        <v>1.5</v>
      </c>
      <c r="L61" s="218" t="s">
        <v>927</v>
      </c>
      <c r="M61" s="215" t="s">
        <v>48</v>
      </c>
      <c r="N61" s="215" t="s">
        <v>928</v>
      </c>
      <c r="O61" s="216">
        <v>1.5</v>
      </c>
    </row>
    <row r="62">
      <c r="A62" s="214" t="s">
        <v>685</v>
      </c>
      <c r="B62" s="223" t="s">
        <v>148</v>
      </c>
      <c r="C62" s="215" t="s">
        <v>512</v>
      </c>
      <c r="D62" s="216">
        <v>303.0</v>
      </c>
      <c r="E62" s="216">
        <v>303.0</v>
      </c>
      <c r="F62" s="216">
        <v>260.0</v>
      </c>
      <c r="G62" s="216">
        <v>260.0</v>
      </c>
      <c r="H62" s="216">
        <v>-43.0</v>
      </c>
      <c r="I62" s="219" t="s">
        <v>55</v>
      </c>
      <c r="J62" s="220">
        <v>45900.0</v>
      </c>
      <c r="K62" s="216">
        <v>39.5</v>
      </c>
      <c r="L62" s="218" t="s">
        <v>927</v>
      </c>
      <c r="M62" s="215" t="s">
        <v>48</v>
      </c>
      <c r="N62" s="215" t="s">
        <v>928</v>
      </c>
      <c r="O62" s="216">
        <v>39.5</v>
      </c>
    </row>
    <row r="63">
      <c r="A63" s="214" t="s">
        <v>686</v>
      </c>
      <c r="B63" s="223" t="s">
        <v>148</v>
      </c>
      <c r="C63" s="215" t="s">
        <v>512</v>
      </c>
      <c r="D63" s="216">
        <v>128.0</v>
      </c>
      <c r="E63" s="216">
        <v>128.0</v>
      </c>
      <c r="F63" s="216">
        <v>55.0</v>
      </c>
      <c r="G63" s="216">
        <v>55.0</v>
      </c>
      <c r="H63" s="216">
        <v>-73.0</v>
      </c>
      <c r="I63" s="219" t="s">
        <v>59</v>
      </c>
      <c r="J63" s="220">
        <v>46265.0</v>
      </c>
      <c r="K63" s="216">
        <v>15.0</v>
      </c>
      <c r="L63" s="218" t="s">
        <v>927</v>
      </c>
      <c r="M63" s="215" t="s">
        <v>48</v>
      </c>
      <c r="N63" s="215" t="s">
        <v>929</v>
      </c>
      <c r="O63" s="216">
        <v>15.0</v>
      </c>
    </row>
    <row r="64">
      <c r="A64" s="214" t="s">
        <v>431</v>
      </c>
      <c r="B64" s="223" t="s">
        <v>127</v>
      </c>
      <c r="C64" s="215" t="s">
        <v>944</v>
      </c>
      <c r="D64" s="216">
        <v>27.0</v>
      </c>
      <c r="E64" s="216">
        <v>27.0</v>
      </c>
      <c r="F64" s="216">
        <v>55.0</v>
      </c>
      <c r="G64" s="216">
        <v>55.0</v>
      </c>
      <c r="H64" s="216">
        <v>28.0</v>
      </c>
      <c r="I64" s="219" t="s">
        <v>59</v>
      </c>
      <c r="J64" s="220">
        <v>46265.0</v>
      </c>
      <c r="K64" s="216">
        <v>3.5</v>
      </c>
      <c r="L64" s="218" t="s">
        <v>927</v>
      </c>
      <c r="M64" s="215" t="s">
        <v>48</v>
      </c>
      <c r="N64" s="215" t="s">
        <v>929</v>
      </c>
      <c r="O64" s="216">
        <v>3.5</v>
      </c>
    </row>
    <row r="65">
      <c r="A65" s="214" t="s">
        <v>892</v>
      </c>
      <c r="B65" s="223" t="s">
        <v>127</v>
      </c>
      <c r="C65" s="215" t="s">
        <v>931</v>
      </c>
      <c r="D65" s="216">
        <v>9.0</v>
      </c>
      <c r="E65" s="216">
        <v>9.0</v>
      </c>
      <c r="F65" s="216">
        <v>23.0</v>
      </c>
      <c r="G65" s="216">
        <v>23.0</v>
      </c>
      <c r="H65" s="216">
        <v>14.0</v>
      </c>
      <c r="I65" s="219" t="s">
        <v>55</v>
      </c>
      <c r="J65" s="220">
        <v>45900.0</v>
      </c>
      <c r="K65" s="216">
        <v>1.5</v>
      </c>
      <c r="L65" s="218" t="s">
        <v>932</v>
      </c>
      <c r="M65" s="215" t="s">
        <v>48</v>
      </c>
      <c r="N65" s="215" t="s">
        <v>928</v>
      </c>
      <c r="O65" s="216">
        <v>1.5</v>
      </c>
    </row>
    <row r="66">
      <c r="A66" s="214" t="s">
        <v>643</v>
      </c>
      <c r="B66" s="223" t="s">
        <v>127</v>
      </c>
      <c r="C66" s="215" t="s">
        <v>930</v>
      </c>
      <c r="D66" s="216">
        <v>5.0</v>
      </c>
      <c r="E66" s="216">
        <v>5.0</v>
      </c>
      <c r="F66" s="216">
        <v>15.0</v>
      </c>
      <c r="G66" s="216">
        <v>15.0</v>
      </c>
      <c r="H66" s="216">
        <v>10.0</v>
      </c>
      <c r="I66" s="219" t="s">
        <v>55</v>
      </c>
      <c r="J66" s="220">
        <v>45900.0</v>
      </c>
      <c r="K66" s="216">
        <v>1.0</v>
      </c>
      <c r="L66" s="218" t="s">
        <v>927</v>
      </c>
      <c r="M66" s="215" t="s">
        <v>48</v>
      </c>
      <c r="N66" s="215" t="s">
        <v>928</v>
      </c>
      <c r="O66" s="216">
        <v>1.0</v>
      </c>
    </row>
    <row r="67">
      <c r="A67" s="214" t="s">
        <v>945</v>
      </c>
      <c r="B67" s="223" t="s">
        <v>127</v>
      </c>
      <c r="C67" s="215" t="s">
        <v>492</v>
      </c>
      <c r="D67" s="216">
        <v>96.0</v>
      </c>
      <c r="E67" s="216">
        <v>96.0</v>
      </c>
      <c r="F67" s="216">
        <v>65.0</v>
      </c>
      <c r="G67" s="216">
        <v>65.0</v>
      </c>
      <c r="H67" s="216">
        <v>-31.0</v>
      </c>
      <c r="I67" s="219" t="s">
        <v>59</v>
      </c>
      <c r="J67" s="220">
        <v>46265.0</v>
      </c>
      <c r="K67" s="216">
        <v>11.5</v>
      </c>
      <c r="L67" s="218" t="s">
        <v>927</v>
      </c>
      <c r="M67" s="215" t="s">
        <v>48</v>
      </c>
      <c r="N67" s="215" t="s">
        <v>929</v>
      </c>
      <c r="O67" s="216">
        <v>11.5</v>
      </c>
    </row>
    <row r="68">
      <c r="A68" s="214" t="s">
        <v>438</v>
      </c>
      <c r="B68" s="223" t="s">
        <v>127</v>
      </c>
      <c r="C68" s="215" t="s">
        <v>934</v>
      </c>
      <c r="D68" s="216">
        <v>30.0</v>
      </c>
      <c r="E68" s="216">
        <v>30.0</v>
      </c>
      <c r="F68" s="216">
        <v>29.0</v>
      </c>
      <c r="G68" s="216">
        <v>29.0</v>
      </c>
      <c r="H68" s="216">
        <v>-1.0</v>
      </c>
      <c r="I68" s="219" t="s">
        <v>59</v>
      </c>
      <c r="J68" s="220">
        <v>46265.0</v>
      </c>
      <c r="K68" s="216">
        <v>3.5</v>
      </c>
      <c r="L68" s="218" t="s">
        <v>927</v>
      </c>
      <c r="M68" s="215" t="s">
        <v>48</v>
      </c>
      <c r="N68" s="215" t="s">
        <v>929</v>
      </c>
      <c r="O68" s="216">
        <v>3.5</v>
      </c>
    </row>
    <row r="69">
      <c r="A69" s="214" t="s">
        <v>946</v>
      </c>
      <c r="B69" s="223" t="s">
        <v>127</v>
      </c>
      <c r="C69" s="215" t="s">
        <v>543</v>
      </c>
      <c r="D69" s="216">
        <v>10.0</v>
      </c>
      <c r="E69" s="216">
        <v>10.0</v>
      </c>
      <c r="F69" s="216">
        <v>15.0</v>
      </c>
      <c r="G69" s="216">
        <v>15.0</v>
      </c>
      <c r="H69" s="216">
        <v>5.0</v>
      </c>
      <c r="I69" s="219" t="s">
        <v>55</v>
      </c>
      <c r="J69" s="220">
        <v>45900.0</v>
      </c>
      <c r="K69" s="216">
        <v>1.5</v>
      </c>
      <c r="L69" s="218" t="s">
        <v>927</v>
      </c>
      <c r="M69" s="215" t="s">
        <v>48</v>
      </c>
      <c r="N69" s="215" t="s">
        <v>928</v>
      </c>
      <c r="O69" s="216">
        <v>1.5</v>
      </c>
    </row>
    <row r="70">
      <c r="A70" s="214" t="s">
        <v>125</v>
      </c>
      <c r="B70" s="223" t="s">
        <v>127</v>
      </c>
      <c r="C70" s="215" t="s">
        <v>947</v>
      </c>
      <c r="D70" s="216">
        <v>120.0</v>
      </c>
      <c r="E70" s="216">
        <v>120.0</v>
      </c>
      <c r="F70" s="216">
        <v>300.0</v>
      </c>
      <c r="G70" s="216">
        <v>300.0</v>
      </c>
      <c r="H70" s="216">
        <v>180.0</v>
      </c>
      <c r="I70" s="219" t="s">
        <v>59</v>
      </c>
      <c r="J70" s="220">
        <v>46265.0</v>
      </c>
      <c r="K70" s="216">
        <v>14.0</v>
      </c>
      <c r="L70" s="218" t="s">
        <v>927</v>
      </c>
      <c r="M70" s="215" t="s">
        <v>48</v>
      </c>
      <c r="N70" s="215" t="s">
        <v>929</v>
      </c>
      <c r="O70" s="216">
        <v>14.0</v>
      </c>
    </row>
    <row r="71">
      <c r="A71" s="214" t="s">
        <v>948</v>
      </c>
      <c r="B71" s="223" t="s">
        <v>127</v>
      </c>
      <c r="C71" s="215" t="s">
        <v>507</v>
      </c>
      <c r="D71" s="216">
        <v>142.0</v>
      </c>
      <c r="E71" s="216">
        <v>142.0</v>
      </c>
      <c r="F71" s="216">
        <v>100.0</v>
      </c>
      <c r="G71" s="216">
        <v>100.0</v>
      </c>
      <c r="H71" s="216">
        <v>-42.0</v>
      </c>
      <c r="I71" s="219" t="s">
        <v>59</v>
      </c>
      <c r="J71" s="220">
        <v>46265.0</v>
      </c>
      <c r="K71" s="216">
        <v>16.5</v>
      </c>
      <c r="L71" s="218" t="s">
        <v>927</v>
      </c>
      <c r="M71" s="215" t="s">
        <v>48</v>
      </c>
      <c r="N71" s="215" t="s">
        <v>929</v>
      </c>
      <c r="O71" s="216">
        <v>16.5</v>
      </c>
    </row>
    <row r="72">
      <c r="A72" s="214" t="s">
        <v>949</v>
      </c>
      <c r="B72" s="223" t="s">
        <v>127</v>
      </c>
      <c r="C72" s="215" t="s">
        <v>507</v>
      </c>
      <c r="D72" s="216">
        <v>52.0</v>
      </c>
      <c r="E72" s="216">
        <v>52.0</v>
      </c>
      <c r="F72" s="216">
        <v>23.0</v>
      </c>
      <c r="G72" s="216">
        <v>23.0</v>
      </c>
      <c r="H72" s="216">
        <v>-29.0</v>
      </c>
      <c r="I72" s="219" t="s">
        <v>55</v>
      </c>
      <c r="J72" s="220">
        <v>45900.0</v>
      </c>
      <c r="K72" s="216">
        <v>7.0</v>
      </c>
      <c r="L72" s="218" t="s">
        <v>927</v>
      </c>
      <c r="M72" s="215" t="s">
        <v>48</v>
      </c>
      <c r="N72" s="215" t="s">
        <v>928</v>
      </c>
      <c r="O72" s="216">
        <v>7.0</v>
      </c>
    </row>
    <row r="73">
      <c r="A73" s="214" t="s">
        <v>950</v>
      </c>
      <c r="B73" s="223" t="s">
        <v>127</v>
      </c>
      <c r="C73" s="215" t="s">
        <v>512</v>
      </c>
      <c r="D73" s="216">
        <v>438.0</v>
      </c>
      <c r="E73" s="216">
        <v>438.0</v>
      </c>
      <c r="F73" s="216">
        <v>340.0</v>
      </c>
      <c r="G73" s="216">
        <v>340.0</v>
      </c>
      <c r="H73" s="216">
        <v>-98.0</v>
      </c>
      <c r="I73" s="219" t="s">
        <v>59</v>
      </c>
      <c r="J73" s="220">
        <v>46265.0</v>
      </c>
      <c r="K73" s="216">
        <v>50.5</v>
      </c>
      <c r="L73" s="218" t="s">
        <v>927</v>
      </c>
      <c r="M73" s="215" t="s">
        <v>48</v>
      </c>
      <c r="N73" s="215" t="s">
        <v>929</v>
      </c>
      <c r="O73" s="216">
        <v>50.5</v>
      </c>
    </row>
    <row r="74">
      <c r="A74" s="228" t="s">
        <v>951</v>
      </c>
      <c r="B74" s="223" t="s">
        <v>127</v>
      </c>
      <c r="C74" s="215" t="s">
        <v>512</v>
      </c>
      <c r="D74" s="216">
        <v>45.0</v>
      </c>
      <c r="E74" s="216">
        <v>45.0</v>
      </c>
      <c r="F74" s="216">
        <v>20.0</v>
      </c>
      <c r="G74" s="216">
        <v>20.0</v>
      </c>
      <c r="H74" s="216">
        <v>-25.0</v>
      </c>
      <c r="I74" s="219" t="s">
        <v>59</v>
      </c>
      <c r="J74" s="220">
        <v>46265.0</v>
      </c>
      <c r="K74" s="216">
        <v>5.5</v>
      </c>
      <c r="L74" s="218" t="s">
        <v>927</v>
      </c>
      <c r="M74" s="215" t="s">
        <v>48</v>
      </c>
      <c r="N74" s="215" t="s">
        <v>929</v>
      </c>
      <c r="O74" s="216">
        <v>5.5</v>
      </c>
    </row>
    <row r="75">
      <c r="A75" s="214" t="s">
        <v>382</v>
      </c>
      <c r="B75" s="223" t="s">
        <v>357</v>
      </c>
      <c r="C75" s="215" t="s">
        <v>478</v>
      </c>
      <c r="D75" s="216">
        <v>67.0</v>
      </c>
      <c r="E75" s="216">
        <v>67.0</v>
      </c>
      <c r="F75" s="216">
        <v>120.0</v>
      </c>
      <c r="G75" s="216">
        <v>120.0</v>
      </c>
      <c r="H75" s="216">
        <v>53.0</v>
      </c>
      <c r="I75" s="219" t="s">
        <v>59</v>
      </c>
      <c r="J75" s="220">
        <v>46265.0</v>
      </c>
      <c r="K75" s="216">
        <v>8.0</v>
      </c>
      <c r="L75" s="218" t="s">
        <v>927</v>
      </c>
      <c r="M75" s="215" t="s">
        <v>48</v>
      </c>
      <c r="N75" s="215" t="s">
        <v>929</v>
      </c>
      <c r="O75" s="216">
        <v>8.0</v>
      </c>
    </row>
    <row r="76">
      <c r="A76" s="214" t="s">
        <v>358</v>
      </c>
      <c r="B76" s="223" t="s">
        <v>357</v>
      </c>
      <c r="C76" s="215" t="s">
        <v>931</v>
      </c>
      <c r="D76" s="216">
        <v>24.0</v>
      </c>
      <c r="E76" s="216">
        <v>24.0</v>
      </c>
      <c r="F76" s="216">
        <v>29.0</v>
      </c>
      <c r="G76" s="216">
        <v>29.0</v>
      </c>
      <c r="H76" s="216">
        <v>5.0</v>
      </c>
      <c r="I76" s="219" t="s">
        <v>59</v>
      </c>
      <c r="J76" s="220">
        <v>46265.0</v>
      </c>
      <c r="K76" s="216">
        <v>3.0</v>
      </c>
      <c r="L76" s="218" t="s">
        <v>927</v>
      </c>
      <c r="M76" s="215" t="s">
        <v>48</v>
      </c>
      <c r="N76" s="215" t="s">
        <v>929</v>
      </c>
      <c r="O76" s="216">
        <v>3.0</v>
      </c>
    </row>
    <row r="77">
      <c r="A77" s="214" t="s">
        <v>284</v>
      </c>
      <c r="B77" s="223" t="s">
        <v>357</v>
      </c>
      <c r="C77" s="215" t="s">
        <v>521</v>
      </c>
      <c r="D77" s="216">
        <v>72.0</v>
      </c>
      <c r="E77" s="216">
        <v>72.0</v>
      </c>
      <c r="F77" s="216">
        <v>150.0</v>
      </c>
      <c r="G77" s="216">
        <v>150.0</v>
      </c>
      <c r="H77" s="216">
        <v>78.0</v>
      </c>
      <c r="I77" s="219" t="s">
        <v>59</v>
      </c>
      <c r="J77" s="220">
        <v>46265.0</v>
      </c>
      <c r="K77" s="216">
        <v>8.5</v>
      </c>
      <c r="L77" s="218" t="s">
        <v>927</v>
      </c>
      <c r="M77" s="215" t="s">
        <v>48</v>
      </c>
      <c r="N77" s="215" t="s">
        <v>929</v>
      </c>
      <c r="O77" s="216">
        <v>8.5</v>
      </c>
    </row>
    <row r="78">
      <c r="A78" s="214" t="s">
        <v>366</v>
      </c>
      <c r="B78" s="223" t="s">
        <v>357</v>
      </c>
      <c r="C78" s="215" t="s">
        <v>934</v>
      </c>
      <c r="D78" s="216">
        <v>12.0</v>
      </c>
      <c r="E78" s="216">
        <v>12.0</v>
      </c>
      <c r="F78" s="216">
        <v>41.0</v>
      </c>
      <c r="G78" s="216">
        <v>41.0</v>
      </c>
      <c r="H78" s="216">
        <v>29.0</v>
      </c>
      <c r="I78" s="219" t="s">
        <v>59</v>
      </c>
      <c r="J78" s="220">
        <v>46265.0</v>
      </c>
      <c r="K78" s="216">
        <v>1.5</v>
      </c>
      <c r="L78" s="218" t="s">
        <v>927</v>
      </c>
      <c r="M78" s="215" t="s">
        <v>48</v>
      </c>
      <c r="N78" s="215" t="s">
        <v>929</v>
      </c>
      <c r="O78" s="216">
        <v>1.5</v>
      </c>
    </row>
    <row r="79">
      <c r="A79" s="214" t="s">
        <v>952</v>
      </c>
      <c r="B79" s="223" t="s">
        <v>357</v>
      </c>
      <c r="C79" s="215" t="s">
        <v>563</v>
      </c>
      <c r="D79" s="216">
        <v>72.0</v>
      </c>
      <c r="E79" s="216">
        <v>72.0</v>
      </c>
      <c r="F79" s="216">
        <v>60.0</v>
      </c>
      <c r="G79" s="216">
        <v>60.0</v>
      </c>
      <c r="H79" s="216">
        <v>-12.0</v>
      </c>
      <c r="I79" s="219" t="s">
        <v>55</v>
      </c>
      <c r="J79" s="220">
        <v>45900.0</v>
      </c>
      <c r="K79" s="216">
        <v>9.5</v>
      </c>
      <c r="L79" s="218" t="s">
        <v>927</v>
      </c>
      <c r="M79" s="215" t="s">
        <v>48</v>
      </c>
      <c r="N79" s="215" t="s">
        <v>928</v>
      </c>
      <c r="O79" s="216">
        <v>9.5</v>
      </c>
    </row>
    <row r="80">
      <c r="A80" s="214" t="s">
        <v>452</v>
      </c>
      <c r="B80" s="223" t="s">
        <v>357</v>
      </c>
      <c r="C80" s="215" t="s">
        <v>512</v>
      </c>
      <c r="D80" s="216">
        <v>195.0</v>
      </c>
      <c r="E80" s="216">
        <v>195.0</v>
      </c>
      <c r="F80" s="216">
        <v>330.0</v>
      </c>
      <c r="G80" s="216">
        <v>330.0</v>
      </c>
      <c r="H80" s="216">
        <v>135.0</v>
      </c>
      <c r="I80" s="219" t="s">
        <v>59</v>
      </c>
      <c r="J80" s="220">
        <v>46265.0</v>
      </c>
      <c r="K80" s="216">
        <v>22.5</v>
      </c>
      <c r="L80" s="218" t="s">
        <v>927</v>
      </c>
      <c r="M80" s="215" t="s">
        <v>48</v>
      </c>
      <c r="N80" s="215" t="s">
        <v>929</v>
      </c>
      <c r="O80" s="216">
        <v>22.5</v>
      </c>
    </row>
    <row r="81">
      <c r="A81" s="228" t="s">
        <v>953</v>
      </c>
      <c r="B81" s="223" t="s">
        <v>357</v>
      </c>
      <c r="C81" s="215" t="s">
        <v>512</v>
      </c>
      <c r="D81" s="216">
        <v>190.0</v>
      </c>
      <c r="E81" s="216">
        <v>190.0</v>
      </c>
      <c r="F81" s="216">
        <v>320.0</v>
      </c>
      <c r="G81" s="216">
        <v>320.0</v>
      </c>
      <c r="H81" s="216">
        <v>130.0</v>
      </c>
      <c r="I81" s="219" t="s">
        <v>55</v>
      </c>
      <c r="J81" s="220">
        <v>45900.0</v>
      </c>
      <c r="K81" s="216">
        <v>25.0</v>
      </c>
      <c r="L81" s="218" t="s">
        <v>927</v>
      </c>
      <c r="M81" s="215" t="s">
        <v>48</v>
      </c>
      <c r="N81" s="215" t="s">
        <v>928</v>
      </c>
      <c r="O81" s="216">
        <v>25.0</v>
      </c>
    </row>
    <row r="82">
      <c r="A82" s="229" t="s">
        <v>378</v>
      </c>
      <c r="B82" s="230" t="s">
        <v>357</v>
      </c>
      <c r="C82" s="231" t="s">
        <v>954</v>
      </c>
      <c r="D82" s="232">
        <v>12.0</v>
      </c>
      <c r="E82" s="232">
        <v>12.0</v>
      </c>
      <c r="F82" s="232">
        <v>18.0</v>
      </c>
      <c r="G82" s="232">
        <v>18.0</v>
      </c>
      <c r="H82" s="232">
        <v>6.0</v>
      </c>
      <c r="I82" s="233" t="s">
        <v>59</v>
      </c>
      <c r="J82" s="234">
        <v>46265.0</v>
      </c>
      <c r="K82" s="232">
        <v>1.5</v>
      </c>
      <c r="L82" s="235" t="s">
        <v>955</v>
      </c>
      <c r="M82" s="231" t="s">
        <v>956</v>
      </c>
      <c r="N82" s="231" t="s">
        <v>957</v>
      </c>
      <c r="O82" s="232">
        <v>1.0</v>
      </c>
    </row>
    <row r="83">
      <c r="A83" s="214" t="s">
        <v>604</v>
      </c>
      <c r="B83" s="223" t="s">
        <v>42</v>
      </c>
      <c r="C83" s="215" t="s">
        <v>478</v>
      </c>
      <c r="D83" s="216">
        <v>32.0</v>
      </c>
      <c r="E83" s="216">
        <v>32.0</v>
      </c>
      <c r="F83" s="216">
        <v>65.0</v>
      </c>
      <c r="G83" s="216">
        <v>65.0</v>
      </c>
      <c r="H83" s="216">
        <v>33.0</v>
      </c>
      <c r="I83" s="219" t="s">
        <v>67</v>
      </c>
      <c r="J83" s="220">
        <v>45900.0</v>
      </c>
      <c r="K83" s="216">
        <v>4.0</v>
      </c>
      <c r="L83" s="218" t="s">
        <v>927</v>
      </c>
      <c r="M83" s="215" t="s">
        <v>48</v>
      </c>
      <c r="N83" s="215" t="s">
        <v>929</v>
      </c>
      <c r="O83" s="216">
        <v>4.0</v>
      </c>
    </row>
    <row r="84">
      <c r="A84" s="214" t="s">
        <v>606</v>
      </c>
      <c r="B84" s="223" t="s">
        <v>42</v>
      </c>
      <c r="C84" s="215" t="s">
        <v>938</v>
      </c>
      <c r="D84" s="216">
        <v>26.0</v>
      </c>
      <c r="E84" s="216">
        <v>26.0</v>
      </c>
      <c r="F84" s="216">
        <v>65.0</v>
      </c>
      <c r="G84" s="216">
        <v>65.0</v>
      </c>
      <c r="H84" s="216">
        <v>39.0</v>
      </c>
      <c r="I84" s="219" t="s">
        <v>67</v>
      </c>
      <c r="J84" s="220">
        <v>45900.0</v>
      </c>
      <c r="K84" s="216">
        <v>3.0</v>
      </c>
      <c r="L84" s="218" t="s">
        <v>927</v>
      </c>
      <c r="M84" s="215" t="s">
        <v>48</v>
      </c>
      <c r="N84" s="215" t="s">
        <v>929</v>
      </c>
      <c r="O84" s="216">
        <v>3.0</v>
      </c>
    </row>
    <row r="85">
      <c r="A85" s="214" t="s">
        <v>607</v>
      </c>
      <c r="B85" s="223" t="s">
        <v>42</v>
      </c>
      <c r="C85" s="215" t="s">
        <v>954</v>
      </c>
      <c r="D85" s="216">
        <v>48.0</v>
      </c>
      <c r="E85" s="216">
        <v>48.0</v>
      </c>
      <c r="F85" s="216">
        <v>45.0</v>
      </c>
      <c r="G85" s="216">
        <v>45.0</v>
      </c>
      <c r="H85" s="216">
        <v>-3.0</v>
      </c>
      <c r="I85" s="219" t="s">
        <v>55</v>
      </c>
      <c r="J85" s="220">
        <v>45900.0</v>
      </c>
      <c r="K85" s="216">
        <v>6.5</v>
      </c>
      <c r="L85" s="218" t="s">
        <v>927</v>
      </c>
      <c r="M85" s="215" t="s">
        <v>48</v>
      </c>
      <c r="N85" s="215" t="s">
        <v>928</v>
      </c>
      <c r="O85" s="216">
        <v>6.5</v>
      </c>
    </row>
    <row r="86">
      <c r="A86" s="214" t="s">
        <v>609</v>
      </c>
      <c r="B86" s="223" t="s">
        <v>42</v>
      </c>
      <c r="C86" s="215" t="s">
        <v>930</v>
      </c>
      <c r="D86" s="216">
        <v>36.0</v>
      </c>
      <c r="E86" s="216">
        <v>36.0</v>
      </c>
      <c r="F86" s="216">
        <v>40.0</v>
      </c>
      <c r="G86" s="216">
        <v>40.0</v>
      </c>
      <c r="H86" s="216">
        <v>4.0</v>
      </c>
      <c r="I86" s="219" t="s">
        <v>67</v>
      </c>
      <c r="J86" s="220">
        <v>45900.0</v>
      </c>
      <c r="K86" s="216">
        <v>4.5</v>
      </c>
      <c r="L86" s="218" t="s">
        <v>927</v>
      </c>
      <c r="M86" s="215" t="s">
        <v>48</v>
      </c>
      <c r="N86" s="215" t="s">
        <v>929</v>
      </c>
      <c r="O86" s="216">
        <v>4.5</v>
      </c>
    </row>
    <row r="87">
      <c r="A87" s="214" t="s">
        <v>79</v>
      </c>
      <c r="B87" s="223" t="s">
        <v>42</v>
      </c>
      <c r="C87" s="215" t="s">
        <v>930</v>
      </c>
      <c r="D87" s="216">
        <v>28.0</v>
      </c>
      <c r="E87" s="216">
        <v>28.0</v>
      </c>
      <c r="F87" s="216">
        <v>29.0</v>
      </c>
      <c r="G87" s="216">
        <v>29.0</v>
      </c>
      <c r="H87" s="216">
        <v>1.0</v>
      </c>
      <c r="I87" s="219" t="s">
        <v>59</v>
      </c>
      <c r="J87" s="220">
        <v>46265.0</v>
      </c>
      <c r="K87" s="216">
        <v>3.5</v>
      </c>
      <c r="L87" s="218" t="s">
        <v>927</v>
      </c>
      <c r="M87" s="215" t="s">
        <v>48</v>
      </c>
      <c r="N87" s="215" t="s">
        <v>929</v>
      </c>
      <c r="O87" s="216">
        <v>3.5</v>
      </c>
    </row>
    <row r="88">
      <c r="A88" s="214" t="s">
        <v>610</v>
      </c>
      <c r="B88" s="223" t="s">
        <v>42</v>
      </c>
      <c r="C88" s="215" t="s">
        <v>492</v>
      </c>
      <c r="D88" s="216">
        <v>78.0</v>
      </c>
      <c r="E88" s="216">
        <v>78.0</v>
      </c>
      <c r="F88" s="216">
        <v>57.0</v>
      </c>
      <c r="G88" s="216">
        <v>57.0</v>
      </c>
      <c r="H88" s="216">
        <v>-21.0</v>
      </c>
      <c r="I88" s="219" t="s">
        <v>67</v>
      </c>
      <c r="J88" s="220">
        <v>45900.0</v>
      </c>
      <c r="K88" s="216">
        <v>9.0</v>
      </c>
      <c r="L88" s="218" t="s">
        <v>927</v>
      </c>
      <c r="M88" s="215" t="s">
        <v>48</v>
      </c>
      <c r="N88" s="215" t="s">
        <v>929</v>
      </c>
      <c r="O88" s="216">
        <v>9.0</v>
      </c>
    </row>
    <row r="89">
      <c r="A89" s="214" t="s">
        <v>64</v>
      </c>
      <c r="B89" s="223" t="s">
        <v>42</v>
      </c>
      <c r="C89" s="215" t="s">
        <v>934</v>
      </c>
      <c r="D89" s="216">
        <v>53.0</v>
      </c>
      <c r="E89" s="216">
        <v>53.0</v>
      </c>
      <c r="F89" s="216">
        <v>25.0</v>
      </c>
      <c r="G89" s="216">
        <v>25.0</v>
      </c>
      <c r="H89" s="216">
        <v>-28.0</v>
      </c>
      <c r="I89" s="219" t="s">
        <v>59</v>
      </c>
      <c r="J89" s="220">
        <v>46265.0</v>
      </c>
      <c r="K89" s="216">
        <v>6.5</v>
      </c>
      <c r="L89" s="218" t="s">
        <v>927</v>
      </c>
      <c r="M89" s="215" t="s">
        <v>48</v>
      </c>
      <c r="N89" s="215" t="s">
        <v>929</v>
      </c>
      <c r="O89" s="216">
        <v>6.5</v>
      </c>
    </row>
    <row r="90">
      <c r="A90" s="214" t="s">
        <v>611</v>
      </c>
      <c r="B90" s="223" t="s">
        <v>42</v>
      </c>
      <c r="C90" s="215" t="s">
        <v>947</v>
      </c>
      <c r="D90" s="216">
        <v>58.0</v>
      </c>
      <c r="E90" s="216">
        <v>58.0</v>
      </c>
      <c r="F90" s="216">
        <v>330.0</v>
      </c>
      <c r="G90" s="216">
        <v>330.0</v>
      </c>
      <c r="H90" s="216">
        <v>272.0</v>
      </c>
      <c r="I90" s="219" t="s">
        <v>55</v>
      </c>
      <c r="J90" s="220">
        <v>45900.0</v>
      </c>
      <c r="K90" s="216">
        <v>8.0</v>
      </c>
      <c r="L90" s="218" t="s">
        <v>927</v>
      </c>
      <c r="M90" s="215" t="s">
        <v>48</v>
      </c>
      <c r="N90" s="215" t="s">
        <v>928</v>
      </c>
      <c r="O90" s="216">
        <v>8.0</v>
      </c>
    </row>
    <row r="91">
      <c r="A91" s="228" t="s">
        <v>958</v>
      </c>
      <c r="B91" s="223" t="s">
        <v>42</v>
      </c>
      <c r="C91" s="215" t="s">
        <v>507</v>
      </c>
      <c r="D91" s="216">
        <v>274.0</v>
      </c>
      <c r="E91" s="216">
        <v>274.0</v>
      </c>
      <c r="F91" s="216">
        <v>50.0</v>
      </c>
      <c r="G91" s="216">
        <v>50.0</v>
      </c>
      <c r="H91" s="216">
        <v>-224.0</v>
      </c>
      <c r="I91" s="219" t="s">
        <v>55</v>
      </c>
      <c r="J91" s="220">
        <v>45900.0</v>
      </c>
      <c r="K91" s="216">
        <v>36.0</v>
      </c>
      <c r="L91" s="218" t="s">
        <v>927</v>
      </c>
      <c r="M91" s="215" t="s">
        <v>48</v>
      </c>
      <c r="N91" s="215" t="s">
        <v>928</v>
      </c>
      <c r="O91" s="216">
        <v>36.0</v>
      </c>
    </row>
    <row r="92">
      <c r="A92" s="228" t="s">
        <v>959</v>
      </c>
      <c r="B92" s="223" t="s">
        <v>42</v>
      </c>
      <c r="C92" s="215" t="s">
        <v>507</v>
      </c>
      <c r="D92" s="216">
        <v>110.0</v>
      </c>
      <c r="E92" s="216">
        <v>110.0</v>
      </c>
      <c r="F92" s="216">
        <v>40.0</v>
      </c>
      <c r="G92" s="216">
        <v>40.0</v>
      </c>
      <c r="H92" s="216">
        <v>-70.0</v>
      </c>
      <c r="I92" s="219" t="s">
        <v>67</v>
      </c>
      <c r="J92" s="220">
        <v>45900.0</v>
      </c>
      <c r="K92" s="216">
        <v>13.0</v>
      </c>
      <c r="L92" s="218" t="s">
        <v>932</v>
      </c>
      <c r="M92" s="215" t="s">
        <v>48</v>
      </c>
      <c r="N92" s="215" t="s">
        <v>929</v>
      </c>
      <c r="O92" s="216">
        <v>13.0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36" t="s">
        <v>466</v>
      </c>
      <c r="B1" s="236" t="s">
        <v>960</v>
      </c>
      <c r="C1" s="236" t="s">
        <v>466</v>
      </c>
      <c r="D1" s="236" t="s">
        <v>961</v>
      </c>
      <c r="E1" s="236" t="s">
        <v>962</v>
      </c>
      <c r="F1" s="236" t="s">
        <v>467</v>
      </c>
      <c r="G1" s="236" t="s">
        <v>963</v>
      </c>
      <c r="H1" s="236" t="s">
        <v>964</v>
      </c>
      <c r="I1" s="236" t="s">
        <v>965</v>
      </c>
      <c r="J1" s="236" t="s">
        <v>966</v>
      </c>
      <c r="K1" s="236" t="s">
        <v>967</v>
      </c>
      <c r="L1" s="236" t="s">
        <v>968</v>
      </c>
      <c r="M1" s="236" t="s">
        <v>969</v>
      </c>
      <c r="N1" s="236" t="s">
        <v>970</v>
      </c>
    </row>
    <row r="2">
      <c r="A2" s="236" t="s">
        <v>971</v>
      </c>
      <c r="B2" s="237">
        <v>7183.0</v>
      </c>
      <c r="C2" s="236" t="s">
        <v>971</v>
      </c>
      <c r="D2" s="236" t="s">
        <v>507</v>
      </c>
      <c r="E2" s="236" t="s">
        <v>507</v>
      </c>
      <c r="F2" s="236" t="s">
        <v>972</v>
      </c>
      <c r="G2" s="237">
        <v>8.0</v>
      </c>
      <c r="H2" s="237">
        <v>9.0</v>
      </c>
      <c r="I2" s="237">
        <v>-1.0</v>
      </c>
      <c r="J2" s="237">
        <v>8.0</v>
      </c>
      <c r="K2" s="237">
        <v>9.0</v>
      </c>
      <c r="L2" s="237">
        <v>-1.0</v>
      </c>
      <c r="M2" s="237">
        <v>15.0</v>
      </c>
      <c r="N2" s="237">
        <v>15.0</v>
      </c>
    </row>
    <row r="3">
      <c r="A3" s="236" t="s">
        <v>744</v>
      </c>
      <c r="B3" s="237">
        <v>513.0</v>
      </c>
      <c r="C3" s="236" t="s">
        <v>744</v>
      </c>
      <c r="D3" s="236" t="s">
        <v>480</v>
      </c>
      <c r="E3" s="236" t="s">
        <v>481</v>
      </c>
      <c r="F3" s="236" t="s">
        <v>973</v>
      </c>
      <c r="G3" s="237">
        <v>9.0</v>
      </c>
      <c r="H3" s="237">
        <v>9.0</v>
      </c>
      <c r="I3" s="237">
        <v>0.0</v>
      </c>
      <c r="J3" s="237">
        <v>9.0</v>
      </c>
      <c r="K3" s="237">
        <v>9.0</v>
      </c>
      <c r="L3" s="237">
        <v>0.0</v>
      </c>
      <c r="M3" s="237">
        <v>26.0</v>
      </c>
      <c r="N3" s="237">
        <v>26.0</v>
      </c>
    </row>
    <row r="4">
      <c r="A4" s="236" t="s">
        <v>695</v>
      </c>
      <c r="B4" s="237">
        <v>6646.0</v>
      </c>
      <c r="C4" s="236" t="s">
        <v>695</v>
      </c>
      <c r="D4" s="236" t="s">
        <v>507</v>
      </c>
      <c r="E4" s="236" t="s">
        <v>507</v>
      </c>
      <c r="F4" s="236" t="s">
        <v>972</v>
      </c>
      <c r="G4" s="237">
        <v>13.0</v>
      </c>
      <c r="H4" s="237">
        <v>14.0</v>
      </c>
      <c r="I4" s="237">
        <v>-1.0</v>
      </c>
      <c r="J4" s="237">
        <v>13.0</v>
      </c>
      <c r="K4" s="237">
        <v>14.0</v>
      </c>
      <c r="L4" s="237">
        <v>-1.0</v>
      </c>
      <c r="M4" s="237">
        <v>54.0</v>
      </c>
      <c r="N4" s="237">
        <v>54.0</v>
      </c>
    </row>
    <row r="5">
      <c r="A5" s="236" t="s">
        <v>426</v>
      </c>
      <c r="B5" s="237">
        <v>7127.0</v>
      </c>
      <c r="C5" s="236" t="s">
        <v>426</v>
      </c>
      <c r="D5" s="236" t="s">
        <v>507</v>
      </c>
      <c r="E5" s="236" t="s">
        <v>935</v>
      </c>
      <c r="F5" s="236" t="s">
        <v>974</v>
      </c>
      <c r="G5" s="237">
        <v>6.0</v>
      </c>
      <c r="H5" s="237">
        <v>7.0</v>
      </c>
      <c r="I5" s="237">
        <v>-1.0</v>
      </c>
      <c r="J5" s="237">
        <v>6.0</v>
      </c>
      <c r="K5" s="237">
        <v>7.0</v>
      </c>
      <c r="L5" s="237">
        <v>-1.0</v>
      </c>
      <c r="M5" s="237">
        <v>16.0</v>
      </c>
      <c r="N5" s="237">
        <v>19.0</v>
      </c>
    </row>
    <row r="6">
      <c r="A6" s="236" t="s">
        <v>763</v>
      </c>
      <c r="B6" s="237">
        <v>4870.0</v>
      </c>
      <c r="C6" s="236" t="s">
        <v>763</v>
      </c>
      <c r="D6" s="236" t="s">
        <v>492</v>
      </c>
      <c r="E6" s="236" t="s">
        <v>930</v>
      </c>
      <c r="F6" s="236" t="s">
        <v>975</v>
      </c>
      <c r="G6" s="237">
        <v>6.0</v>
      </c>
      <c r="H6" s="237">
        <v>5.0</v>
      </c>
      <c r="I6" s="237">
        <v>1.0</v>
      </c>
      <c r="J6" s="237">
        <v>7.0</v>
      </c>
      <c r="K6" s="237">
        <v>6.0</v>
      </c>
      <c r="L6" s="237">
        <v>1.0</v>
      </c>
      <c r="M6" s="237">
        <v>14.0</v>
      </c>
      <c r="N6" s="237">
        <v>15.0</v>
      </c>
    </row>
    <row r="7">
      <c r="A7" s="236" t="s">
        <v>427</v>
      </c>
      <c r="B7" s="237">
        <v>6677.0</v>
      </c>
      <c r="C7" s="236" t="s">
        <v>427</v>
      </c>
      <c r="D7" s="236" t="s">
        <v>492</v>
      </c>
      <c r="E7" s="236" t="s">
        <v>934</v>
      </c>
      <c r="F7" s="236" t="s">
        <v>976</v>
      </c>
      <c r="G7" s="237">
        <v>1.0</v>
      </c>
      <c r="H7" s="237">
        <v>1.0</v>
      </c>
      <c r="I7" s="237">
        <v>0.0</v>
      </c>
      <c r="J7" s="237">
        <v>1.0</v>
      </c>
      <c r="K7" s="237">
        <v>1.0</v>
      </c>
      <c r="L7" s="237">
        <v>0.0</v>
      </c>
      <c r="M7" s="237">
        <v>1.0</v>
      </c>
      <c r="N7" s="237">
        <v>1.0</v>
      </c>
    </row>
    <row r="8">
      <c r="A8" s="236" t="s">
        <v>712</v>
      </c>
      <c r="B8" s="237">
        <v>5784.0</v>
      </c>
      <c r="C8" s="236" t="s">
        <v>712</v>
      </c>
      <c r="D8" s="236" t="s">
        <v>492</v>
      </c>
      <c r="E8" s="236" t="s">
        <v>492</v>
      </c>
      <c r="F8" s="236" t="s">
        <v>977</v>
      </c>
      <c r="G8" s="237">
        <v>4.0</v>
      </c>
      <c r="H8" s="237">
        <v>4.0</v>
      </c>
      <c r="I8" s="237">
        <v>0.0</v>
      </c>
      <c r="J8" s="237">
        <v>4.0</v>
      </c>
      <c r="K8" s="237">
        <v>4.0</v>
      </c>
      <c r="L8" s="237">
        <v>0.0</v>
      </c>
      <c r="M8" s="237">
        <v>14.0</v>
      </c>
      <c r="N8" s="237">
        <v>14.0</v>
      </c>
    </row>
    <row r="9">
      <c r="A9" s="236" t="s">
        <v>978</v>
      </c>
      <c r="B9" s="237">
        <v>6916.0</v>
      </c>
      <c r="C9" s="236" t="s">
        <v>978</v>
      </c>
      <c r="D9" s="236" t="s">
        <v>480</v>
      </c>
      <c r="E9" s="236" t="s">
        <v>979</v>
      </c>
      <c r="F9" s="236" t="s">
        <v>980</v>
      </c>
      <c r="G9" s="237">
        <v>6.0</v>
      </c>
      <c r="H9" s="237">
        <v>6.0</v>
      </c>
      <c r="I9" s="237">
        <v>0.0</v>
      </c>
      <c r="J9" s="237">
        <v>6.0</v>
      </c>
      <c r="K9" s="237">
        <v>7.0</v>
      </c>
      <c r="L9" s="237">
        <v>-1.0</v>
      </c>
      <c r="M9" s="237">
        <v>9.0</v>
      </c>
      <c r="N9" s="237">
        <v>12.0</v>
      </c>
    </row>
    <row r="10">
      <c r="A10" s="236" t="s">
        <v>981</v>
      </c>
      <c r="B10" s="237">
        <v>4159.0</v>
      </c>
      <c r="C10" s="236" t="s">
        <v>981</v>
      </c>
      <c r="D10" s="236" t="s">
        <v>480</v>
      </c>
      <c r="E10" s="236" t="s">
        <v>481</v>
      </c>
      <c r="F10" s="236" t="s">
        <v>973</v>
      </c>
      <c r="G10" s="237">
        <v>9.0</v>
      </c>
      <c r="H10" s="237">
        <v>9.0</v>
      </c>
      <c r="I10" s="237">
        <v>0.0</v>
      </c>
      <c r="J10" s="237">
        <v>9.0</v>
      </c>
      <c r="K10" s="237">
        <v>9.0</v>
      </c>
      <c r="L10" s="237">
        <v>0.0</v>
      </c>
      <c r="M10" s="237">
        <v>20.0</v>
      </c>
      <c r="N10" s="237">
        <v>20.0</v>
      </c>
    </row>
    <row r="11">
      <c r="A11" s="236" t="s">
        <v>41</v>
      </c>
      <c r="B11" s="237">
        <v>6593.0</v>
      </c>
      <c r="C11" s="236" t="s">
        <v>41</v>
      </c>
      <c r="D11" s="236" t="s">
        <v>492</v>
      </c>
      <c r="E11" s="236" t="s">
        <v>934</v>
      </c>
      <c r="F11" s="236" t="s">
        <v>977</v>
      </c>
      <c r="G11" s="237">
        <v>3.0</v>
      </c>
      <c r="H11" s="237">
        <v>3.0</v>
      </c>
      <c r="I11" s="237">
        <v>0.0</v>
      </c>
      <c r="J11" s="237">
        <v>3.0</v>
      </c>
      <c r="K11" s="237">
        <v>3.0</v>
      </c>
      <c r="L11" s="237">
        <v>0.0</v>
      </c>
      <c r="M11" s="237">
        <v>13.0</v>
      </c>
      <c r="N11" s="237">
        <v>13.0</v>
      </c>
    </row>
    <row r="12">
      <c r="A12" s="236" t="s">
        <v>982</v>
      </c>
      <c r="B12" s="237">
        <v>7010.0</v>
      </c>
      <c r="C12" s="236" t="s">
        <v>982</v>
      </c>
      <c r="D12" s="236" t="s">
        <v>492</v>
      </c>
      <c r="E12" s="236" t="s">
        <v>930</v>
      </c>
      <c r="F12" s="236" t="s">
        <v>983</v>
      </c>
      <c r="G12" s="237">
        <v>4.0</v>
      </c>
      <c r="H12" s="237">
        <v>4.0</v>
      </c>
      <c r="I12" s="237">
        <v>0.0</v>
      </c>
      <c r="J12" s="237">
        <v>5.0</v>
      </c>
      <c r="K12" s="237">
        <v>5.0</v>
      </c>
      <c r="L12" s="237">
        <v>0.0</v>
      </c>
      <c r="M12" s="237">
        <v>9.0</v>
      </c>
      <c r="N12" s="237">
        <v>11.0</v>
      </c>
    </row>
    <row r="13">
      <c r="A13" s="236" t="s">
        <v>984</v>
      </c>
      <c r="B13" s="237">
        <v>388.0</v>
      </c>
      <c r="C13" s="236" t="s">
        <v>984</v>
      </c>
      <c r="D13" s="236" t="s">
        <v>480</v>
      </c>
      <c r="E13" s="236" t="s">
        <v>481</v>
      </c>
      <c r="F13" s="236" t="s">
        <v>977</v>
      </c>
      <c r="G13" s="237">
        <v>5.0</v>
      </c>
      <c r="H13" s="237">
        <v>5.0</v>
      </c>
      <c r="I13" s="237">
        <v>0.0</v>
      </c>
      <c r="J13" s="237">
        <v>5.0</v>
      </c>
      <c r="K13" s="237">
        <v>5.0</v>
      </c>
      <c r="L13" s="237">
        <v>0.0</v>
      </c>
      <c r="M13" s="237">
        <v>10.0</v>
      </c>
      <c r="N13" s="237">
        <v>10.0</v>
      </c>
    </row>
    <row r="14">
      <c r="A14" s="236" t="s">
        <v>936</v>
      </c>
      <c r="B14" s="237">
        <v>6207.0</v>
      </c>
      <c r="C14" s="236" t="s">
        <v>936</v>
      </c>
      <c r="D14" s="236" t="s">
        <v>507</v>
      </c>
      <c r="E14" s="236" t="s">
        <v>935</v>
      </c>
      <c r="F14" s="236" t="s">
        <v>985</v>
      </c>
      <c r="G14" s="237">
        <v>5.0</v>
      </c>
      <c r="H14" s="237">
        <v>4.0</v>
      </c>
      <c r="I14" s="237">
        <v>1.0</v>
      </c>
      <c r="J14" s="237">
        <v>5.0</v>
      </c>
      <c r="K14" s="237">
        <v>4.0</v>
      </c>
      <c r="L14" s="237">
        <v>1.0</v>
      </c>
      <c r="M14" s="237">
        <v>13.0</v>
      </c>
      <c r="N14" s="237">
        <v>16.0</v>
      </c>
    </row>
    <row r="15">
      <c r="A15" s="236" t="s">
        <v>986</v>
      </c>
      <c r="B15" s="237">
        <v>7264.0</v>
      </c>
      <c r="C15" s="236" t="s">
        <v>986</v>
      </c>
      <c r="D15" s="236" t="s">
        <v>507</v>
      </c>
      <c r="E15" s="236" t="s">
        <v>512</v>
      </c>
      <c r="F15" s="236" t="s">
        <v>987</v>
      </c>
      <c r="G15" s="237">
        <v>1.0</v>
      </c>
      <c r="H15" s="237">
        <v>1.0</v>
      </c>
      <c r="I15" s="237">
        <v>0.0</v>
      </c>
      <c r="J15" s="237">
        <v>1.0</v>
      </c>
      <c r="K15" s="237">
        <v>1.0</v>
      </c>
      <c r="L15" s="237">
        <v>0.0</v>
      </c>
      <c r="M15" s="237">
        <v>1.0</v>
      </c>
      <c r="N15" s="237">
        <v>1.0</v>
      </c>
    </row>
    <row r="16">
      <c r="A16" s="236" t="s">
        <v>321</v>
      </c>
      <c r="B16" s="237">
        <v>4772.0</v>
      </c>
      <c r="C16" s="236" t="s">
        <v>321</v>
      </c>
      <c r="D16" s="236" t="s">
        <v>480</v>
      </c>
      <c r="E16" s="236" t="s">
        <v>521</v>
      </c>
      <c r="F16" s="236" t="s">
        <v>988</v>
      </c>
      <c r="G16" s="237">
        <v>15.0</v>
      </c>
      <c r="H16" s="237">
        <v>15.0</v>
      </c>
      <c r="I16" s="237">
        <v>0.0</v>
      </c>
      <c r="J16" s="237">
        <v>14.0</v>
      </c>
      <c r="K16" s="237">
        <v>14.0</v>
      </c>
      <c r="L16" s="237">
        <v>0.0</v>
      </c>
      <c r="M16" s="237">
        <v>52.0</v>
      </c>
      <c r="N16" s="237">
        <v>52.0</v>
      </c>
    </row>
    <row r="17">
      <c r="A17" s="236" t="s">
        <v>989</v>
      </c>
      <c r="B17" s="237">
        <v>7143.0</v>
      </c>
      <c r="C17" s="236" t="s">
        <v>989</v>
      </c>
      <c r="D17" s="236" t="s">
        <v>480</v>
      </c>
      <c r="E17" s="236" t="s">
        <v>931</v>
      </c>
      <c r="F17" s="236" t="s">
        <v>977</v>
      </c>
      <c r="G17" s="237">
        <v>6.0</v>
      </c>
      <c r="H17" s="237">
        <v>5.0</v>
      </c>
      <c r="I17" s="237">
        <v>1.0</v>
      </c>
      <c r="J17" s="237">
        <v>6.0</v>
      </c>
      <c r="K17" s="237">
        <v>5.0</v>
      </c>
      <c r="L17" s="237">
        <v>1.0</v>
      </c>
      <c r="M17" s="237">
        <v>17.0</v>
      </c>
      <c r="N17" s="237">
        <v>17.0</v>
      </c>
    </row>
    <row r="18">
      <c r="A18" s="236" t="s">
        <v>727</v>
      </c>
      <c r="B18" s="237">
        <v>6889.0</v>
      </c>
      <c r="C18" s="236" t="s">
        <v>727</v>
      </c>
      <c r="D18" s="236" t="s">
        <v>492</v>
      </c>
      <c r="E18" s="236" t="s">
        <v>934</v>
      </c>
      <c r="F18" s="236" t="s">
        <v>972</v>
      </c>
      <c r="G18" s="237">
        <v>9.0</v>
      </c>
      <c r="H18" s="237">
        <v>10.0</v>
      </c>
      <c r="I18" s="237">
        <v>-1.0</v>
      </c>
      <c r="J18" s="237">
        <v>9.0</v>
      </c>
      <c r="K18" s="237">
        <v>10.0</v>
      </c>
      <c r="L18" s="237">
        <v>-1.0</v>
      </c>
      <c r="M18" s="237">
        <v>23.0</v>
      </c>
      <c r="N18" s="237">
        <v>23.0</v>
      </c>
    </row>
    <row r="19">
      <c r="A19" s="236" t="s">
        <v>713</v>
      </c>
      <c r="B19" s="237">
        <v>5719.0</v>
      </c>
      <c r="C19" s="236" t="s">
        <v>713</v>
      </c>
      <c r="D19" s="236" t="s">
        <v>492</v>
      </c>
      <c r="E19" s="236" t="s">
        <v>930</v>
      </c>
      <c r="F19" s="236" t="s">
        <v>972</v>
      </c>
      <c r="G19" s="237">
        <v>4.0</v>
      </c>
      <c r="H19" s="237">
        <v>4.0</v>
      </c>
      <c r="I19" s="237">
        <v>0.0</v>
      </c>
      <c r="J19" s="237">
        <v>4.0</v>
      </c>
      <c r="K19" s="237">
        <v>4.0</v>
      </c>
      <c r="L19" s="237">
        <v>0.0</v>
      </c>
      <c r="M19" s="237">
        <v>9.0</v>
      </c>
      <c r="N19" s="237">
        <v>9.0</v>
      </c>
    </row>
    <row r="20">
      <c r="A20" s="236" t="s">
        <v>990</v>
      </c>
      <c r="B20" s="237">
        <v>7211.0</v>
      </c>
      <c r="C20" s="236" t="s">
        <v>990</v>
      </c>
      <c r="D20" s="236" t="s">
        <v>480</v>
      </c>
      <c r="E20" s="236" t="s">
        <v>938</v>
      </c>
      <c r="F20" s="236" t="s">
        <v>991</v>
      </c>
      <c r="G20" s="237">
        <v>6.0</v>
      </c>
      <c r="H20" s="237">
        <v>6.0</v>
      </c>
      <c r="I20" s="237">
        <v>0.0</v>
      </c>
      <c r="J20" s="237">
        <v>6.0</v>
      </c>
      <c r="K20" s="237">
        <v>6.0</v>
      </c>
      <c r="L20" s="237">
        <v>0.0</v>
      </c>
      <c r="M20" s="237">
        <v>14.0</v>
      </c>
      <c r="N20" s="237">
        <v>14.0</v>
      </c>
    </row>
    <row r="21">
      <c r="A21" s="236" t="s">
        <v>992</v>
      </c>
      <c r="B21" s="237">
        <v>6908.0</v>
      </c>
      <c r="C21" s="236" t="s">
        <v>992</v>
      </c>
      <c r="D21" s="236" t="s">
        <v>492</v>
      </c>
      <c r="E21" s="236" t="s">
        <v>492</v>
      </c>
      <c r="F21" s="236" t="s">
        <v>993</v>
      </c>
      <c r="G21" s="237">
        <v>8.0</v>
      </c>
      <c r="H21" s="237">
        <v>6.0</v>
      </c>
      <c r="I21" s="237">
        <v>2.0</v>
      </c>
      <c r="J21" s="237">
        <v>8.0</v>
      </c>
      <c r="K21" s="237">
        <v>6.0</v>
      </c>
      <c r="L21" s="237">
        <v>2.0</v>
      </c>
      <c r="M21" s="237">
        <v>32.0</v>
      </c>
      <c r="N21" s="237">
        <v>32.0</v>
      </c>
    </row>
    <row r="22">
      <c r="A22" s="236" t="s">
        <v>994</v>
      </c>
      <c r="B22" s="237">
        <v>761.0</v>
      </c>
      <c r="C22" s="236" t="s">
        <v>994</v>
      </c>
      <c r="D22" s="236" t="s">
        <v>477</v>
      </c>
      <c r="E22" s="236" t="s">
        <v>478</v>
      </c>
      <c r="F22" s="236" t="s">
        <v>995</v>
      </c>
      <c r="G22" s="237">
        <v>6.0</v>
      </c>
      <c r="H22" s="237">
        <v>5.0</v>
      </c>
      <c r="I22" s="237">
        <v>1.0</v>
      </c>
      <c r="J22" s="237">
        <v>6.0</v>
      </c>
      <c r="K22" s="237">
        <v>5.0</v>
      </c>
      <c r="L22" s="237">
        <v>1.0</v>
      </c>
      <c r="M22" s="237">
        <v>13.0</v>
      </c>
      <c r="N22" s="237">
        <v>13.0</v>
      </c>
    </row>
    <row r="23">
      <c r="A23" s="236" t="s">
        <v>996</v>
      </c>
      <c r="B23" s="237">
        <v>2670.0</v>
      </c>
      <c r="C23" s="236" t="s">
        <v>996</v>
      </c>
      <c r="D23" s="236" t="s">
        <v>492</v>
      </c>
      <c r="E23" s="236" t="s">
        <v>935</v>
      </c>
      <c r="F23" s="236" t="s">
        <v>988</v>
      </c>
      <c r="G23" s="237">
        <v>15.0</v>
      </c>
      <c r="H23" s="237">
        <v>16.0</v>
      </c>
      <c r="I23" s="237">
        <v>-1.0</v>
      </c>
      <c r="J23" s="237">
        <v>14.0</v>
      </c>
      <c r="K23" s="237">
        <v>15.0</v>
      </c>
      <c r="L23" s="237">
        <v>-1.0</v>
      </c>
      <c r="M23" s="237">
        <v>51.0</v>
      </c>
      <c r="N23" s="237">
        <v>51.0</v>
      </c>
    </row>
    <row r="24">
      <c r="A24" s="236" t="s">
        <v>324</v>
      </c>
      <c r="B24" s="237">
        <v>5823.0</v>
      </c>
      <c r="C24" s="236" t="s">
        <v>324</v>
      </c>
      <c r="D24" s="236" t="s">
        <v>492</v>
      </c>
      <c r="E24" s="236" t="s">
        <v>947</v>
      </c>
      <c r="F24" s="236" t="s">
        <v>988</v>
      </c>
      <c r="G24" s="237">
        <v>7.0</v>
      </c>
      <c r="H24" s="237">
        <v>8.0</v>
      </c>
      <c r="I24" s="237">
        <v>-1.0</v>
      </c>
      <c r="J24" s="237">
        <v>7.0</v>
      </c>
      <c r="K24" s="237">
        <v>8.0</v>
      </c>
      <c r="L24" s="237">
        <v>-1.0</v>
      </c>
      <c r="M24" s="237">
        <v>16.0</v>
      </c>
      <c r="N24" s="237">
        <v>16.0</v>
      </c>
    </row>
    <row r="25">
      <c r="A25" s="236" t="s">
        <v>844</v>
      </c>
      <c r="B25" s="237">
        <v>5353.0</v>
      </c>
      <c r="C25" s="236" t="s">
        <v>844</v>
      </c>
      <c r="D25" s="236" t="s">
        <v>480</v>
      </c>
      <c r="E25" s="236" t="s">
        <v>481</v>
      </c>
      <c r="F25" s="236" t="s">
        <v>985</v>
      </c>
      <c r="G25" s="237">
        <v>3.0</v>
      </c>
      <c r="H25" s="237">
        <v>3.0</v>
      </c>
      <c r="I25" s="237">
        <v>0.0</v>
      </c>
      <c r="J25" s="237">
        <v>3.0</v>
      </c>
      <c r="K25" s="237">
        <v>3.0</v>
      </c>
      <c r="L25" s="237">
        <v>0.0</v>
      </c>
      <c r="M25" s="237">
        <v>7.0</v>
      </c>
      <c r="N25" s="237">
        <v>7.0</v>
      </c>
    </row>
    <row r="26">
      <c r="A26" s="236" t="s">
        <v>997</v>
      </c>
      <c r="B26" s="237">
        <v>6001.0</v>
      </c>
      <c r="C26" s="236" t="s">
        <v>997</v>
      </c>
      <c r="D26" s="236" t="s">
        <v>507</v>
      </c>
      <c r="E26" s="236" t="s">
        <v>935</v>
      </c>
      <c r="F26" s="236" t="s">
        <v>998</v>
      </c>
      <c r="G26" s="237">
        <v>5.0</v>
      </c>
      <c r="H26" s="237">
        <v>5.0</v>
      </c>
      <c r="I26" s="237">
        <v>0.0</v>
      </c>
      <c r="J26" s="237">
        <v>5.0</v>
      </c>
      <c r="K26" s="237">
        <v>5.0</v>
      </c>
      <c r="L26" s="237">
        <v>0.0</v>
      </c>
      <c r="M26" s="237">
        <v>10.0</v>
      </c>
      <c r="N26" s="237">
        <v>13.0</v>
      </c>
    </row>
    <row r="27">
      <c r="A27" s="236" t="s">
        <v>999</v>
      </c>
      <c r="B27" s="237">
        <v>6013.0</v>
      </c>
      <c r="C27" s="236" t="s">
        <v>999</v>
      </c>
      <c r="D27" s="236" t="s">
        <v>480</v>
      </c>
      <c r="E27" s="236" t="s">
        <v>944</v>
      </c>
      <c r="F27" s="236" t="s">
        <v>995</v>
      </c>
      <c r="G27" s="237">
        <v>3.0</v>
      </c>
      <c r="H27" s="237">
        <v>3.0</v>
      </c>
      <c r="I27" s="237">
        <v>0.0</v>
      </c>
      <c r="J27" s="237">
        <v>4.0</v>
      </c>
      <c r="K27" s="237">
        <v>4.0</v>
      </c>
      <c r="L27" s="237">
        <v>0.0</v>
      </c>
      <c r="M27" s="237">
        <v>8.0</v>
      </c>
      <c r="N27" s="237">
        <v>9.0</v>
      </c>
    </row>
    <row r="28">
      <c r="A28" s="236" t="s">
        <v>610</v>
      </c>
      <c r="B28" s="237">
        <v>1870.0</v>
      </c>
      <c r="C28" s="236" t="s">
        <v>610</v>
      </c>
      <c r="D28" s="236" t="s">
        <v>492</v>
      </c>
      <c r="E28" s="236" t="s">
        <v>492</v>
      </c>
      <c r="F28" s="236" t="s">
        <v>973</v>
      </c>
      <c r="G28" s="237">
        <v>14.0</v>
      </c>
      <c r="H28" s="237">
        <v>14.0</v>
      </c>
      <c r="I28" s="237">
        <v>0.0</v>
      </c>
      <c r="J28" s="237">
        <v>14.0</v>
      </c>
      <c r="K28" s="237">
        <v>14.0</v>
      </c>
      <c r="L28" s="237">
        <v>0.0</v>
      </c>
      <c r="M28" s="237">
        <v>55.0</v>
      </c>
      <c r="N28" s="237">
        <v>55.0</v>
      </c>
    </row>
    <row r="29">
      <c r="A29" s="236" t="s">
        <v>241</v>
      </c>
      <c r="B29" s="237">
        <v>6496.0</v>
      </c>
      <c r="C29" s="236" t="s">
        <v>241</v>
      </c>
      <c r="D29" s="236" t="s">
        <v>480</v>
      </c>
      <c r="E29" s="236" t="s">
        <v>931</v>
      </c>
      <c r="F29" s="236" t="s">
        <v>991</v>
      </c>
      <c r="G29" s="237">
        <v>3.0</v>
      </c>
      <c r="H29" s="237">
        <v>3.0</v>
      </c>
      <c r="I29" s="237">
        <v>0.0</v>
      </c>
      <c r="J29" s="237">
        <v>3.0</v>
      </c>
      <c r="K29" s="237">
        <v>3.0</v>
      </c>
      <c r="L29" s="237">
        <v>0.0</v>
      </c>
      <c r="M29" s="237">
        <v>5.0</v>
      </c>
      <c r="N29" s="237">
        <v>5.0</v>
      </c>
    </row>
    <row r="30">
      <c r="A30" s="236" t="s">
        <v>632</v>
      </c>
      <c r="B30" s="237">
        <v>5835.0</v>
      </c>
      <c r="C30" s="236" t="s">
        <v>632</v>
      </c>
      <c r="D30" s="236" t="s">
        <v>480</v>
      </c>
      <c r="E30" s="236" t="s">
        <v>481</v>
      </c>
      <c r="F30" s="236" t="s">
        <v>995</v>
      </c>
      <c r="G30" s="237">
        <v>9.0</v>
      </c>
      <c r="H30" s="237">
        <v>8.0</v>
      </c>
      <c r="I30" s="237">
        <v>1.0</v>
      </c>
      <c r="J30" s="237">
        <v>9.0</v>
      </c>
      <c r="K30" s="237">
        <v>8.0</v>
      </c>
      <c r="L30" s="237">
        <v>1.0</v>
      </c>
      <c r="M30" s="237">
        <v>23.0</v>
      </c>
      <c r="N30" s="237">
        <v>23.0</v>
      </c>
    </row>
    <row r="31">
      <c r="A31" s="236" t="s">
        <v>185</v>
      </c>
      <c r="B31" s="237">
        <v>5674.0</v>
      </c>
      <c r="C31" s="236" t="s">
        <v>185</v>
      </c>
      <c r="D31" s="236" t="s">
        <v>492</v>
      </c>
      <c r="E31" s="236" t="s">
        <v>492</v>
      </c>
      <c r="F31" s="236" t="s">
        <v>1000</v>
      </c>
      <c r="G31" s="237">
        <v>1.0</v>
      </c>
      <c r="H31" s="237">
        <v>1.0</v>
      </c>
      <c r="I31" s="237">
        <v>0.0</v>
      </c>
      <c r="J31" s="237">
        <v>1.0</v>
      </c>
      <c r="K31" s="237">
        <v>1.0</v>
      </c>
      <c r="L31" s="237">
        <v>0.0</v>
      </c>
      <c r="M31" s="237">
        <v>1.0</v>
      </c>
      <c r="N31" s="237">
        <v>1.0</v>
      </c>
    </row>
    <row r="32">
      <c r="A32" s="236" t="s">
        <v>192</v>
      </c>
      <c r="B32" s="237">
        <v>2120.0</v>
      </c>
      <c r="C32" s="236" t="s">
        <v>192</v>
      </c>
      <c r="D32" s="236" t="s">
        <v>480</v>
      </c>
      <c r="E32" s="236" t="s">
        <v>481</v>
      </c>
      <c r="F32" s="236" t="s">
        <v>973</v>
      </c>
      <c r="G32" s="237">
        <v>17.0</v>
      </c>
      <c r="H32" s="237">
        <v>16.0</v>
      </c>
      <c r="I32" s="237">
        <v>1.0</v>
      </c>
      <c r="J32" s="237">
        <v>17.0</v>
      </c>
      <c r="K32" s="237">
        <v>16.0</v>
      </c>
      <c r="L32" s="237">
        <v>1.0</v>
      </c>
      <c r="M32" s="237">
        <v>76.0</v>
      </c>
      <c r="N32" s="237">
        <v>76.0</v>
      </c>
    </row>
    <row r="33">
      <c r="A33" s="236" t="s">
        <v>231</v>
      </c>
      <c r="B33" s="237">
        <v>7126.0</v>
      </c>
      <c r="C33" s="236" t="s">
        <v>231</v>
      </c>
      <c r="D33" s="236" t="s">
        <v>492</v>
      </c>
      <c r="E33" s="236" t="s">
        <v>543</v>
      </c>
      <c r="F33" s="236" t="s">
        <v>974</v>
      </c>
      <c r="G33" s="237">
        <v>8.0</v>
      </c>
      <c r="H33" s="237">
        <v>9.0</v>
      </c>
      <c r="I33" s="237">
        <v>-1.0</v>
      </c>
      <c r="J33" s="237">
        <v>7.0</v>
      </c>
      <c r="K33" s="237">
        <v>8.0</v>
      </c>
      <c r="L33" s="237">
        <v>-1.0</v>
      </c>
      <c r="M33" s="237">
        <v>21.0</v>
      </c>
      <c r="N33" s="237">
        <v>18.0</v>
      </c>
    </row>
    <row r="34">
      <c r="A34" s="236" t="s">
        <v>1001</v>
      </c>
      <c r="B34" s="237">
        <v>7161.0</v>
      </c>
      <c r="C34" s="236" t="s">
        <v>1001</v>
      </c>
      <c r="D34" s="236" t="s">
        <v>507</v>
      </c>
      <c r="E34" s="236" t="s">
        <v>512</v>
      </c>
      <c r="F34" s="236" t="s">
        <v>993</v>
      </c>
      <c r="G34" s="237">
        <v>4.0</v>
      </c>
      <c r="H34" s="237">
        <v>4.0</v>
      </c>
      <c r="I34" s="237">
        <v>0.0</v>
      </c>
      <c r="J34" s="237">
        <v>4.0</v>
      </c>
      <c r="K34" s="237">
        <v>4.0</v>
      </c>
      <c r="L34" s="237">
        <v>0.0</v>
      </c>
      <c r="M34" s="237">
        <v>12.0</v>
      </c>
      <c r="N34" s="237">
        <v>12.0</v>
      </c>
    </row>
    <row r="35">
      <c r="A35" s="236" t="s">
        <v>288</v>
      </c>
      <c r="B35" s="237">
        <v>6191.0</v>
      </c>
      <c r="C35" s="236" t="s">
        <v>288</v>
      </c>
      <c r="D35" s="236" t="s">
        <v>492</v>
      </c>
      <c r="E35" s="236" t="s">
        <v>930</v>
      </c>
      <c r="F35" s="236" t="s">
        <v>1000</v>
      </c>
      <c r="G35" s="237">
        <v>5.0</v>
      </c>
      <c r="H35" s="237">
        <v>4.0</v>
      </c>
      <c r="I35" s="237">
        <v>1.0</v>
      </c>
      <c r="J35" s="237">
        <v>5.0</v>
      </c>
      <c r="K35" s="237">
        <v>4.0</v>
      </c>
      <c r="L35" s="237">
        <v>1.0</v>
      </c>
      <c r="M35" s="237">
        <v>5.0</v>
      </c>
      <c r="N35" s="237">
        <v>6.0</v>
      </c>
    </row>
    <row r="36">
      <c r="A36" s="236" t="s">
        <v>1002</v>
      </c>
      <c r="B36" s="237">
        <v>7220.0</v>
      </c>
      <c r="C36" s="236" t="s">
        <v>1002</v>
      </c>
      <c r="D36" s="236" t="s">
        <v>480</v>
      </c>
      <c r="E36" s="236" t="s">
        <v>938</v>
      </c>
      <c r="F36" s="236" t="s">
        <v>983</v>
      </c>
      <c r="G36" s="237">
        <v>4.0</v>
      </c>
      <c r="H36" s="237">
        <v>4.0</v>
      </c>
      <c r="I36" s="237">
        <v>0.0</v>
      </c>
      <c r="J36" s="237">
        <v>4.0</v>
      </c>
      <c r="K36" s="237">
        <v>4.0</v>
      </c>
      <c r="L36" s="237">
        <v>0.0</v>
      </c>
      <c r="M36" s="237">
        <v>12.0</v>
      </c>
      <c r="N36" s="237">
        <v>12.0</v>
      </c>
    </row>
    <row r="37">
      <c r="A37" s="236" t="s">
        <v>1003</v>
      </c>
      <c r="B37" s="237">
        <v>7253.0</v>
      </c>
      <c r="C37" s="236" t="s">
        <v>1003</v>
      </c>
      <c r="D37" s="236" t="s">
        <v>480</v>
      </c>
      <c r="E37" s="236" t="s">
        <v>481</v>
      </c>
      <c r="F37" s="236" t="s">
        <v>983</v>
      </c>
      <c r="G37" s="237">
        <v>6.0</v>
      </c>
      <c r="H37" s="237">
        <v>6.0</v>
      </c>
      <c r="I37" s="237">
        <v>0.0</v>
      </c>
      <c r="J37" s="237">
        <v>6.0</v>
      </c>
      <c r="K37" s="237">
        <v>6.0</v>
      </c>
      <c r="L37" s="237">
        <v>0.0</v>
      </c>
      <c r="M37" s="237">
        <v>14.0</v>
      </c>
      <c r="N37" s="237">
        <v>14.0</v>
      </c>
    </row>
    <row r="38">
      <c r="A38" s="236" t="s">
        <v>606</v>
      </c>
      <c r="B38" s="237">
        <v>4887.0</v>
      </c>
      <c r="C38" s="236" t="s">
        <v>606</v>
      </c>
      <c r="D38" s="236" t="s">
        <v>480</v>
      </c>
      <c r="E38" s="236" t="s">
        <v>521</v>
      </c>
      <c r="F38" s="236" t="s">
        <v>980</v>
      </c>
      <c r="G38" s="237">
        <v>13.0</v>
      </c>
      <c r="H38" s="237">
        <v>13.0</v>
      </c>
      <c r="I38" s="237">
        <v>0.0</v>
      </c>
      <c r="J38" s="237">
        <v>12.0</v>
      </c>
      <c r="K38" s="237">
        <v>12.0</v>
      </c>
      <c r="L38" s="237">
        <v>0.0</v>
      </c>
      <c r="M38" s="237">
        <v>51.0</v>
      </c>
      <c r="N38" s="237">
        <v>51.0</v>
      </c>
    </row>
    <row r="39">
      <c r="A39" s="236" t="s">
        <v>680</v>
      </c>
      <c r="B39" s="237">
        <v>441.0</v>
      </c>
      <c r="C39" s="236" t="s">
        <v>680</v>
      </c>
      <c r="D39" s="236" t="s">
        <v>507</v>
      </c>
      <c r="E39" s="236" t="s">
        <v>512</v>
      </c>
      <c r="F39" s="236" t="s">
        <v>975</v>
      </c>
      <c r="G39" s="237">
        <v>12.0</v>
      </c>
      <c r="H39" s="237">
        <v>12.0</v>
      </c>
      <c r="I39" s="237">
        <v>0.0</v>
      </c>
      <c r="J39" s="237">
        <v>11.0</v>
      </c>
      <c r="K39" s="237">
        <v>11.0</v>
      </c>
      <c r="L39" s="237">
        <v>0.0</v>
      </c>
      <c r="M39" s="237">
        <v>22.0</v>
      </c>
      <c r="N39" s="237">
        <v>20.0</v>
      </c>
    </row>
    <row r="40">
      <c r="A40" s="236" t="s">
        <v>1004</v>
      </c>
      <c r="B40" s="237">
        <v>6667.0</v>
      </c>
      <c r="C40" s="236" t="s">
        <v>1004</v>
      </c>
      <c r="D40" s="236" t="s">
        <v>507</v>
      </c>
      <c r="E40" s="236" t="s">
        <v>507</v>
      </c>
      <c r="F40" s="236" t="s">
        <v>985</v>
      </c>
      <c r="G40" s="237">
        <v>1.0</v>
      </c>
      <c r="H40" s="237">
        <v>1.0</v>
      </c>
      <c r="I40" s="237">
        <v>0.0</v>
      </c>
      <c r="J40" s="237">
        <v>1.0</v>
      </c>
      <c r="K40" s="237">
        <v>1.0</v>
      </c>
      <c r="L40" s="237">
        <v>0.0</v>
      </c>
      <c r="M40" s="237">
        <v>13.0</v>
      </c>
      <c r="N40" s="237">
        <v>13.0</v>
      </c>
    </row>
    <row r="41">
      <c r="A41" s="236" t="s">
        <v>958</v>
      </c>
      <c r="B41" s="237">
        <v>531.0</v>
      </c>
      <c r="C41" s="236" t="s">
        <v>958</v>
      </c>
      <c r="D41" s="236" t="s">
        <v>507</v>
      </c>
      <c r="E41" s="236" t="s">
        <v>507</v>
      </c>
      <c r="F41" s="236" t="s">
        <v>1005</v>
      </c>
      <c r="G41" s="237">
        <v>21.0</v>
      </c>
      <c r="H41" s="237">
        <v>21.0</v>
      </c>
      <c r="I41" s="237">
        <v>0.0</v>
      </c>
      <c r="J41" s="237">
        <v>21.0</v>
      </c>
      <c r="K41" s="237">
        <v>21.0</v>
      </c>
      <c r="L41" s="237">
        <v>0.0</v>
      </c>
      <c r="M41" s="237">
        <v>144.0</v>
      </c>
      <c r="N41" s="237">
        <v>144.0</v>
      </c>
    </row>
    <row r="42">
      <c r="A42" s="236" t="s">
        <v>1006</v>
      </c>
      <c r="B42" s="237">
        <v>6015.0</v>
      </c>
      <c r="C42" s="236" t="s">
        <v>1006</v>
      </c>
      <c r="D42" s="236" t="s">
        <v>492</v>
      </c>
      <c r="E42" s="236" t="s">
        <v>934</v>
      </c>
      <c r="F42" s="236" t="s">
        <v>998</v>
      </c>
      <c r="G42" s="237">
        <v>3.0</v>
      </c>
      <c r="H42" s="237">
        <v>3.0</v>
      </c>
      <c r="I42" s="237">
        <v>0.0</v>
      </c>
      <c r="J42" s="237">
        <v>3.0</v>
      </c>
      <c r="K42" s="237">
        <v>3.0</v>
      </c>
      <c r="L42" s="237">
        <v>0.0</v>
      </c>
      <c r="M42" s="237">
        <v>11.0</v>
      </c>
      <c r="N42" s="237">
        <v>11.0</v>
      </c>
    </row>
    <row r="43">
      <c r="A43" s="236" t="s">
        <v>1007</v>
      </c>
      <c r="B43" s="237">
        <v>6666.0</v>
      </c>
      <c r="C43" s="236" t="s">
        <v>1007</v>
      </c>
      <c r="D43" s="236" t="s">
        <v>492</v>
      </c>
      <c r="E43" s="236" t="s">
        <v>492</v>
      </c>
      <c r="F43" s="236" t="s">
        <v>985</v>
      </c>
      <c r="G43" s="237">
        <v>11.0</v>
      </c>
      <c r="H43" s="237">
        <v>11.0</v>
      </c>
      <c r="I43" s="237">
        <v>0.0</v>
      </c>
      <c r="J43" s="237">
        <v>11.0</v>
      </c>
      <c r="K43" s="237">
        <v>11.0</v>
      </c>
      <c r="L43" s="237">
        <v>0.0</v>
      </c>
      <c r="M43" s="237">
        <v>36.0</v>
      </c>
      <c r="N43" s="237">
        <v>36.0</v>
      </c>
    </row>
    <row r="44">
      <c r="A44" s="236" t="s">
        <v>1008</v>
      </c>
      <c r="B44" s="237">
        <v>184.0</v>
      </c>
      <c r="C44" s="236" t="s">
        <v>1008</v>
      </c>
      <c r="D44" s="236" t="s">
        <v>492</v>
      </c>
      <c r="E44" s="236" t="s">
        <v>935</v>
      </c>
      <c r="F44" s="236" t="s">
        <v>1009</v>
      </c>
      <c r="G44" s="237">
        <v>8.0</v>
      </c>
      <c r="H44" s="237">
        <v>9.0</v>
      </c>
      <c r="I44" s="237">
        <v>-1.0</v>
      </c>
      <c r="J44" s="237">
        <v>7.0</v>
      </c>
      <c r="K44" s="237">
        <v>8.0</v>
      </c>
      <c r="L44" s="237">
        <v>-1.0</v>
      </c>
      <c r="M44" s="237">
        <v>22.0</v>
      </c>
      <c r="N44" s="237">
        <v>22.0</v>
      </c>
    </row>
    <row r="45">
      <c r="A45" s="236" t="s">
        <v>230</v>
      </c>
      <c r="B45" s="237">
        <v>7028.0</v>
      </c>
      <c r="C45" s="236" t="s">
        <v>230</v>
      </c>
      <c r="D45" s="236" t="s">
        <v>492</v>
      </c>
      <c r="E45" s="236" t="s">
        <v>492</v>
      </c>
      <c r="F45" s="236" t="s">
        <v>983</v>
      </c>
      <c r="G45" s="237">
        <v>4.0</v>
      </c>
      <c r="H45" s="237">
        <v>4.0</v>
      </c>
      <c r="I45" s="237">
        <v>0.0</v>
      </c>
      <c r="J45" s="237">
        <v>4.0</v>
      </c>
      <c r="K45" s="237">
        <v>4.0</v>
      </c>
      <c r="L45" s="237">
        <v>0.0</v>
      </c>
      <c r="M45" s="237">
        <v>10.0</v>
      </c>
      <c r="N45" s="237">
        <v>10.0</v>
      </c>
    </row>
    <row r="46">
      <c r="A46" s="236" t="s">
        <v>91</v>
      </c>
      <c r="B46" s="237">
        <v>5820.0</v>
      </c>
      <c r="C46" s="236" t="s">
        <v>91</v>
      </c>
      <c r="D46" s="236" t="s">
        <v>480</v>
      </c>
      <c r="E46" s="236" t="s">
        <v>481</v>
      </c>
      <c r="F46" s="236" t="s">
        <v>993</v>
      </c>
      <c r="G46" s="237">
        <v>6.0</v>
      </c>
      <c r="H46" s="237">
        <v>6.0</v>
      </c>
      <c r="I46" s="237">
        <v>0.0</v>
      </c>
      <c r="J46" s="237">
        <v>6.0</v>
      </c>
      <c r="K46" s="237">
        <v>6.0</v>
      </c>
      <c r="L46" s="237">
        <v>0.0</v>
      </c>
      <c r="M46" s="237">
        <v>11.0</v>
      </c>
      <c r="N46" s="237">
        <v>11.0</v>
      </c>
    </row>
    <row r="47">
      <c r="A47" s="236" t="s">
        <v>807</v>
      </c>
      <c r="B47" s="237">
        <v>6202.0</v>
      </c>
      <c r="C47" s="236" t="s">
        <v>807</v>
      </c>
      <c r="D47" s="236" t="s">
        <v>480</v>
      </c>
      <c r="E47" s="236" t="s">
        <v>481</v>
      </c>
      <c r="F47" s="236" t="s">
        <v>987</v>
      </c>
      <c r="G47" s="237">
        <v>9.0</v>
      </c>
      <c r="H47" s="237">
        <v>10.0</v>
      </c>
      <c r="I47" s="237">
        <v>-1.0</v>
      </c>
      <c r="J47" s="237">
        <v>9.0</v>
      </c>
      <c r="K47" s="237">
        <v>10.0</v>
      </c>
      <c r="L47" s="237">
        <v>-1.0</v>
      </c>
      <c r="M47" s="237">
        <v>18.0</v>
      </c>
      <c r="N47" s="237">
        <v>18.0</v>
      </c>
    </row>
    <row r="48">
      <c r="A48" s="236" t="s">
        <v>1010</v>
      </c>
      <c r="B48" s="237">
        <v>612.0</v>
      </c>
      <c r="C48" s="236" t="s">
        <v>1010</v>
      </c>
      <c r="D48" s="236" t="s">
        <v>480</v>
      </c>
      <c r="E48" s="236" t="s">
        <v>481</v>
      </c>
      <c r="F48" s="236" t="s">
        <v>995</v>
      </c>
      <c r="G48" s="237">
        <v>4.0</v>
      </c>
      <c r="H48" s="237">
        <v>3.0</v>
      </c>
      <c r="I48" s="237">
        <v>1.0</v>
      </c>
      <c r="J48" s="237">
        <v>4.0</v>
      </c>
      <c r="K48" s="237">
        <v>3.0</v>
      </c>
      <c r="L48" s="237">
        <v>1.0</v>
      </c>
      <c r="M48" s="237">
        <v>4.0</v>
      </c>
      <c r="N48" s="237">
        <v>4.0</v>
      </c>
    </row>
    <row r="49">
      <c r="A49" s="236" t="s">
        <v>358</v>
      </c>
      <c r="B49" s="237">
        <v>252.0</v>
      </c>
      <c r="C49" s="236" t="s">
        <v>358</v>
      </c>
      <c r="D49" s="236" t="s">
        <v>480</v>
      </c>
      <c r="E49" s="236" t="s">
        <v>931</v>
      </c>
      <c r="F49" s="236" t="s">
        <v>972</v>
      </c>
      <c r="G49" s="237">
        <v>8.0</v>
      </c>
      <c r="H49" s="237">
        <v>8.0</v>
      </c>
      <c r="I49" s="237">
        <v>0.0</v>
      </c>
      <c r="J49" s="237">
        <v>8.0</v>
      </c>
      <c r="K49" s="237">
        <v>8.0</v>
      </c>
      <c r="L49" s="237">
        <v>0.0</v>
      </c>
      <c r="M49" s="237">
        <v>23.0</v>
      </c>
      <c r="N49" s="237">
        <v>23.0</v>
      </c>
    </row>
    <row r="50">
      <c r="A50" s="236" t="s">
        <v>194</v>
      </c>
      <c r="B50" s="237">
        <v>6217.0</v>
      </c>
      <c r="C50" s="236" t="s">
        <v>194</v>
      </c>
      <c r="D50" s="236" t="s">
        <v>480</v>
      </c>
      <c r="E50" s="236" t="s">
        <v>481</v>
      </c>
      <c r="F50" s="236" t="s">
        <v>973</v>
      </c>
      <c r="G50" s="237">
        <v>8.0</v>
      </c>
      <c r="H50" s="237">
        <v>9.0</v>
      </c>
      <c r="I50" s="237">
        <v>-1.0</v>
      </c>
      <c r="J50" s="237">
        <v>8.0</v>
      </c>
      <c r="K50" s="237">
        <v>9.0</v>
      </c>
      <c r="L50" s="237">
        <v>-1.0</v>
      </c>
      <c r="M50" s="237">
        <v>20.0</v>
      </c>
      <c r="N50" s="237">
        <v>20.0</v>
      </c>
    </row>
    <row r="51">
      <c r="A51" s="236" t="s">
        <v>1011</v>
      </c>
      <c r="B51" s="237">
        <v>6219.0</v>
      </c>
      <c r="C51" s="236" t="s">
        <v>1011</v>
      </c>
      <c r="D51" s="236" t="s">
        <v>492</v>
      </c>
      <c r="E51" s="236" t="s">
        <v>930</v>
      </c>
      <c r="F51" s="236" t="s">
        <v>1005</v>
      </c>
      <c r="G51" s="237">
        <v>6.0</v>
      </c>
      <c r="H51" s="237">
        <v>6.0</v>
      </c>
      <c r="I51" s="237">
        <v>0.0</v>
      </c>
      <c r="J51" s="237">
        <v>6.0</v>
      </c>
      <c r="K51" s="237">
        <v>6.0</v>
      </c>
      <c r="L51" s="237">
        <v>0.0</v>
      </c>
      <c r="M51" s="237">
        <v>14.0</v>
      </c>
      <c r="N51" s="237">
        <v>17.0</v>
      </c>
    </row>
    <row r="52">
      <c r="A52" s="236" t="s">
        <v>1012</v>
      </c>
      <c r="B52" s="237">
        <v>505.0</v>
      </c>
      <c r="C52" s="236" t="s">
        <v>1012</v>
      </c>
      <c r="D52" s="236" t="s">
        <v>507</v>
      </c>
      <c r="E52" s="236" t="s">
        <v>507</v>
      </c>
      <c r="F52" s="236" t="s">
        <v>995</v>
      </c>
      <c r="G52" s="237">
        <v>3.0</v>
      </c>
      <c r="H52" s="237">
        <v>1.0</v>
      </c>
      <c r="I52" s="237">
        <v>2.0</v>
      </c>
      <c r="J52" s="237">
        <v>3.0</v>
      </c>
      <c r="K52" s="237">
        <v>1.0</v>
      </c>
      <c r="L52" s="237">
        <v>2.0</v>
      </c>
      <c r="M52" s="237">
        <v>19.0</v>
      </c>
      <c r="N52" s="237">
        <v>19.0</v>
      </c>
    </row>
    <row r="53">
      <c r="A53" s="236" t="s">
        <v>1013</v>
      </c>
      <c r="B53" s="237">
        <v>5992.0</v>
      </c>
      <c r="C53" s="236" t="s">
        <v>1013</v>
      </c>
      <c r="D53" s="236" t="s">
        <v>492</v>
      </c>
      <c r="E53" s="236" t="s">
        <v>930</v>
      </c>
      <c r="F53" s="236" t="s">
        <v>995</v>
      </c>
      <c r="G53" s="237">
        <v>4.0</v>
      </c>
      <c r="H53" s="237">
        <v>3.0</v>
      </c>
      <c r="I53" s="237">
        <v>1.0</v>
      </c>
      <c r="J53" s="237">
        <v>4.0</v>
      </c>
      <c r="K53" s="237">
        <v>3.0</v>
      </c>
      <c r="L53" s="237">
        <v>1.0</v>
      </c>
      <c r="M53" s="237">
        <v>18.0</v>
      </c>
      <c r="N53" s="237">
        <v>23.0</v>
      </c>
    </row>
    <row r="54">
      <c r="A54" s="236" t="s">
        <v>1014</v>
      </c>
      <c r="B54" s="237">
        <v>6444.0</v>
      </c>
      <c r="C54" s="236" t="s">
        <v>1014</v>
      </c>
      <c r="D54" s="236" t="s">
        <v>480</v>
      </c>
      <c r="E54" s="236" t="s">
        <v>481</v>
      </c>
      <c r="F54" s="236" t="s">
        <v>977</v>
      </c>
      <c r="G54" s="237">
        <v>2.0</v>
      </c>
      <c r="H54" s="237">
        <v>2.0</v>
      </c>
      <c r="I54" s="237">
        <v>0.0</v>
      </c>
      <c r="J54" s="237">
        <v>2.0</v>
      </c>
      <c r="K54" s="237">
        <v>2.0</v>
      </c>
      <c r="L54" s="237">
        <v>0.0</v>
      </c>
      <c r="M54" s="237">
        <v>5.0</v>
      </c>
      <c r="N54" s="237">
        <v>5.0</v>
      </c>
    </row>
    <row r="55">
      <c r="A55" s="236" t="s">
        <v>879</v>
      </c>
      <c r="B55" s="237">
        <v>6669.0</v>
      </c>
      <c r="C55" s="236" t="s">
        <v>879</v>
      </c>
      <c r="D55" s="236" t="s">
        <v>507</v>
      </c>
      <c r="E55" s="236" t="s">
        <v>512</v>
      </c>
      <c r="F55" s="236" t="s">
        <v>973</v>
      </c>
      <c r="G55" s="237">
        <v>7.0</v>
      </c>
      <c r="H55" s="237">
        <v>5.0</v>
      </c>
      <c r="I55" s="237">
        <v>2.0</v>
      </c>
      <c r="J55" s="237">
        <v>7.0</v>
      </c>
      <c r="K55" s="237">
        <v>5.0</v>
      </c>
      <c r="L55" s="237">
        <v>2.0</v>
      </c>
      <c r="M55" s="237">
        <v>37.0</v>
      </c>
      <c r="N55" s="237">
        <v>34.0</v>
      </c>
    </row>
    <row r="56">
      <c r="A56" s="236" t="s">
        <v>1015</v>
      </c>
      <c r="B56" s="237">
        <v>6243.0</v>
      </c>
      <c r="C56" s="236" t="s">
        <v>1015</v>
      </c>
      <c r="D56" s="236" t="s">
        <v>507</v>
      </c>
      <c r="E56" s="236" t="s">
        <v>512</v>
      </c>
      <c r="F56" s="236" t="s">
        <v>975</v>
      </c>
      <c r="G56" s="237">
        <v>5.0</v>
      </c>
      <c r="H56" s="237">
        <v>5.0</v>
      </c>
      <c r="I56" s="237">
        <v>0.0</v>
      </c>
      <c r="J56" s="237">
        <v>4.0</v>
      </c>
      <c r="K56" s="237">
        <v>4.0</v>
      </c>
      <c r="L56" s="237">
        <v>0.0</v>
      </c>
      <c r="M56" s="237">
        <v>12.0</v>
      </c>
      <c r="N56" s="237">
        <v>10.0</v>
      </c>
    </row>
    <row r="57">
      <c r="A57" s="236" t="s">
        <v>1016</v>
      </c>
      <c r="B57" s="237">
        <v>5532.0</v>
      </c>
      <c r="C57" s="236" t="s">
        <v>1016</v>
      </c>
      <c r="D57" s="236" t="s">
        <v>480</v>
      </c>
      <c r="E57" s="236" t="s">
        <v>931</v>
      </c>
      <c r="F57" s="236" t="s">
        <v>983</v>
      </c>
      <c r="G57" s="237">
        <v>4.0</v>
      </c>
      <c r="H57" s="237">
        <v>4.0</v>
      </c>
      <c r="I57" s="237">
        <v>0.0</v>
      </c>
      <c r="J57" s="237">
        <v>4.0</v>
      </c>
      <c r="K57" s="237">
        <v>4.0</v>
      </c>
      <c r="L57" s="237">
        <v>0.0</v>
      </c>
      <c r="M57" s="237">
        <v>8.0</v>
      </c>
      <c r="N57" s="237">
        <v>8.0</v>
      </c>
    </row>
    <row r="58">
      <c r="A58" s="236" t="s">
        <v>289</v>
      </c>
      <c r="B58" s="237">
        <v>6653.0</v>
      </c>
      <c r="C58" s="236" t="s">
        <v>289</v>
      </c>
      <c r="D58" s="236" t="s">
        <v>507</v>
      </c>
      <c r="E58" s="236" t="s">
        <v>507</v>
      </c>
      <c r="F58" s="236" t="s">
        <v>993</v>
      </c>
      <c r="G58" s="237">
        <v>6.0</v>
      </c>
      <c r="H58" s="237">
        <v>6.0</v>
      </c>
      <c r="I58" s="237">
        <v>0.0</v>
      </c>
      <c r="J58" s="237">
        <v>6.0</v>
      </c>
      <c r="K58" s="237">
        <v>6.0</v>
      </c>
      <c r="L58" s="237">
        <v>0.0</v>
      </c>
      <c r="M58" s="237">
        <v>21.0</v>
      </c>
      <c r="N58" s="237">
        <v>21.0</v>
      </c>
    </row>
    <row r="59">
      <c r="A59" s="236" t="s">
        <v>246</v>
      </c>
      <c r="B59" s="237">
        <v>2788.0</v>
      </c>
      <c r="C59" s="236" t="s">
        <v>246</v>
      </c>
      <c r="D59" s="236" t="s">
        <v>480</v>
      </c>
      <c r="E59" s="236" t="s">
        <v>481</v>
      </c>
      <c r="F59" s="236" t="s">
        <v>976</v>
      </c>
      <c r="G59" s="237">
        <v>13.0</v>
      </c>
      <c r="H59" s="237">
        <v>13.0</v>
      </c>
      <c r="I59" s="237">
        <v>0.0</v>
      </c>
      <c r="J59" s="237">
        <v>13.0</v>
      </c>
      <c r="K59" s="237">
        <v>13.0</v>
      </c>
      <c r="L59" s="237">
        <v>0.0</v>
      </c>
      <c r="M59" s="237">
        <v>50.0</v>
      </c>
      <c r="N59" s="237">
        <v>50.0</v>
      </c>
    </row>
    <row r="60">
      <c r="A60" s="236" t="s">
        <v>139</v>
      </c>
      <c r="B60" s="237">
        <v>4947.0</v>
      </c>
      <c r="C60" s="236" t="s">
        <v>139</v>
      </c>
      <c r="D60" s="236" t="s">
        <v>492</v>
      </c>
      <c r="E60" s="236" t="s">
        <v>934</v>
      </c>
      <c r="F60" s="236" t="s">
        <v>980</v>
      </c>
      <c r="G60" s="237">
        <v>7.0</v>
      </c>
      <c r="H60" s="237">
        <v>8.0</v>
      </c>
      <c r="I60" s="237">
        <v>-1.0</v>
      </c>
      <c r="J60" s="237">
        <v>7.0</v>
      </c>
      <c r="K60" s="237">
        <v>8.0</v>
      </c>
      <c r="L60" s="237">
        <v>-1.0</v>
      </c>
      <c r="M60" s="237">
        <v>23.0</v>
      </c>
      <c r="N60" s="237">
        <v>23.0</v>
      </c>
    </row>
    <row r="61">
      <c r="A61" s="236" t="s">
        <v>94</v>
      </c>
      <c r="B61" s="237">
        <v>7255.0</v>
      </c>
      <c r="C61" s="236" t="s">
        <v>94</v>
      </c>
      <c r="D61" s="236" t="s">
        <v>480</v>
      </c>
      <c r="E61" s="236" t="s">
        <v>944</v>
      </c>
      <c r="F61" s="236" t="s">
        <v>985</v>
      </c>
      <c r="G61" s="237">
        <v>1.0</v>
      </c>
      <c r="H61" s="237">
        <v>1.0</v>
      </c>
      <c r="I61" s="237">
        <v>0.0</v>
      </c>
      <c r="J61" s="237">
        <v>1.0</v>
      </c>
      <c r="K61" s="237">
        <v>1.0</v>
      </c>
      <c r="L61" s="237">
        <v>0.0</v>
      </c>
      <c r="M61" s="237">
        <v>2.0</v>
      </c>
      <c r="N61" s="237">
        <v>2.0</v>
      </c>
    </row>
    <row r="62">
      <c r="A62" s="236" t="s">
        <v>360</v>
      </c>
      <c r="B62" s="237">
        <v>7171.0</v>
      </c>
      <c r="C62" s="236" t="s">
        <v>360</v>
      </c>
      <c r="D62" s="236" t="s">
        <v>507</v>
      </c>
      <c r="E62" s="236" t="s">
        <v>507</v>
      </c>
      <c r="F62" s="236" t="s">
        <v>977</v>
      </c>
      <c r="G62" s="237">
        <v>1.0</v>
      </c>
      <c r="H62" s="237">
        <v>1.0</v>
      </c>
      <c r="I62" s="237">
        <v>0.0</v>
      </c>
      <c r="J62" s="237">
        <v>1.0</v>
      </c>
      <c r="K62" s="237">
        <v>1.0</v>
      </c>
      <c r="L62" s="237">
        <v>0.0</v>
      </c>
      <c r="M62" s="237">
        <v>1.0</v>
      </c>
      <c r="N62" s="237">
        <v>1.0</v>
      </c>
    </row>
    <row r="63">
      <c r="A63" s="236" t="s">
        <v>1017</v>
      </c>
      <c r="B63" s="237">
        <v>7249.0</v>
      </c>
      <c r="C63" s="236" t="s">
        <v>1017</v>
      </c>
      <c r="D63" s="236" t="s">
        <v>507</v>
      </c>
      <c r="E63" s="236" t="s">
        <v>512</v>
      </c>
      <c r="F63" s="236" t="s">
        <v>993</v>
      </c>
      <c r="G63" s="237">
        <v>9.0</v>
      </c>
      <c r="H63" s="237">
        <v>9.0</v>
      </c>
      <c r="I63" s="237">
        <v>0.0</v>
      </c>
      <c r="J63" s="237">
        <v>9.0</v>
      </c>
      <c r="K63" s="237">
        <v>9.0</v>
      </c>
      <c r="L63" s="237">
        <v>0.0</v>
      </c>
      <c r="M63" s="237">
        <v>31.0</v>
      </c>
      <c r="N63" s="237">
        <v>31.0</v>
      </c>
    </row>
    <row r="64">
      <c r="A64" s="236" t="s">
        <v>429</v>
      </c>
      <c r="B64" s="237">
        <v>2724.0</v>
      </c>
      <c r="C64" s="236" t="s">
        <v>429</v>
      </c>
      <c r="D64" s="236" t="s">
        <v>480</v>
      </c>
      <c r="E64" s="236" t="s">
        <v>481</v>
      </c>
      <c r="F64" s="236" t="s">
        <v>987</v>
      </c>
      <c r="G64" s="237">
        <v>13.0</v>
      </c>
      <c r="H64" s="237">
        <v>13.0</v>
      </c>
      <c r="I64" s="237">
        <v>0.0</v>
      </c>
      <c r="J64" s="237">
        <v>13.0</v>
      </c>
      <c r="K64" s="237">
        <v>13.0</v>
      </c>
      <c r="L64" s="237">
        <v>0.0</v>
      </c>
      <c r="M64" s="237">
        <v>42.0</v>
      </c>
      <c r="N64" s="237">
        <v>42.0</v>
      </c>
    </row>
    <row r="65">
      <c r="A65" s="236" t="s">
        <v>723</v>
      </c>
      <c r="B65" s="237">
        <v>6966.0</v>
      </c>
      <c r="C65" s="236" t="s">
        <v>723</v>
      </c>
      <c r="D65" s="236" t="s">
        <v>477</v>
      </c>
      <c r="E65" s="236" t="s">
        <v>478</v>
      </c>
      <c r="F65" s="236" t="s">
        <v>974</v>
      </c>
      <c r="G65" s="237">
        <v>11.0</v>
      </c>
      <c r="H65" s="237">
        <v>10.0</v>
      </c>
      <c r="I65" s="237">
        <v>1.0</v>
      </c>
      <c r="J65" s="237">
        <v>11.0</v>
      </c>
      <c r="K65" s="237">
        <v>10.0</v>
      </c>
      <c r="L65" s="237">
        <v>1.0</v>
      </c>
      <c r="M65" s="237">
        <v>34.0</v>
      </c>
      <c r="N65" s="237">
        <v>34.0</v>
      </c>
    </row>
    <row r="66">
      <c r="A66" s="236" t="s">
        <v>746</v>
      </c>
      <c r="B66" s="237">
        <v>6039.0</v>
      </c>
      <c r="C66" s="236" t="s">
        <v>746</v>
      </c>
      <c r="D66" s="236" t="s">
        <v>480</v>
      </c>
      <c r="E66" s="236" t="s">
        <v>979</v>
      </c>
      <c r="F66" s="236" t="s">
        <v>976</v>
      </c>
      <c r="G66" s="237">
        <v>4.0</v>
      </c>
      <c r="H66" s="237">
        <v>5.0</v>
      </c>
      <c r="I66" s="237">
        <v>-1.0</v>
      </c>
      <c r="J66" s="237">
        <v>4.0</v>
      </c>
      <c r="K66" s="237">
        <v>5.0</v>
      </c>
      <c r="L66" s="237">
        <v>-1.0</v>
      </c>
      <c r="M66" s="237">
        <v>10.0</v>
      </c>
      <c r="N66" s="237">
        <v>11.0</v>
      </c>
    </row>
    <row r="67">
      <c r="A67" s="236" t="s">
        <v>1018</v>
      </c>
      <c r="B67" s="237">
        <v>2745.0</v>
      </c>
      <c r="C67" s="236" t="s">
        <v>1018</v>
      </c>
      <c r="D67" s="236" t="s">
        <v>480</v>
      </c>
      <c r="E67" s="236" t="s">
        <v>1019</v>
      </c>
      <c r="F67" s="236" t="s">
        <v>977</v>
      </c>
      <c r="G67" s="237">
        <v>4.0</v>
      </c>
      <c r="H67" s="237">
        <v>3.0</v>
      </c>
      <c r="I67" s="237">
        <v>1.0</v>
      </c>
      <c r="J67" s="237">
        <v>5.0</v>
      </c>
      <c r="K67" s="237">
        <v>4.0</v>
      </c>
      <c r="L67" s="237">
        <v>1.0</v>
      </c>
      <c r="M67" s="237">
        <v>8.0</v>
      </c>
      <c r="N67" s="237">
        <v>9.0</v>
      </c>
    </row>
    <row r="68">
      <c r="A68" s="236" t="s">
        <v>719</v>
      </c>
      <c r="B68" s="237">
        <v>2194.0</v>
      </c>
      <c r="C68" s="236" t="s">
        <v>719</v>
      </c>
      <c r="D68" s="236" t="s">
        <v>492</v>
      </c>
      <c r="E68" s="236" t="s">
        <v>930</v>
      </c>
      <c r="F68" s="236" t="s">
        <v>973</v>
      </c>
      <c r="G68" s="237">
        <v>22.0</v>
      </c>
      <c r="H68" s="237">
        <v>23.0</v>
      </c>
      <c r="I68" s="237">
        <v>-1.0</v>
      </c>
      <c r="J68" s="237">
        <v>23.0</v>
      </c>
      <c r="K68" s="237">
        <v>24.0</v>
      </c>
      <c r="L68" s="237">
        <v>-1.0</v>
      </c>
      <c r="M68" s="237">
        <v>143.0</v>
      </c>
      <c r="N68" s="237">
        <v>153.0</v>
      </c>
    </row>
    <row r="69">
      <c r="A69" s="236" t="s">
        <v>392</v>
      </c>
      <c r="B69" s="237">
        <v>6519.0</v>
      </c>
      <c r="C69" s="236" t="s">
        <v>392</v>
      </c>
      <c r="D69" s="236" t="s">
        <v>507</v>
      </c>
      <c r="E69" s="236" t="s">
        <v>512</v>
      </c>
      <c r="F69" s="236" t="s">
        <v>998</v>
      </c>
      <c r="G69" s="237">
        <v>11.0</v>
      </c>
      <c r="H69" s="237">
        <v>12.0</v>
      </c>
      <c r="I69" s="237">
        <v>-1.0</v>
      </c>
      <c r="J69" s="237">
        <v>11.0</v>
      </c>
      <c r="K69" s="237">
        <v>12.0</v>
      </c>
      <c r="L69" s="237">
        <v>-1.0</v>
      </c>
      <c r="M69" s="237">
        <v>22.0</v>
      </c>
      <c r="N69" s="237">
        <v>19.0</v>
      </c>
    </row>
    <row r="70">
      <c r="A70" s="236" t="s">
        <v>1020</v>
      </c>
      <c r="B70" s="237">
        <v>4436.0</v>
      </c>
      <c r="C70" s="236" t="s">
        <v>1020</v>
      </c>
      <c r="D70" s="236" t="s">
        <v>507</v>
      </c>
      <c r="E70" s="236" t="s">
        <v>507</v>
      </c>
      <c r="F70" s="236" t="s">
        <v>1009</v>
      </c>
      <c r="G70" s="237">
        <v>11.0</v>
      </c>
      <c r="H70" s="237">
        <v>11.0</v>
      </c>
      <c r="I70" s="237">
        <v>0.0</v>
      </c>
      <c r="J70" s="237">
        <v>11.0</v>
      </c>
      <c r="K70" s="237">
        <v>11.0</v>
      </c>
      <c r="L70" s="237">
        <v>0.0</v>
      </c>
      <c r="M70" s="237">
        <v>25.0</v>
      </c>
      <c r="N70" s="237">
        <v>25.0</v>
      </c>
    </row>
    <row r="71">
      <c r="A71" s="236" t="s">
        <v>431</v>
      </c>
      <c r="B71" s="237">
        <v>5520.0</v>
      </c>
      <c r="C71" s="236" t="s">
        <v>431</v>
      </c>
      <c r="D71" s="236" t="s">
        <v>480</v>
      </c>
      <c r="E71" s="236" t="s">
        <v>521</v>
      </c>
      <c r="F71" s="236" t="s">
        <v>976</v>
      </c>
      <c r="G71" s="237">
        <v>14.0</v>
      </c>
      <c r="H71" s="237">
        <v>15.0</v>
      </c>
      <c r="I71" s="237">
        <v>-1.0</v>
      </c>
      <c r="J71" s="237">
        <v>13.0</v>
      </c>
      <c r="K71" s="237">
        <v>14.0</v>
      </c>
      <c r="L71" s="237">
        <v>-1.0</v>
      </c>
      <c r="M71" s="237">
        <v>56.0</v>
      </c>
      <c r="N71" s="237">
        <v>56.0</v>
      </c>
    </row>
    <row r="72">
      <c r="A72" s="236" t="s">
        <v>903</v>
      </c>
      <c r="B72" s="237">
        <v>5500.0</v>
      </c>
      <c r="C72" s="236" t="s">
        <v>903</v>
      </c>
      <c r="D72" s="236" t="s">
        <v>507</v>
      </c>
      <c r="E72" s="236" t="s">
        <v>935</v>
      </c>
      <c r="F72" s="236" t="s">
        <v>1000</v>
      </c>
      <c r="G72" s="237">
        <v>4.0</v>
      </c>
      <c r="H72" s="237">
        <v>3.0</v>
      </c>
      <c r="I72" s="237">
        <v>1.0</v>
      </c>
      <c r="J72" s="237">
        <v>4.0</v>
      </c>
      <c r="K72" s="237">
        <v>3.0</v>
      </c>
      <c r="L72" s="237">
        <v>1.0</v>
      </c>
      <c r="M72" s="237">
        <v>13.0</v>
      </c>
      <c r="N72" s="237">
        <v>16.0</v>
      </c>
    </row>
    <row r="73">
      <c r="A73" s="236" t="s">
        <v>1021</v>
      </c>
      <c r="B73" s="237">
        <v>6985.0</v>
      </c>
      <c r="C73" s="236" t="s">
        <v>1021</v>
      </c>
      <c r="D73" s="236" t="s">
        <v>480</v>
      </c>
      <c r="E73" s="236" t="s">
        <v>1022</v>
      </c>
      <c r="F73" s="236" t="s">
        <v>1005</v>
      </c>
      <c r="G73" s="237">
        <v>6.0</v>
      </c>
      <c r="H73" s="237">
        <v>6.0</v>
      </c>
      <c r="I73" s="237">
        <v>0.0</v>
      </c>
      <c r="J73" s="237">
        <v>6.0</v>
      </c>
      <c r="K73" s="237">
        <v>6.0</v>
      </c>
      <c r="L73" s="237">
        <v>0.0</v>
      </c>
      <c r="M73" s="237">
        <v>14.0</v>
      </c>
      <c r="N73" s="237">
        <v>14.0</v>
      </c>
    </row>
    <row r="74">
      <c r="A74" s="236" t="s">
        <v>1023</v>
      </c>
      <c r="B74" s="237">
        <v>7139.0</v>
      </c>
      <c r="C74" s="236" t="s">
        <v>1023</v>
      </c>
      <c r="D74" s="236" t="s">
        <v>480</v>
      </c>
      <c r="E74" s="236" t="s">
        <v>481</v>
      </c>
      <c r="F74" s="236" t="s">
        <v>977</v>
      </c>
      <c r="G74" s="237">
        <v>4.0</v>
      </c>
      <c r="H74" s="237">
        <v>3.0</v>
      </c>
      <c r="I74" s="237">
        <v>1.0</v>
      </c>
      <c r="J74" s="237">
        <v>4.0</v>
      </c>
      <c r="K74" s="237">
        <v>3.0</v>
      </c>
      <c r="L74" s="237">
        <v>1.0</v>
      </c>
      <c r="M74" s="237">
        <v>12.0</v>
      </c>
      <c r="N74" s="237">
        <v>12.0</v>
      </c>
    </row>
    <row r="75">
      <c r="A75" s="236" t="s">
        <v>183</v>
      </c>
      <c r="B75" s="237">
        <v>4360.0</v>
      </c>
      <c r="C75" s="236" t="s">
        <v>183</v>
      </c>
      <c r="D75" s="236" t="s">
        <v>477</v>
      </c>
      <c r="E75" s="236" t="s">
        <v>478</v>
      </c>
      <c r="F75" s="236" t="s">
        <v>975</v>
      </c>
      <c r="G75" s="237">
        <v>8.0</v>
      </c>
      <c r="H75" s="237">
        <v>7.0</v>
      </c>
      <c r="I75" s="237">
        <v>1.0</v>
      </c>
      <c r="J75" s="237">
        <v>8.0</v>
      </c>
      <c r="K75" s="237">
        <v>7.0</v>
      </c>
      <c r="L75" s="237">
        <v>1.0</v>
      </c>
      <c r="M75" s="237">
        <v>19.0</v>
      </c>
      <c r="N75" s="237">
        <v>19.0</v>
      </c>
    </row>
    <row r="76">
      <c r="A76" s="236" t="s">
        <v>95</v>
      </c>
      <c r="B76" s="237">
        <v>5036.0</v>
      </c>
      <c r="C76" s="236" t="s">
        <v>95</v>
      </c>
      <c r="D76" s="236" t="s">
        <v>492</v>
      </c>
      <c r="E76" s="236" t="s">
        <v>934</v>
      </c>
      <c r="F76" s="236" t="s">
        <v>974</v>
      </c>
      <c r="G76" s="237">
        <v>11.0</v>
      </c>
      <c r="H76" s="237">
        <v>12.0</v>
      </c>
      <c r="I76" s="237">
        <v>-1.0</v>
      </c>
      <c r="J76" s="237">
        <v>11.0</v>
      </c>
      <c r="K76" s="237">
        <v>12.0</v>
      </c>
      <c r="L76" s="237">
        <v>-1.0</v>
      </c>
      <c r="M76" s="237">
        <v>19.0</v>
      </c>
      <c r="N76" s="237">
        <v>19.0</v>
      </c>
    </row>
    <row r="77">
      <c r="A77" s="236" t="s">
        <v>1024</v>
      </c>
      <c r="B77" s="237">
        <v>2273.0</v>
      </c>
      <c r="C77" s="236" t="s">
        <v>1024</v>
      </c>
      <c r="D77" s="236" t="s">
        <v>480</v>
      </c>
      <c r="E77" s="236" t="s">
        <v>481</v>
      </c>
      <c r="F77" s="236" t="s">
        <v>977</v>
      </c>
      <c r="G77" s="237">
        <v>5.0</v>
      </c>
      <c r="H77" s="237">
        <v>4.0</v>
      </c>
      <c r="I77" s="237">
        <v>1.0</v>
      </c>
      <c r="J77" s="237">
        <v>5.0</v>
      </c>
      <c r="K77" s="237">
        <v>4.0</v>
      </c>
      <c r="L77" s="237">
        <v>1.0</v>
      </c>
      <c r="M77" s="237">
        <v>12.0</v>
      </c>
      <c r="N77" s="237">
        <v>12.0</v>
      </c>
    </row>
    <row r="78">
      <c r="A78" s="236" t="s">
        <v>1025</v>
      </c>
      <c r="B78" s="237">
        <v>6106.0</v>
      </c>
      <c r="C78" s="236" t="s">
        <v>1025</v>
      </c>
      <c r="D78" s="236" t="s">
        <v>492</v>
      </c>
      <c r="E78" s="236" t="s">
        <v>947</v>
      </c>
      <c r="F78" s="236" t="s">
        <v>1026</v>
      </c>
      <c r="G78" s="237">
        <v>11.0</v>
      </c>
      <c r="H78" s="237">
        <v>11.0</v>
      </c>
      <c r="I78" s="237">
        <v>0.0</v>
      </c>
      <c r="J78" s="237">
        <v>11.0</v>
      </c>
      <c r="K78" s="237">
        <v>11.0</v>
      </c>
      <c r="L78" s="237">
        <v>0.0</v>
      </c>
      <c r="M78" s="237">
        <v>29.0</v>
      </c>
      <c r="N78" s="237">
        <v>29.0</v>
      </c>
    </row>
    <row r="79">
      <c r="A79" s="236" t="s">
        <v>330</v>
      </c>
      <c r="B79" s="237">
        <v>5877.0</v>
      </c>
      <c r="C79" s="236" t="s">
        <v>330</v>
      </c>
      <c r="D79" s="236" t="s">
        <v>480</v>
      </c>
      <c r="E79" s="236" t="s">
        <v>979</v>
      </c>
      <c r="F79" s="236" t="s">
        <v>973</v>
      </c>
      <c r="G79" s="237">
        <v>10.0</v>
      </c>
      <c r="H79" s="237">
        <v>10.0</v>
      </c>
      <c r="I79" s="237">
        <v>0.0</v>
      </c>
      <c r="J79" s="237">
        <v>11.0</v>
      </c>
      <c r="K79" s="237">
        <v>11.0</v>
      </c>
      <c r="L79" s="237">
        <v>0.0</v>
      </c>
      <c r="M79" s="237">
        <v>31.0</v>
      </c>
      <c r="N79" s="237">
        <v>35.0</v>
      </c>
    </row>
    <row r="80">
      <c r="A80" s="236" t="s">
        <v>393</v>
      </c>
      <c r="B80" s="237">
        <v>4431.0</v>
      </c>
      <c r="C80" s="236" t="s">
        <v>393</v>
      </c>
      <c r="D80" s="236" t="s">
        <v>477</v>
      </c>
      <c r="E80" s="236" t="s">
        <v>478</v>
      </c>
      <c r="F80" s="236" t="s">
        <v>980</v>
      </c>
      <c r="G80" s="237">
        <v>14.0</v>
      </c>
      <c r="H80" s="237">
        <v>14.0</v>
      </c>
      <c r="I80" s="237">
        <v>0.0</v>
      </c>
      <c r="J80" s="237">
        <v>14.0</v>
      </c>
      <c r="K80" s="237">
        <v>14.0</v>
      </c>
      <c r="L80" s="237">
        <v>0.0</v>
      </c>
      <c r="M80" s="237">
        <v>66.0</v>
      </c>
      <c r="N80" s="237">
        <v>66.0</v>
      </c>
    </row>
    <row r="81">
      <c r="A81" s="236" t="s">
        <v>150</v>
      </c>
      <c r="B81" s="237">
        <v>5888.0</v>
      </c>
      <c r="C81" s="236" t="s">
        <v>150</v>
      </c>
      <c r="D81" s="236" t="s">
        <v>492</v>
      </c>
      <c r="E81" s="236" t="s">
        <v>934</v>
      </c>
      <c r="F81" s="236" t="s">
        <v>972</v>
      </c>
      <c r="G81" s="237">
        <v>12.0</v>
      </c>
      <c r="H81" s="237">
        <v>12.0</v>
      </c>
      <c r="I81" s="237">
        <v>0.0</v>
      </c>
      <c r="J81" s="237">
        <v>12.0</v>
      </c>
      <c r="K81" s="237">
        <v>12.0</v>
      </c>
      <c r="L81" s="237">
        <v>0.0</v>
      </c>
      <c r="M81" s="237">
        <v>28.0</v>
      </c>
      <c r="N81" s="237">
        <v>28.0</v>
      </c>
    </row>
    <row r="82">
      <c r="A82" s="236" t="s">
        <v>861</v>
      </c>
      <c r="B82" s="237">
        <v>5498.0</v>
      </c>
      <c r="C82" s="236" t="s">
        <v>861</v>
      </c>
      <c r="D82" s="236" t="s">
        <v>480</v>
      </c>
      <c r="E82" s="236" t="s">
        <v>481</v>
      </c>
      <c r="F82" s="236" t="s">
        <v>1009</v>
      </c>
      <c r="G82" s="237">
        <v>4.0</v>
      </c>
      <c r="H82" s="237">
        <v>4.0</v>
      </c>
      <c r="I82" s="237">
        <v>0.0</v>
      </c>
      <c r="J82" s="237">
        <v>4.0</v>
      </c>
      <c r="K82" s="237">
        <v>4.0</v>
      </c>
      <c r="L82" s="237">
        <v>0.0</v>
      </c>
      <c r="M82" s="237">
        <v>8.0</v>
      </c>
      <c r="N82" s="237">
        <v>8.0</v>
      </c>
    </row>
    <row r="83">
      <c r="A83" s="236" t="s">
        <v>361</v>
      </c>
      <c r="B83" s="237">
        <v>6226.0</v>
      </c>
      <c r="C83" s="236" t="s">
        <v>361</v>
      </c>
      <c r="D83" s="236" t="s">
        <v>507</v>
      </c>
      <c r="E83" s="236" t="s">
        <v>512</v>
      </c>
      <c r="F83" s="236" t="s">
        <v>1000</v>
      </c>
      <c r="G83" s="237">
        <v>22.0</v>
      </c>
      <c r="H83" s="237">
        <v>21.0</v>
      </c>
      <c r="I83" s="237">
        <v>1.0</v>
      </c>
      <c r="J83" s="237">
        <v>22.0</v>
      </c>
      <c r="K83" s="237">
        <v>21.0</v>
      </c>
      <c r="L83" s="237">
        <v>1.0</v>
      </c>
      <c r="M83" s="237">
        <v>198.0</v>
      </c>
      <c r="N83" s="237">
        <v>198.0</v>
      </c>
    </row>
    <row r="84">
      <c r="A84" s="236" t="s">
        <v>291</v>
      </c>
      <c r="B84" s="237">
        <v>6572.0</v>
      </c>
      <c r="C84" s="236" t="s">
        <v>291</v>
      </c>
      <c r="D84" s="236" t="s">
        <v>507</v>
      </c>
      <c r="E84" s="236" t="s">
        <v>512</v>
      </c>
      <c r="F84" s="236" t="s">
        <v>1009</v>
      </c>
      <c r="G84" s="237">
        <v>20.0</v>
      </c>
      <c r="H84" s="237">
        <v>19.0</v>
      </c>
      <c r="I84" s="237">
        <v>1.0</v>
      </c>
      <c r="J84" s="237">
        <v>20.0</v>
      </c>
      <c r="K84" s="237">
        <v>19.0</v>
      </c>
      <c r="L84" s="237">
        <v>1.0</v>
      </c>
      <c r="M84" s="237">
        <v>128.0</v>
      </c>
      <c r="N84" s="237">
        <v>128.0</v>
      </c>
    </row>
    <row r="85">
      <c r="A85" s="236" t="s">
        <v>850</v>
      </c>
      <c r="B85" s="237">
        <v>333.0</v>
      </c>
      <c r="C85" s="236" t="s">
        <v>850</v>
      </c>
      <c r="D85" s="236" t="s">
        <v>492</v>
      </c>
      <c r="E85" s="236" t="s">
        <v>930</v>
      </c>
      <c r="F85" s="236" t="s">
        <v>1000</v>
      </c>
      <c r="G85" s="237">
        <v>5.0</v>
      </c>
      <c r="H85" s="237">
        <v>5.0</v>
      </c>
      <c r="I85" s="237">
        <v>0.0</v>
      </c>
      <c r="J85" s="237">
        <v>5.0</v>
      </c>
      <c r="K85" s="237">
        <v>5.0</v>
      </c>
      <c r="L85" s="237">
        <v>0.0</v>
      </c>
      <c r="M85" s="237">
        <v>10.0</v>
      </c>
      <c r="N85" s="237">
        <v>13.0</v>
      </c>
    </row>
    <row r="86">
      <c r="A86" s="236" t="s">
        <v>1027</v>
      </c>
      <c r="B86" s="237">
        <v>7261.0</v>
      </c>
      <c r="C86" s="236" t="s">
        <v>1027</v>
      </c>
      <c r="D86" s="236" t="s">
        <v>477</v>
      </c>
      <c r="E86" s="236" t="s">
        <v>478</v>
      </c>
      <c r="F86" s="236" t="s">
        <v>974</v>
      </c>
      <c r="G86" s="237">
        <v>1.0</v>
      </c>
      <c r="H86" s="237">
        <v>1.0</v>
      </c>
      <c r="I86" s="237">
        <v>0.0</v>
      </c>
      <c r="J86" s="237">
        <v>1.0</v>
      </c>
      <c r="K86" s="237">
        <v>1.0</v>
      </c>
      <c r="L86" s="237">
        <v>0.0</v>
      </c>
      <c r="M86" s="237">
        <v>1.0</v>
      </c>
      <c r="N86" s="237">
        <v>1.0</v>
      </c>
    </row>
    <row r="87">
      <c r="A87" s="236" t="s">
        <v>1028</v>
      </c>
      <c r="B87" s="237">
        <v>1891.0</v>
      </c>
      <c r="C87" s="236" t="s">
        <v>1028</v>
      </c>
      <c r="D87" s="236" t="s">
        <v>480</v>
      </c>
      <c r="E87" s="236" t="s">
        <v>937</v>
      </c>
      <c r="F87" s="236" t="s">
        <v>995</v>
      </c>
      <c r="G87" s="237">
        <v>4.0</v>
      </c>
      <c r="H87" s="237">
        <v>4.0</v>
      </c>
      <c r="I87" s="237">
        <v>0.0</v>
      </c>
      <c r="J87" s="237">
        <v>4.0</v>
      </c>
      <c r="K87" s="237">
        <v>4.0</v>
      </c>
      <c r="L87" s="237">
        <v>0.0</v>
      </c>
      <c r="M87" s="237">
        <v>11.0</v>
      </c>
      <c r="N87" s="237">
        <v>12.0</v>
      </c>
    </row>
    <row r="88">
      <c r="A88" s="236" t="s">
        <v>1029</v>
      </c>
      <c r="B88" s="237">
        <v>4657.0</v>
      </c>
      <c r="C88" s="236" t="s">
        <v>1029</v>
      </c>
      <c r="D88" s="236" t="s">
        <v>480</v>
      </c>
      <c r="E88" s="236" t="s">
        <v>1019</v>
      </c>
      <c r="F88" s="236" t="s">
        <v>988</v>
      </c>
      <c r="G88" s="237">
        <v>6.0</v>
      </c>
      <c r="H88" s="237">
        <v>7.0</v>
      </c>
      <c r="I88" s="237">
        <v>-1.0</v>
      </c>
      <c r="J88" s="237">
        <v>7.0</v>
      </c>
      <c r="K88" s="237">
        <v>8.0</v>
      </c>
      <c r="L88" s="237">
        <v>-1.0</v>
      </c>
      <c r="M88" s="237">
        <v>13.0</v>
      </c>
      <c r="N88" s="237">
        <v>16.0</v>
      </c>
    </row>
    <row r="89">
      <c r="A89" s="236" t="s">
        <v>292</v>
      </c>
      <c r="B89" s="237">
        <v>7222.0</v>
      </c>
      <c r="C89" s="236" t="s">
        <v>292</v>
      </c>
      <c r="D89" s="236" t="s">
        <v>480</v>
      </c>
      <c r="E89" s="236" t="s">
        <v>944</v>
      </c>
      <c r="F89" s="236" t="s">
        <v>983</v>
      </c>
      <c r="G89" s="237">
        <v>2.0</v>
      </c>
      <c r="H89" s="237">
        <v>1.0</v>
      </c>
      <c r="I89" s="237">
        <v>1.0</v>
      </c>
      <c r="J89" s="237">
        <v>2.0</v>
      </c>
      <c r="K89" s="237">
        <v>1.0</v>
      </c>
      <c r="L89" s="237">
        <v>1.0</v>
      </c>
      <c r="M89" s="237">
        <v>1.0</v>
      </c>
      <c r="N89" s="237">
        <v>1.0</v>
      </c>
    </row>
    <row r="90">
      <c r="A90" s="236" t="s">
        <v>1030</v>
      </c>
      <c r="B90" s="237">
        <v>6439.0</v>
      </c>
      <c r="C90" s="236" t="s">
        <v>1030</v>
      </c>
      <c r="D90" s="236" t="s">
        <v>507</v>
      </c>
      <c r="E90" s="236" t="s">
        <v>512</v>
      </c>
      <c r="F90" s="236" t="s">
        <v>1005</v>
      </c>
      <c r="G90" s="237">
        <v>4.0</v>
      </c>
      <c r="H90" s="237">
        <v>4.0</v>
      </c>
      <c r="I90" s="237">
        <v>0.0</v>
      </c>
      <c r="J90" s="237">
        <v>4.0</v>
      </c>
      <c r="K90" s="237">
        <v>4.0</v>
      </c>
      <c r="L90" s="237">
        <v>0.0</v>
      </c>
      <c r="M90" s="237">
        <v>8.0</v>
      </c>
      <c r="N90" s="237">
        <v>8.0</v>
      </c>
    </row>
    <row r="91">
      <c r="A91" s="236" t="s">
        <v>1031</v>
      </c>
      <c r="B91" s="237">
        <v>4929.0</v>
      </c>
      <c r="C91" s="236" t="s">
        <v>1031</v>
      </c>
      <c r="D91" s="236" t="s">
        <v>477</v>
      </c>
      <c r="E91" s="236" t="s">
        <v>478</v>
      </c>
      <c r="F91" s="236" t="s">
        <v>975</v>
      </c>
      <c r="G91" s="237">
        <v>1.0</v>
      </c>
      <c r="H91" s="237">
        <v>1.0</v>
      </c>
      <c r="I91" s="237">
        <v>0.0</v>
      </c>
      <c r="J91" s="237">
        <v>1.0</v>
      </c>
      <c r="K91" s="237">
        <v>1.0</v>
      </c>
      <c r="L91" s="237">
        <v>0.0</v>
      </c>
      <c r="M91" s="237">
        <v>1.0</v>
      </c>
      <c r="N91" s="237">
        <v>1.0</v>
      </c>
    </row>
    <row r="92">
      <c r="A92" s="236" t="s">
        <v>715</v>
      </c>
      <c r="B92" s="237">
        <v>6663.0</v>
      </c>
      <c r="C92" s="236" t="s">
        <v>715</v>
      </c>
      <c r="D92" s="236" t="s">
        <v>480</v>
      </c>
      <c r="E92" s="236" t="s">
        <v>481</v>
      </c>
      <c r="F92" s="236" t="s">
        <v>985</v>
      </c>
      <c r="G92" s="237">
        <v>5.0</v>
      </c>
      <c r="H92" s="237">
        <v>5.0</v>
      </c>
      <c r="I92" s="237">
        <v>0.0</v>
      </c>
      <c r="J92" s="237">
        <v>5.0</v>
      </c>
      <c r="K92" s="237">
        <v>5.0</v>
      </c>
      <c r="L92" s="237">
        <v>0.0</v>
      </c>
      <c r="M92" s="237">
        <v>13.0</v>
      </c>
      <c r="N92" s="237">
        <v>13.0</v>
      </c>
    </row>
    <row r="93">
      <c r="A93" s="236" t="s">
        <v>152</v>
      </c>
      <c r="B93" s="237">
        <v>6642.0</v>
      </c>
      <c r="C93" s="236" t="s">
        <v>152</v>
      </c>
      <c r="D93" s="236" t="s">
        <v>480</v>
      </c>
      <c r="E93" s="236" t="s">
        <v>481</v>
      </c>
      <c r="F93" s="236" t="s">
        <v>972</v>
      </c>
      <c r="G93" s="237">
        <v>8.0</v>
      </c>
      <c r="H93" s="237">
        <v>8.0</v>
      </c>
      <c r="I93" s="237">
        <v>0.0</v>
      </c>
      <c r="J93" s="237">
        <v>8.0</v>
      </c>
      <c r="K93" s="237">
        <v>8.0</v>
      </c>
      <c r="L93" s="237">
        <v>0.0</v>
      </c>
      <c r="M93" s="237">
        <v>12.0</v>
      </c>
      <c r="N93" s="237">
        <v>12.0</v>
      </c>
    </row>
    <row r="94">
      <c r="A94" s="236" t="s">
        <v>1032</v>
      </c>
      <c r="B94" s="237">
        <v>7132.0</v>
      </c>
      <c r="C94" s="236" t="s">
        <v>1032</v>
      </c>
      <c r="D94" s="236" t="s">
        <v>492</v>
      </c>
      <c r="E94" s="236" t="s">
        <v>930</v>
      </c>
      <c r="F94" s="236" t="s">
        <v>995</v>
      </c>
      <c r="G94" s="237">
        <v>9.0</v>
      </c>
      <c r="H94" s="237">
        <v>8.0</v>
      </c>
      <c r="I94" s="237">
        <v>1.0</v>
      </c>
      <c r="J94" s="237">
        <v>10.0</v>
      </c>
      <c r="K94" s="237">
        <v>9.0</v>
      </c>
      <c r="L94" s="237">
        <v>1.0</v>
      </c>
      <c r="M94" s="237">
        <v>23.0</v>
      </c>
      <c r="N94" s="237">
        <v>28.0</v>
      </c>
    </row>
    <row r="95">
      <c r="A95" s="236" t="s">
        <v>758</v>
      </c>
      <c r="B95" s="237">
        <v>4923.0</v>
      </c>
      <c r="C95" s="236" t="s">
        <v>758</v>
      </c>
      <c r="D95" s="236" t="s">
        <v>507</v>
      </c>
      <c r="E95" s="236" t="s">
        <v>512</v>
      </c>
      <c r="F95" s="236" t="s">
        <v>1026</v>
      </c>
      <c r="G95" s="237">
        <v>11.0</v>
      </c>
      <c r="H95" s="237">
        <v>12.0</v>
      </c>
      <c r="I95" s="237">
        <v>-1.0</v>
      </c>
      <c r="J95" s="237">
        <v>10.0</v>
      </c>
      <c r="K95" s="237">
        <v>11.0</v>
      </c>
      <c r="L95" s="237">
        <v>-1.0</v>
      </c>
      <c r="M95" s="237">
        <v>41.0</v>
      </c>
      <c r="N95" s="237">
        <v>38.0</v>
      </c>
    </row>
    <row r="96">
      <c r="A96" s="236" t="s">
        <v>50</v>
      </c>
      <c r="B96" s="237">
        <v>6495.0</v>
      </c>
      <c r="C96" s="236" t="s">
        <v>50</v>
      </c>
      <c r="D96" s="236" t="s">
        <v>480</v>
      </c>
      <c r="E96" s="236" t="s">
        <v>481</v>
      </c>
      <c r="F96" s="236" t="s">
        <v>1033</v>
      </c>
      <c r="G96" s="237">
        <v>8.0</v>
      </c>
      <c r="H96" s="237">
        <v>7.0</v>
      </c>
      <c r="I96" s="237">
        <v>1.0</v>
      </c>
      <c r="J96" s="237">
        <v>8.0</v>
      </c>
      <c r="K96" s="237">
        <v>7.0</v>
      </c>
      <c r="L96" s="237">
        <v>1.0</v>
      </c>
      <c r="M96" s="237">
        <v>17.0</v>
      </c>
      <c r="N96" s="237">
        <v>17.0</v>
      </c>
    </row>
    <row r="97">
      <c r="A97" s="236" t="s">
        <v>247</v>
      </c>
      <c r="B97" s="237">
        <v>6884.0</v>
      </c>
      <c r="C97" s="236" t="s">
        <v>247</v>
      </c>
      <c r="D97" s="236" t="s">
        <v>492</v>
      </c>
      <c r="E97" s="236" t="s">
        <v>935</v>
      </c>
      <c r="F97" s="236" t="s">
        <v>976</v>
      </c>
      <c r="G97" s="237">
        <v>18.0</v>
      </c>
      <c r="H97" s="237">
        <v>18.0</v>
      </c>
      <c r="I97" s="237">
        <v>0.0</v>
      </c>
      <c r="J97" s="237">
        <v>17.0</v>
      </c>
      <c r="K97" s="237">
        <v>17.0</v>
      </c>
      <c r="L97" s="237">
        <v>0.0</v>
      </c>
      <c r="M97" s="237">
        <v>81.0</v>
      </c>
      <c r="N97" s="237">
        <v>81.0</v>
      </c>
    </row>
    <row r="98">
      <c r="A98" s="236" t="s">
        <v>456</v>
      </c>
      <c r="B98" s="237">
        <v>2845.0</v>
      </c>
      <c r="C98" s="236" t="s">
        <v>456</v>
      </c>
      <c r="D98" s="236" t="s">
        <v>477</v>
      </c>
      <c r="E98" s="236" t="s">
        <v>478</v>
      </c>
      <c r="F98" s="236" t="s">
        <v>987</v>
      </c>
      <c r="G98" s="237">
        <v>1.0</v>
      </c>
      <c r="H98" s="237">
        <v>1.0</v>
      </c>
      <c r="I98" s="237">
        <v>0.0</v>
      </c>
      <c r="J98" s="237">
        <v>1.0</v>
      </c>
      <c r="K98" s="237">
        <v>1.0</v>
      </c>
      <c r="L98" s="237">
        <v>0.0</v>
      </c>
      <c r="M98" s="237">
        <v>1.0</v>
      </c>
      <c r="N98" s="237">
        <v>1.0</v>
      </c>
    </row>
    <row r="99">
      <c r="A99" s="236" t="s">
        <v>1034</v>
      </c>
      <c r="B99" s="237">
        <v>7140.0</v>
      </c>
      <c r="C99" s="236" t="s">
        <v>1034</v>
      </c>
      <c r="D99" s="236" t="s">
        <v>480</v>
      </c>
      <c r="E99" s="236" t="s">
        <v>481</v>
      </c>
      <c r="F99" s="236" t="s">
        <v>977</v>
      </c>
      <c r="G99" s="237">
        <v>1.0</v>
      </c>
      <c r="H99" s="237">
        <v>1.0</v>
      </c>
      <c r="I99" s="237">
        <v>0.0</v>
      </c>
      <c r="J99" s="237">
        <v>1.0</v>
      </c>
      <c r="K99" s="237">
        <v>1.0</v>
      </c>
      <c r="L99" s="237">
        <v>0.0</v>
      </c>
      <c r="M99" s="237">
        <v>4.0</v>
      </c>
      <c r="N99" s="237">
        <v>4.0</v>
      </c>
    </row>
    <row r="100">
      <c r="A100" s="236" t="s">
        <v>1035</v>
      </c>
      <c r="B100" s="237">
        <v>4677.0</v>
      </c>
      <c r="C100" s="236" t="s">
        <v>1035</v>
      </c>
      <c r="D100" s="236" t="s">
        <v>492</v>
      </c>
      <c r="E100" s="236" t="s">
        <v>563</v>
      </c>
      <c r="F100" s="236" t="s">
        <v>1026</v>
      </c>
      <c r="G100" s="237">
        <v>7.0</v>
      </c>
      <c r="H100" s="237">
        <v>7.0</v>
      </c>
      <c r="I100" s="237">
        <v>0.0</v>
      </c>
      <c r="J100" s="237">
        <v>7.0</v>
      </c>
      <c r="K100" s="237">
        <v>7.0</v>
      </c>
      <c r="L100" s="237">
        <v>0.0</v>
      </c>
      <c r="M100" s="237">
        <v>20.0</v>
      </c>
      <c r="N100" s="237">
        <v>20.0</v>
      </c>
    </row>
    <row r="101">
      <c r="A101" s="236" t="s">
        <v>1036</v>
      </c>
      <c r="B101" s="237">
        <v>6662.0</v>
      </c>
      <c r="C101" s="236" t="s">
        <v>1036</v>
      </c>
      <c r="D101" s="236" t="s">
        <v>477</v>
      </c>
      <c r="E101" s="236" t="s">
        <v>478</v>
      </c>
      <c r="F101" s="236" t="s">
        <v>985</v>
      </c>
      <c r="G101" s="237">
        <v>1.0</v>
      </c>
      <c r="H101" s="237">
        <v>1.0</v>
      </c>
      <c r="I101" s="237">
        <v>0.0</v>
      </c>
      <c r="J101" s="237">
        <v>1.0</v>
      </c>
      <c r="K101" s="237">
        <v>1.0</v>
      </c>
      <c r="L101" s="237">
        <v>0.0</v>
      </c>
      <c r="M101" s="237">
        <v>1.0</v>
      </c>
      <c r="N101" s="237">
        <v>1.0</v>
      </c>
    </row>
    <row r="102">
      <c r="A102" s="236" t="s">
        <v>1037</v>
      </c>
      <c r="B102" s="237">
        <v>5504.0</v>
      </c>
      <c r="C102" s="236" t="s">
        <v>1037</v>
      </c>
      <c r="D102" s="236" t="s">
        <v>492</v>
      </c>
      <c r="E102" s="236" t="s">
        <v>930</v>
      </c>
      <c r="F102" s="236" t="s">
        <v>998</v>
      </c>
      <c r="G102" s="237">
        <v>8.0</v>
      </c>
      <c r="H102" s="237">
        <v>7.0</v>
      </c>
      <c r="I102" s="237">
        <v>1.0</v>
      </c>
      <c r="J102" s="237">
        <v>9.0</v>
      </c>
      <c r="K102" s="237">
        <v>8.0</v>
      </c>
      <c r="L102" s="237">
        <v>1.0</v>
      </c>
      <c r="M102" s="237">
        <v>14.0</v>
      </c>
      <c r="N102" s="237">
        <v>16.0</v>
      </c>
    </row>
    <row r="103">
      <c r="A103" s="236" t="s">
        <v>690</v>
      </c>
      <c r="B103" s="237">
        <v>6665.0</v>
      </c>
      <c r="C103" s="236" t="s">
        <v>690</v>
      </c>
      <c r="D103" s="236" t="s">
        <v>480</v>
      </c>
      <c r="E103" s="236" t="s">
        <v>944</v>
      </c>
      <c r="F103" s="236" t="s">
        <v>1005</v>
      </c>
      <c r="G103" s="237">
        <v>3.0</v>
      </c>
      <c r="H103" s="237">
        <v>3.0</v>
      </c>
      <c r="I103" s="237">
        <v>0.0</v>
      </c>
      <c r="J103" s="237">
        <v>4.0</v>
      </c>
      <c r="K103" s="237">
        <v>4.0</v>
      </c>
      <c r="L103" s="237">
        <v>0.0</v>
      </c>
      <c r="M103" s="237">
        <v>6.0</v>
      </c>
      <c r="N103" s="237">
        <v>8.0</v>
      </c>
    </row>
    <row r="104">
      <c r="A104" s="236" t="s">
        <v>154</v>
      </c>
      <c r="B104" s="237">
        <v>7276.0</v>
      </c>
      <c r="C104" s="236" t="s">
        <v>154</v>
      </c>
      <c r="D104" s="236" t="s">
        <v>492</v>
      </c>
      <c r="E104" s="236" t="s">
        <v>492</v>
      </c>
      <c r="F104" s="236" t="s">
        <v>985</v>
      </c>
      <c r="G104" s="237">
        <v>5.0</v>
      </c>
      <c r="H104" s="237">
        <v>5.0</v>
      </c>
      <c r="I104" s="237">
        <v>0.0</v>
      </c>
      <c r="J104" s="237">
        <v>5.0</v>
      </c>
      <c r="K104" s="237">
        <v>5.0</v>
      </c>
      <c r="L104" s="237">
        <v>0.0</v>
      </c>
      <c r="M104" s="237">
        <v>10.0</v>
      </c>
      <c r="N104" s="237">
        <v>10.0</v>
      </c>
    </row>
    <row r="105">
      <c r="A105" s="236" t="s">
        <v>747</v>
      </c>
      <c r="B105" s="237">
        <v>779.0</v>
      </c>
      <c r="C105" s="236" t="s">
        <v>747</v>
      </c>
      <c r="D105" s="236" t="s">
        <v>492</v>
      </c>
      <c r="E105" s="236" t="s">
        <v>930</v>
      </c>
      <c r="F105" s="236" t="s">
        <v>988</v>
      </c>
      <c r="G105" s="237">
        <v>10.0</v>
      </c>
      <c r="H105" s="237">
        <v>9.0</v>
      </c>
      <c r="I105" s="237">
        <v>1.0</v>
      </c>
      <c r="J105" s="237">
        <v>10.0</v>
      </c>
      <c r="K105" s="237">
        <v>9.0</v>
      </c>
      <c r="L105" s="237">
        <v>1.0</v>
      </c>
      <c r="M105" s="237">
        <v>23.0</v>
      </c>
      <c r="N105" s="237">
        <v>25.0</v>
      </c>
    </row>
    <row r="106">
      <c r="A106" s="236" t="s">
        <v>825</v>
      </c>
      <c r="B106" s="237">
        <v>697.0</v>
      </c>
      <c r="C106" s="236" t="s">
        <v>825</v>
      </c>
      <c r="D106" s="236" t="s">
        <v>480</v>
      </c>
      <c r="E106" s="236" t="s">
        <v>521</v>
      </c>
      <c r="F106" s="236" t="s">
        <v>977</v>
      </c>
      <c r="G106" s="237">
        <v>7.0</v>
      </c>
      <c r="H106" s="237">
        <v>7.0</v>
      </c>
      <c r="I106" s="237">
        <v>0.0</v>
      </c>
      <c r="J106" s="237">
        <v>6.0</v>
      </c>
      <c r="K106" s="237">
        <v>6.0</v>
      </c>
      <c r="L106" s="237">
        <v>0.0</v>
      </c>
      <c r="M106" s="237">
        <v>13.0</v>
      </c>
      <c r="N106" s="237">
        <v>12.0</v>
      </c>
    </row>
    <row r="107">
      <c r="A107" s="236" t="s">
        <v>716</v>
      </c>
      <c r="B107" s="237">
        <v>2155.0</v>
      </c>
      <c r="C107" s="236" t="s">
        <v>716</v>
      </c>
      <c r="D107" s="236" t="s">
        <v>507</v>
      </c>
      <c r="E107" s="236" t="s">
        <v>512</v>
      </c>
      <c r="F107" s="236" t="s">
        <v>985</v>
      </c>
      <c r="G107" s="237">
        <v>11.0</v>
      </c>
      <c r="H107" s="237">
        <v>10.0</v>
      </c>
      <c r="I107" s="237">
        <v>1.0</v>
      </c>
      <c r="J107" s="237">
        <v>11.0</v>
      </c>
      <c r="K107" s="237">
        <v>10.0</v>
      </c>
      <c r="L107" s="237">
        <v>1.0</v>
      </c>
      <c r="M107" s="237">
        <v>24.0</v>
      </c>
      <c r="N107" s="237">
        <v>21.0</v>
      </c>
    </row>
    <row r="108">
      <c r="A108" s="236" t="s">
        <v>617</v>
      </c>
      <c r="B108" s="237">
        <v>5559.0</v>
      </c>
      <c r="C108" s="236" t="s">
        <v>617</v>
      </c>
      <c r="D108" s="236" t="s">
        <v>492</v>
      </c>
      <c r="E108" s="236" t="s">
        <v>1038</v>
      </c>
      <c r="F108" s="236" t="s">
        <v>974</v>
      </c>
      <c r="G108" s="237">
        <v>12.0</v>
      </c>
      <c r="H108" s="237">
        <v>12.0</v>
      </c>
      <c r="I108" s="237">
        <v>0.0</v>
      </c>
      <c r="J108" s="237">
        <v>13.0</v>
      </c>
      <c r="K108" s="237">
        <v>13.0</v>
      </c>
      <c r="L108" s="237">
        <v>0.0</v>
      </c>
      <c r="M108" s="237">
        <v>33.0</v>
      </c>
      <c r="N108" s="237">
        <v>36.0</v>
      </c>
    </row>
    <row r="109">
      <c r="A109" s="236" t="s">
        <v>810</v>
      </c>
      <c r="B109" s="237">
        <v>6643.0</v>
      </c>
      <c r="C109" s="236" t="s">
        <v>810</v>
      </c>
      <c r="D109" s="236" t="s">
        <v>507</v>
      </c>
      <c r="E109" s="236" t="s">
        <v>512</v>
      </c>
      <c r="F109" s="236" t="s">
        <v>1009</v>
      </c>
      <c r="G109" s="237">
        <v>10.0</v>
      </c>
      <c r="H109" s="237">
        <v>10.0</v>
      </c>
      <c r="I109" s="237">
        <v>0.0</v>
      </c>
      <c r="J109" s="237">
        <v>10.0</v>
      </c>
      <c r="K109" s="237">
        <v>10.0</v>
      </c>
      <c r="L109" s="237">
        <v>0.0</v>
      </c>
      <c r="M109" s="237">
        <v>13.0</v>
      </c>
      <c r="N109" s="237">
        <v>10.0</v>
      </c>
    </row>
    <row r="110">
      <c r="A110" s="236" t="s">
        <v>193</v>
      </c>
      <c r="B110" s="237">
        <v>2525.0</v>
      </c>
      <c r="C110" s="236" t="s">
        <v>193</v>
      </c>
      <c r="D110" s="236" t="s">
        <v>480</v>
      </c>
      <c r="E110" s="236" t="s">
        <v>1019</v>
      </c>
      <c r="F110" s="236" t="s">
        <v>973</v>
      </c>
      <c r="G110" s="237">
        <v>4.0</v>
      </c>
      <c r="H110" s="237">
        <v>4.0</v>
      </c>
      <c r="I110" s="237">
        <v>0.0</v>
      </c>
      <c r="J110" s="237">
        <v>4.0</v>
      </c>
      <c r="K110" s="237">
        <v>5.0</v>
      </c>
      <c r="L110" s="237">
        <v>-1.0</v>
      </c>
      <c r="M110" s="237">
        <v>14.0</v>
      </c>
      <c r="N110" s="237">
        <v>16.0</v>
      </c>
    </row>
    <row r="111">
      <c r="A111" s="236" t="s">
        <v>1039</v>
      </c>
      <c r="B111" s="237">
        <v>5544.0</v>
      </c>
      <c r="C111" s="236" t="s">
        <v>1039</v>
      </c>
      <c r="D111" s="236" t="s">
        <v>507</v>
      </c>
      <c r="E111" s="236" t="s">
        <v>512</v>
      </c>
      <c r="F111" s="236" t="s">
        <v>976</v>
      </c>
      <c r="G111" s="237">
        <v>27.0</v>
      </c>
      <c r="H111" s="237">
        <v>27.0</v>
      </c>
      <c r="I111" s="237">
        <v>0.0</v>
      </c>
      <c r="J111" s="237">
        <v>27.0</v>
      </c>
      <c r="K111" s="237">
        <v>27.0</v>
      </c>
      <c r="L111" s="237">
        <v>0.0</v>
      </c>
      <c r="M111" s="237">
        <v>266.0</v>
      </c>
      <c r="N111" s="237">
        <v>266.0</v>
      </c>
    </row>
    <row r="112">
      <c r="A112" s="236" t="s">
        <v>1040</v>
      </c>
      <c r="B112" s="237">
        <v>5637.0</v>
      </c>
      <c r="C112" s="236" t="s">
        <v>1040</v>
      </c>
      <c r="D112" s="236" t="s">
        <v>507</v>
      </c>
      <c r="E112" s="236" t="s">
        <v>512</v>
      </c>
      <c r="F112" s="236" t="s">
        <v>993</v>
      </c>
      <c r="G112" s="237">
        <v>13.0</v>
      </c>
      <c r="H112" s="237">
        <v>12.0</v>
      </c>
      <c r="I112" s="237">
        <v>1.0</v>
      </c>
      <c r="J112" s="237">
        <v>12.0</v>
      </c>
      <c r="K112" s="237">
        <v>11.0</v>
      </c>
      <c r="L112" s="237">
        <v>1.0</v>
      </c>
      <c r="M112" s="237">
        <v>50.0</v>
      </c>
      <c r="N112" s="237">
        <v>47.0</v>
      </c>
    </row>
    <row r="113">
      <c r="A113" s="236" t="s">
        <v>1041</v>
      </c>
      <c r="B113" s="237">
        <v>2517.0</v>
      </c>
      <c r="C113" s="236" t="s">
        <v>1041</v>
      </c>
      <c r="D113" s="236" t="s">
        <v>492</v>
      </c>
      <c r="E113" s="236" t="s">
        <v>543</v>
      </c>
      <c r="F113" s="236" t="s">
        <v>987</v>
      </c>
      <c r="G113" s="237">
        <v>23.0</v>
      </c>
      <c r="H113" s="237">
        <v>23.0</v>
      </c>
      <c r="I113" s="237">
        <v>0.0</v>
      </c>
      <c r="J113" s="237">
        <v>22.0</v>
      </c>
      <c r="K113" s="237">
        <v>22.0</v>
      </c>
      <c r="L113" s="237">
        <v>0.0</v>
      </c>
      <c r="M113" s="237">
        <v>139.0</v>
      </c>
      <c r="N113" s="237">
        <v>139.0</v>
      </c>
    </row>
    <row r="114">
      <c r="A114" s="236" t="s">
        <v>687</v>
      </c>
      <c r="B114" s="237">
        <v>2521.0</v>
      </c>
      <c r="C114" s="236" t="s">
        <v>687</v>
      </c>
      <c r="D114" s="236" t="s">
        <v>477</v>
      </c>
      <c r="E114" s="236" t="s">
        <v>478</v>
      </c>
      <c r="F114" s="236" t="s">
        <v>1033</v>
      </c>
      <c r="G114" s="237">
        <v>14.0</v>
      </c>
      <c r="H114" s="237">
        <v>14.0</v>
      </c>
      <c r="I114" s="237">
        <v>0.0</v>
      </c>
      <c r="J114" s="237">
        <v>14.0</v>
      </c>
      <c r="K114" s="237">
        <v>14.0</v>
      </c>
      <c r="L114" s="237">
        <v>0.0</v>
      </c>
      <c r="M114" s="237">
        <v>64.0</v>
      </c>
      <c r="N114" s="237">
        <v>64.0</v>
      </c>
    </row>
    <row r="115">
      <c r="A115" s="236" t="s">
        <v>785</v>
      </c>
      <c r="B115" s="237">
        <v>5995.0</v>
      </c>
      <c r="C115" s="236" t="s">
        <v>785</v>
      </c>
      <c r="D115" s="236" t="s">
        <v>507</v>
      </c>
      <c r="E115" s="236" t="s">
        <v>507</v>
      </c>
      <c r="F115" s="236" t="s">
        <v>980</v>
      </c>
      <c r="G115" s="237">
        <v>21.0</v>
      </c>
      <c r="H115" s="237">
        <v>22.0</v>
      </c>
      <c r="I115" s="237">
        <v>-1.0</v>
      </c>
      <c r="J115" s="237">
        <v>22.0</v>
      </c>
      <c r="K115" s="237">
        <v>23.0</v>
      </c>
      <c r="L115" s="237">
        <v>-1.0</v>
      </c>
      <c r="M115" s="237">
        <v>142.0</v>
      </c>
      <c r="N115" s="237">
        <v>142.0</v>
      </c>
    </row>
    <row r="116">
      <c r="A116" s="236" t="s">
        <v>1042</v>
      </c>
      <c r="B116" s="237">
        <v>5512.0</v>
      </c>
      <c r="C116" s="236" t="s">
        <v>1042</v>
      </c>
      <c r="D116" s="236" t="s">
        <v>507</v>
      </c>
      <c r="E116" s="236" t="s">
        <v>512</v>
      </c>
      <c r="F116" s="236" t="s">
        <v>995</v>
      </c>
      <c r="G116" s="237">
        <v>9.0</v>
      </c>
      <c r="H116" s="237">
        <v>8.0</v>
      </c>
      <c r="I116" s="237">
        <v>1.0</v>
      </c>
      <c r="J116" s="237">
        <v>8.0</v>
      </c>
      <c r="K116" s="237">
        <v>7.0</v>
      </c>
      <c r="L116" s="237">
        <v>1.0</v>
      </c>
      <c r="M116" s="237">
        <v>5.0</v>
      </c>
      <c r="N116" s="237">
        <v>5.0</v>
      </c>
    </row>
    <row r="117">
      <c r="A117" s="236" t="s">
        <v>748</v>
      </c>
      <c r="B117" s="237">
        <v>22.0</v>
      </c>
      <c r="C117" s="236" t="s">
        <v>748</v>
      </c>
      <c r="D117" s="236" t="s">
        <v>492</v>
      </c>
      <c r="E117" s="236" t="s">
        <v>930</v>
      </c>
      <c r="F117" s="236" t="s">
        <v>980</v>
      </c>
      <c r="G117" s="237">
        <v>12.0</v>
      </c>
      <c r="H117" s="237">
        <v>12.0</v>
      </c>
      <c r="I117" s="237">
        <v>0.0</v>
      </c>
      <c r="J117" s="237">
        <v>13.0</v>
      </c>
      <c r="K117" s="237">
        <v>13.0</v>
      </c>
      <c r="L117" s="237">
        <v>0.0</v>
      </c>
      <c r="M117" s="237">
        <v>32.0</v>
      </c>
      <c r="N117" s="237">
        <v>37.0</v>
      </c>
    </row>
    <row r="118">
      <c r="A118" s="236" t="s">
        <v>1043</v>
      </c>
      <c r="B118" s="237">
        <v>487.0</v>
      </c>
      <c r="C118" s="236" t="s">
        <v>1043</v>
      </c>
      <c r="D118" s="236" t="s">
        <v>480</v>
      </c>
      <c r="E118" s="236" t="s">
        <v>938</v>
      </c>
      <c r="F118" s="236" t="s">
        <v>1009</v>
      </c>
      <c r="G118" s="237">
        <v>4.0</v>
      </c>
      <c r="H118" s="237">
        <v>4.0</v>
      </c>
      <c r="I118" s="237">
        <v>0.0</v>
      </c>
      <c r="J118" s="237">
        <v>4.0</v>
      </c>
      <c r="K118" s="237">
        <v>4.0</v>
      </c>
      <c r="L118" s="237">
        <v>0.0</v>
      </c>
      <c r="M118" s="237">
        <v>10.0</v>
      </c>
      <c r="N118" s="237">
        <v>10.0</v>
      </c>
    </row>
    <row r="119">
      <c r="A119" s="236" t="s">
        <v>776</v>
      </c>
      <c r="B119" s="237">
        <v>322.0</v>
      </c>
      <c r="C119" s="236" t="s">
        <v>776</v>
      </c>
      <c r="D119" s="236" t="s">
        <v>480</v>
      </c>
      <c r="E119" s="236" t="s">
        <v>481</v>
      </c>
      <c r="F119" s="236" t="s">
        <v>973</v>
      </c>
      <c r="G119" s="237">
        <v>8.0</v>
      </c>
      <c r="H119" s="237">
        <v>9.0</v>
      </c>
      <c r="I119" s="237">
        <v>-1.0</v>
      </c>
      <c r="J119" s="237">
        <v>8.0</v>
      </c>
      <c r="K119" s="237">
        <v>9.0</v>
      </c>
      <c r="L119" s="237">
        <v>-1.0</v>
      </c>
      <c r="M119" s="237">
        <v>20.0</v>
      </c>
      <c r="N119" s="237">
        <v>20.0</v>
      </c>
    </row>
    <row r="120">
      <c r="A120" s="236" t="s">
        <v>618</v>
      </c>
      <c r="B120" s="237">
        <v>5739.0</v>
      </c>
      <c r="C120" s="236" t="s">
        <v>618</v>
      </c>
      <c r="D120" s="236" t="s">
        <v>480</v>
      </c>
      <c r="E120" s="236" t="s">
        <v>937</v>
      </c>
      <c r="F120" s="236" t="s">
        <v>991</v>
      </c>
      <c r="G120" s="237">
        <v>7.0</v>
      </c>
      <c r="H120" s="237">
        <v>8.0</v>
      </c>
      <c r="I120" s="237">
        <v>-1.0</v>
      </c>
      <c r="J120" s="237">
        <v>8.0</v>
      </c>
      <c r="K120" s="237">
        <v>9.0</v>
      </c>
      <c r="L120" s="237">
        <v>-1.0</v>
      </c>
      <c r="M120" s="237">
        <v>17.0</v>
      </c>
      <c r="N120" s="237">
        <v>19.0</v>
      </c>
    </row>
    <row r="121">
      <c r="A121" s="236" t="s">
        <v>1044</v>
      </c>
      <c r="B121" s="237">
        <v>1871.0</v>
      </c>
      <c r="C121" s="236" t="s">
        <v>1044</v>
      </c>
      <c r="D121" s="236" t="s">
        <v>492</v>
      </c>
      <c r="E121" s="236" t="s">
        <v>930</v>
      </c>
      <c r="F121" s="236" t="s">
        <v>975</v>
      </c>
      <c r="G121" s="237">
        <v>6.0</v>
      </c>
      <c r="H121" s="237">
        <v>5.0</v>
      </c>
      <c r="I121" s="237">
        <v>1.0</v>
      </c>
      <c r="J121" s="237">
        <v>6.0</v>
      </c>
      <c r="K121" s="237">
        <v>5.0</v>
      </c>
      <c r="L121" s="237">
        <v>1.0</v>
      </c>
      <c r="M121" s="237">
        <v>11.0</v>
      </c>
      <c r="N121" s="237">
        <v>12.0</v>
      </c>
    </row>
    <row r="122">
      <c r="A122" s="236" t="s">
        <v>862</v>
      </c>
      <c r="B122" s="237">
        <v>6629.0</v>
      </c>
      <c r="C122" s="236" t="s">
        <v>862</v>
      </c>
      <c r="D122" s="236" t="s">
        <v>492</v>
      </c>
      <c r="E122" s="236" t="s">
        <v>934</v>
      </c>
      <c r="F122" s="236" t="s">
        <v>1000</v>
      </c>
      <c r="G122" s="237">
        <v>11.0</v>
      </c>
      <c r="H122" s="237">
        <v>11.0</v>
      </c>
      <c r="I122" s="237">
        <v>0.0</v>
      </c>
      <c r="J122" s="237">
        <v>11.0</v>
      </c>
      <c r="K122" s="237">
        <v>11.0</v>
      </c>
      <c r="L122" s="237">
        <v>0.0</v>
      </c>
      <c r="M122" s="237">
        <v>31.0</v>
      </c>
      <c r="N122" s="237">
        <v>31.0</v>
      </c>
    </row>
    <row r="123">
      <c r="A123" s="236" t="s">
        <v>612</v>
      </c>
      <c r="B123" s="237">
        <v>6664.0</v>
      </c>
      <c r="C123" s="236" t="s">
        <v>612</v>
      </c>
      <c r="D123" s="236" t="s">
        <v>480</v>
      </c>
      <c r="E123" s="236" t="s">
        <v>1019</v>
      </c>
      <c r="F123" s="236" t="s">
        <v>985</v>
      </c>
      <c r="G123" s="237">
        <v>9.0</v>
      </c>
      <c r="H123" s="237">
        <v>8.0</v>
      </c>
      <c r="I123" s="237">
        <v>1.0</v>
      </c>
      <c r="J123" s="237">
        <v>10.0</v>
      </c>
      <c r="K123" s="237">
        <v>9.0</v>
      </c>
      <c r="L123" s="237">
        <v>1.0</v>
      </c>
      <c r="M123" s="237">
        <v>21.0</v>
      </c>
      <c r="N123" s="237">
        <v>24.0</v>
      </c>
    </row>
    <row r="124">
      <c r="A124" s="236" t="s">
        <v>1045</v>
      </c>
      <c r="B124" s="237">
        <v>6826.0</v>
      </c>
      <c r="C124" s="236" t="s">
        <v>1045</v>
      </c>
      <c r="D124" s="236" t="s">
        <v>480</v>
      </c>
      <c r="E124" s="236" t="s">
        <v>938</v>
      </c>
      <c r="F124" s="236" t="s">
        <v>972</v>
      </c>
      <c r="G124" s="237">
        <v>1.0</v>
      </c>
      <c r="H124" s="237">
        <v>1.0</v>
      </c>
      <c r="I124" s="237">
        <v>0.0</v>
      </c>
      <c r="J124" s="237">
        <v>1.0</v>
      </c>
      <c r="K124" s="237">
        <v>1.0</v>
      </c>
      <c r="L124" s="237">
        <v>0.0</v>
      </c>
      <c r="M124" s="237">
        <v>3.0</v>
      </c>
      <c r="N124" s="237">
        <v>3.0</v>
      </c>
    </row>
    <row r="125">
      <c r="A125" s="236" t="s">
        <v>1046</v>
      </c>
      <c r="B125" s="237">
        <v>7196.0</v>
      </c>
      <c r="C125" s="236" t="s">
        <v>1046</v>
      </c>
      <c r="D125" s="236" t="s">
        <v>480</v>
      </c>
      <c r="E125" s="236" t="s">
        <v>481</v>
      </c>
      <c r="F125" s="236" t="s">
        <v>977</v>
      </c>
      <c r="G125" s="237">
        <v>2.0</v>
      </c>
      <c r="H125" s="237">
        <v>2.0</v>
      </c>
      <c r="I125" s="237">
        <v>0.0</v>
      </c>
      <c r="J125" s="237">
        <v>2.0</v>
      </c>
      <c r="K125" s="237">
        <v>2.0</v>
      </c>
      <c r="L125" s="237">
        <v>0.0</v>
      </c>
      <c r="M125" s="237">
        <v>4.0</v>
      </c>
      <c r="N125" s="237">
        <v>4.0</v>
      </c>
    </row>
    <row r="126">
      <c r="A126" s="236" t="s">
        <v>834</v>
      </c>
      <c r="B126" s="237">
        <v>1926.0</v>
      </c>
      <c r="C126" s="236" t="s">
        <v>834</v>
      </c>
      <c r="D126" s="236" t="s">
        <v>477</v>
      </c>
      <c r="E126" s="236" t="s">
        <v>478</v>
      </c>
      <c r="F126" s="236" t="s">
        <v>973</v>
      </c>
      <c r="G126" s="237">
        <v>1.0</v>
      </c>
      <c r="H126" s="237">
        <v>1.0</v>
      </c>
      <c r="I126" s="237">
        <v>0.0</v>
      </c>
      <c r="J126" s="237">
        <v>1.0</v>
      </c>
      <c r="K126" s="237">
        <v>1.0</v>
      </c>
      <c r="L126" s="237">
        <v>0.0</v>
      </c>
      <c r="M126" s="237">
        <v>1.0</v>
      </c>
      <c r="N126" s="237">
        <v>1.0</v>
      </c>
    </row>
    <row r="127">
      <c r="A127" s="236" t="s">
        <v>295</v>
      </c>
      <c r="B127" s="237">
        <v>5876.0</v>
      </c>
      <c r="C127" s="236" t="s">
        <v>295</v>
      </c>
      <c r="D127" s="236" t="s">
        <v>477</v>
      </c>
      <c r="E127" s="236" t="s">
        <v>478</v>
      </c>
      <c r="F127" s="236" t="s">
        <v>976</v>
      </c>
      <c r="G127" s="237">
        <v>17.0</v>
      </c>
      <c r="H127" s="237">
        <v>16.0</v>
      </c>
      <c r="I127" s="237">
        <v>1.0</v>
      </c>
      <c r="J127" s="237">
        <v>17.0</v>
      </c>
      <c r="K127" s="237">
        <v>16.0</v>
      </c>
      <c r="L127" s="237">
        <v>1.0</v>
      </c>
      <c r="M127" s="237">
        <v>87.0</v>
      </c>
      <c r="N127" s="237">
        <v>87.0</v>
      </c>
    </row>
    <row r="128">
      <c r="A128" s="236" t="s">
        <v>717</v>
      </c>
      <c r="B128" s="237">
        <v>2816.0</v>
      </c>
      <c r="C128" s="236" t="s">
        <v>717</v>
      </c>
      <c r="D128" s="236" t="s">
        <v>480</v>
      </c>
      <c r="E128" s="236" t="s">
        <v>938</v>
      </c>
      <c r="F128" s="236" t="s">
        <v>987</v>
      </c>
      <c r="G128" s="237">
        <v>14.0</v>
      </c>
      <c r="H128" s="237">
        <v>14.0</v>
      </c>
      <c r="I128" s="237">
        <v>0.0</v>
      </c>
      <c r="J128" s="237">
        <v>14.0</v>
      </c>
      <c r="K128" s="237">
        <v>14.0</v>
      </c>
      <c r="L128" s="237">
        <v>0.0</v>
      </c>
      <c r="M128" s="237">
        <v>53.0</v>
      </c>
      <c r="N128" s="237">
        <v>53.0</v>
      </c>
    </row>
    <row r="129">
      <c r="A129" s="236" t="s">
        <v>1047</v>
      </c>
      <c r="B129" s="237">
        <v>5406.0</v>
      </c>
      <c r="C129" s="236" t="s">
        <v>1047</v>
      </c>
      <c r="D129" s="236" t="s">
        <v>480</v>
      </c>
      <c r="E129" s="236" t="s">
        <v>938</v>
      </c>
      <c r="F129" s="236" t="s">
        <v>975</v>
      </c>
      <c r="G129" s="237">
        <v>2.0</v>
      </c>
      <c r="H129" s="237">
        <v>2.0</v>
      </c>
      <c r="I129" s="237">
        <v>0.0</v>
      </c>
      <c r="J129" s="237">
        <v>2.0</v>
      </c>
      <c r="K129" s="237">
        <v>2.0</v>
      </c>
      <c r="L129" s="237">
        <v>0.0</v>
      </c>
      <c r="M129" s="237">
        <v>4.0</v>
      </c>
      <c r="N129" s="237">
        <v>4.0</v>
      </c>
    </row>
    <row r="130">
      <c r="A130" s="236" t="s">
        <v>777</v>
      </c>
      <c r="B130" s="237">
        <v>5672.0</v>
      </c>
      <c r="C130" s="236" t="s">
        <v>777</v>
      </c>
      <c r="D130" s="236" t="s">
        <v>507</v>
      </c>
      <c r="E130" s="236" t="s">
        <v>512</v>
      </c>
      <c r="F130" s="236" t="s">
        <v>1000</v>
      </c>
      <c r="G130" s="237">
        <v>21.0</v>
      </c>
      <c r="H130" s="237">
        <v>20.0</v>
      </c>
      <c r="I130" s="237">
        <v>1.0</v>
      </c>
      <c r="J130" s="237">
        <v>21.0</v>
      </c>
      <c r="K130" s="237">
        <v>20.0</v>
      </c>
      <c r="L130" s="237">
        <v>1.0</v>
      </c>
      <c r="M130" s="237">
        <v>102.0</v>
      </c>
      <c r="N130" s="237">
        <v>102.0</v>
      </c>
    </row>
    <row r="131">
      <c r="A131" s="236" t="s">
        <v>156</v>
      </c>
      <c r="B131" s="237">
        <v>6967.0</v>
      </c>
      <c r="C131" s="236" t="s">
        <v>156</v>
      </c>
      <c r="D131" s="236" t="s">
        <v>507</v>
      </c>
      <c r="E131" s="236" t="s">
        <v>935</v>
      </c>
      <c r="F131" s="236" t="s">
        <v>974</v>
      </c>
      <c r="G131" s="237">
        <v>16.0</v>
      </c>
      <c r="H131" s="237">
        <v>17.0</v>
      </c>
      <c r="I131" s="237">
        <v>-1.0</v>
      </c>
      <c r="J131" s="237">
        <v>17.0</v>
      </c>
      <c r="K131" s="237">
        <v>18.0</v>
      </c>
      <c r="L131" s="237">
        <v>-1.0</v>
      </c>
      <c r="M131" s="237">
        <v>60.0</v>
      </c>
      <c r="N131" s="237">
        <v>65.0</v>
      </c>
    </row>
    <row r="132">
      <c r="A132" s="236" t="s">
        <v>137</v>
      </c>
      <c r="B132" s="237">
        <v>4137.0</v>
      </c>
      <c r="C132" s="236" t="s">
        <v>137</v>
      </c>
      <c r="D132" s="236" t="s">
        <v>480</v>
      </c>
      <c r="E132" s="236" t="s">
        <v>481</v>
      </c>
      <c r="F132" s="236" t="s">
        <v>974</v>
      </c>
      <c r="G132" s="237">
        <v>5.0</v>
      </c>
      <c r="H132" s="237">
        <v>5.0</v>
      </c>
      <c r="I132" s="237">
        <v>0.0</v>
      </c>
      <c r="J132" s="237">
        <v>5.0</v>
      </c>
      <c r="K132" s="237">
        <v>5.0</v>
      </c>
      <c r="L132" s="237">
        <v>0.0</v>
      </c>
      <c r="M132" s="237">
        <v>10.0</v>
      </c>
      <c r="N132" s="237">
        <v>10.0</v>
      </c>
    </row>
    <row r="133">
      <c r="A133" s="236" t="s">
        <v>284</v>
      </c>
      <c r="B133" s="237">
        <v>254.0</v>
      </c>
      <c r="C133" s="236" t="s">
        <v>284</v>
      </c>
      <c r="D133" s="236" t="s">
        <v>480</v>
      </c>
      <c r="E133" s="236" t="s">
        <v>521</v>
      </c>
      <c r="F133" s="236" t="s">
        <v>973</v>
      </c>
      <c r="G133" s="237">
        <v>19.0</v>
      </c>
      <c r="H133" s="237">
        <v>19.0</v>
      </c>
      <c r="I133" s="237">
        <v>0.0</v>
      </c>
      <c r="J133" s="237">
        <v>18.0</v>
      </c>
      <c r="K133" s="237">
        <v>18.0</v>
      </c>
      <c r="L133" s="237">
        <v>0.0</v>
      </c>
      <c r="M133" s="237">
        <v>94.0</v>
      </c>
      <c r="N133" s="237">
        <v>94.0</v>
      </c>
    </row>
    <row r="134">
      <c r="A134" s="236" t="s">
        <v>186</v>
      </c>
      <c r="B134" s="237">
        <v>6274.0</v>
      </c>
      <c r="C134" s="236" t="s">
        <v>186</v>
      </c>
      <c r="D134" s="236" t="s">
        <v>492</v>
      </c>
      <c r="E134" s="236" t="s">
        <v>492</v>
      </c>
      <c r="F134" s="236" t="s">
        <v>973</v>
      </c>
      <c r="G134" s="237">
        <v>6.0</v>
      </c>
      <c r="H134" s="237">
        <v>7.0</v>
      </c>
      <c r="I134" s="237">
        <v>-1.0</v>
      </c>
      <c r="J134" s="237">
        <v>6.0</v>
      </c>
      <c r="K134" s="237">
        <v>7.0</v>
      </c>
      <c r="L134" s="237">
        <v>-1.0</v>
      </c>
      <c r="M134" s="237">
        <v>16.0</v>
      </c>
      <c r="N134" s="237">
        <v>16.0</v>
      </c>
    </row>
    <row r="135">
      <c r="A135" s="236" t="s">
        <v>693</v>
      </c>
      <c r="B135" s="237">
        <v>787.0</v>
      </c>
      <c r="C135" s="236" t="s">
        <v>693</v>
      </c>
      <c r="D135" s="236" t="s">
        <v>480</v>
      </c>
      <c r="E135" s="236" t="s">
        <v>481</v>
      </c>
      <c r="F135" s="236" t="s">
        <v>980</v>
      </c>
      <c r="G135" s="237">
        <v>8.0</v>
      </c>
      <c r="H135" s="237">
        <v>8.0</v>
      </c>
      <c r="I135" s="237">
        <v>0.0</v>
      </c>
      <c r="J135" s="237">
        <v>8.0</v>
      </c>
      <c r="K135" s="237">
        <v>8.0</v>
      </c>
      <c r="L135" s="237">
        <v>0.0</v>
      </c>
      <c r="M135" s="237">
        <v>15.0</v>
      </c>
      <c r="N135" s="237">
        <v>15.0</v>
      </c>
    </row>
    <row r="136">
      <c r="A136" s="236" t="s">
        <v>619</v>
      </c>
      <c r="B136" s="237">
        <v>5471.0</v>
      </c>
      <c r="C136" s="236" t="s">
        <v>619</v>
      </c>
      <c r="D136" s="236" t="s">
        <v>507</v>
      </c>
      <c r="E136" s="236" t="s">
        <v>512</v>
      </c>
      <c r="F136" s="236" t="s">
        <v>985</v>
      </c>
      <c r="G136" s="237">
        <v>8.0</v>
      </c>
      <c r="H136" s="237">
        <v>9.0</v>
      </c>
      <c r="I136" s="237">
        <v>-1.0</v>
      </c>
      <c r="J136" s="237">
        <v>7.0</v>
      </c>
      <c r="K136" s="237">
        <v>8.0</v>
      </c>
      <c r="L136" s="237">
        <v>-1.0</v>
      </c>
      <c r="M136" s="237">
        <v>14.0</v>
      </c>
      <c r="N136" s="237">
        <v>11.0</v>
      </c>
    </row>
    <row r="137">
      <c r="A137" s="236" t="s">
        <v>1048</v>
      </c>
      <c r="B137" s="237">
        <v>5885.0</v>
      </c>
      <c r="C137" s="236" t="s">
        <v>1048</v>
      </c>
      <c r="D137" s="236" t="s">
        <v>480</v>
      </c>
      <c r="E137" s="236" t="s">
        <v>521</v>
      </c>
      <c r="F137" s="236" t="s">
        <v>1033</v>
      </c>
      <c r="G137" s="237">
        <v>12.0</v>
      </c>
      <c r="H137" s="237">
        <v>11.0</v>
      </c>
      <c r="I137" s="237">
        <v>1.0</v>
      </c>
      <c r="J137" s="237">
        <v>11.0</v>
      </c>
      <c r="K137" s="237">
        <v>10.0</v>
      </c>
      <c r="L137" s="237">
        <v>1.0</v>
      </c>
      <c r="M137" s="237">
        <v>44.0</v>
      </c>
      <c r="N137" s="237">
        <v>44.0</v>
      </c>
    </row>
    <row r="138">
      <c r="A138" s="236" t="s">
        <v>1049</v>
      </c>
      <c r="B138" s="237">
        <v>5851.0</v>
      </c>
      <c r="C138" s="236" t="s">
        <v>1049</v>
      </c>
      <c r="D138" s="236" t="s">
        <v>480</v>
      </c>
      <c r="E138" s="236" t="s">
        <v>931</v>
      </c>
      <c r="F138" s="236" t="s">
        <v>1005</v>
      </c>
      <c r="G138" s="237">
        <v>6.0</v>
      </c>
      <c r="H138" s="237">
        <v>6.0</v>
      </c>
      <c r="I138" s="237">
        <v>0.0</v>
      </c>
      <c r="J138" s="237">
        <v>6.0</v>
      </c>
      <c r="K138" s="237">
        <v>6.0</v>
      </c>
      <c r="L138" s="237">
        <v>0.0</v>
      </c>
      <c r="M138" s="237">
        <v>17.0</v>
      </c>
      <c r="N138" s="237">
        <v>17.0</v>
      </c>
    </row>
    <row r="139">
      <c r="A139" s="236" t="s">
        <v>694</v>
      </c>
      <c r="B139" s="237">
        <v>6895.0</v>
      </c>
      <c r="C139" s="236" t="s">
        <v>694</v>
      </c>
      <c r="D139" s="236" t="s">
        <v>507</v>
      </c>
      <c r="E139" s="236" t="s">
        <v>935</v>
      </c>
      <c r="F139" s="236" t="s">
        <v>1009</v>
      </c>
      <c r="G139" s="237">
        <v>8.0</v>
      </c>
      <c r="H139" s="237">
        <v>9.0</v>
      </c>
      <c r="I139" s="237">
        <v>-1.0</v>
      </c>
      <c r="J139" s="237">
        <v>8.0</v>
      </c>
      <c r="K139" s="237">
        <v>9.0</v>
      </c>
      <c r="L139" s="237">
        <v>-1.0</v>
      </c>
      <c r="M139" s="237">
        <v>17.0</v>
      </c>
      <c r="N139" s="237">
        <v>20.0</v>
      </c>
    </row>
    <row r="140">
      <c r="A140" s="236" t="s">
        <v>882</v>
      </c>
      <c r="B140" s="237">
        <v>6230.0</v>
      </c>
      <c r="C140" s="236" t="s">
        <v>882</v>
      </c>
      <c r="D140" s="236" t="s">
        <v>480</v>
      </c>
      <c r="E140" s="236" t="s">
        <v>481</v>
      </c>
      <c r="F140" s="236" t="s">
        <v>974</v>
      </c>
      <c r="G140" s="237">
        <v>4.0</v>
      </c>
      <c r="H140" s="237">
        <v>4.0</v>
      </c>
      <c r="I140" s="237">
        <v>0.0</v>
      </c>
      <c r="J140" s="237">
        <v>4.0</v>
      </c>
      <c r="K140" s="237">
        <v>4.0</v>
      </c>
      <c r="L140" s="237">
        <v>0.0</v>
      </c>
      <c r="M140" s="237">
        <v>11.0</v>
      </c>
      <c r="N140" s="237">
        <v>11.0</v>
      </c>
    </row>
    <row r="141">
      <c r="A141" s="236" t="s">
        <v>105</v>
      </c>
      <c r="B141" s="237">
        <v>7017.0</v>
      </c>
      <c r="C141" s="236" t="s">
        <v>105</v>
      </c>
      <c r="D141" s="236" t="s">
        <v>507</v>
      </c>
      <c r="E141" s="236" t="s">
        <v>512</v>
      </c>
      <c r="F141" s="236" t="s">
        <v>974</v>
      </c>
      <c r="G141" s="237">
        <v>9.0</v>
      </c>
      <c r="H141" s="237">
        <v>8.0</v>
      </c>
      <c r="I141" s="237">
        <v>1.0</v>
      </c>
      <c r="J141" s="237">
        <v>8.0</v>
      </c>
      <c r="K141" s="237">
        <v>7.0</v>
      </c>
      <c r="L141" s="237">
        <v>1.0</v>
      </c>
      <c r="M141" s="237">
        <v>30.0</v>
      </c>
      <c r="N141" s="237">
        <v>27.0</v>
      </c>
    </row>
    <row r="142">
      <c r="A142" s="236" t="s">
        <v>333</v>
      </c>
      <c r="B142" s="237">
        <v>6675.0</v>
      </c>
      <c r="C142" s="236" t="s">
        <v>333</v>
      </c>
      <c r="D142" s="236" t="s">
        <v>507</v>
      </c>
      <c r="E142" s="236" t="s">
        <v>512</v>
      </c>
      <c r="F142" s="236" t="s">
        <v>988</v>
      </c>
      <c r="G142" s="237">
        <v>20.0</v>
      </c>
      <c r="H142" s="237">
        <v>21.0</v>
      </c>
      <c r="I142" s="237">
        <v>-1.0</v>
      </c>
      <c r="J142" s="237">
        <v>20.0</v>
      </c>
      <c r="K142" s="237">
        <v>21.0</v>
      </c>
      <c r="L142" s="237">
        <v>-1.0</v>
      </c>
      <c r="M142" s="237">
        <v>70.0</v>
      </c>
      <c r="N142" s="237">
        <v>70.0</v>
      </c>
    </row>
    <row r="143">
      <c r="A143" s="236" t="s">
        <v>751</v>
      </c>
      <c r="B143" s="237">
        <v>5513.0</v>
      </c>
      <c r="C143" s="236" t="s">
        <v>751</v>
      </c>
      <c r="D143" s="236" t="s">
        <v>480</v>
      </c>
      <c r="E143" s="236" t="s">
        <v>521</v>
      </c>
      <c r="F143" s="236" t="s">
        <v>973</v>
      </c>
      <c r="G143" s="237">
        <v>21.0</v>
      </c>
      <c r="H143" s="237">
        <v>20.0</v>
      </c>
      <c r="I143" s="237">
        <v>1.0</v>
      </c>
      <c r="J143" s="237">
        <v>20.0</v>
      </c>
      <c r="K143" s="237">
        <v>19.0</v>
      </c>
      <c r="L143" s="237">
        <v>1.0</v>
      </c>
      <c r="M143" s="237">
        <v>107.0</v>
      </c>
      <c r="N143" s="237">
        <v>107.0</v>
      </c>
    </row>
    <row r="144">
      <c r="A144" s="236" t="s">
        <v>297</v>
      </c>
      <c r="B144" s="237">
        <v>309.0</v>
      </c>
      <c r="C144" s="236" t="s">
        <v>297</v>
      </c>
      <c r="D144" s="236" t="s">
        <v>507</v>
      </c>
      <c r="E144" s="236" t="s">
        <v>507</v>
      </c>
      <c r="F144" s="236" t="s">
        <v>988</v>
      </c>
      <c r="G144" s="237">
        <v>26.0</v>
      </c>
      <c r="H144" s="237">
        <v>26.0</v>
      </c>
      <c r="I144" s="237">
        <v>0.0</v>
      </c>
      <c r="J144" s="237">
        <v>27.0</v>
      </c>
      <c r="K144" s="237">
        <v>27.0</v>
      </c>
      <c r="L144" s="237">
        <v>0.0</v>
      </c>
      <c r="M144" s="237">
        <v>218.0</v>
      </c>
      <c r="N144" s="237">
        <v>218.0</v>
      </c>
    </row>
    <row r="145">
      <c r="A145" s="236" t="s">
        <v>1050</v>
      </c>
      <c r="B145" s="237">
        <v>647.0</v>
      </c>
      <c r="C145" s="236" t="s">
        <v>1050</v>
      </c>
      <c r="D145" s="236" t="s">
        <v>507</v>
      </c>
      <c r="E145" s="236" t="s">
        <v>512</v>
      </c>
      <c r="F145" s="236" t="s">
        <v>1033</v>
      </c>
      <c r="G145" s="237">
        <v>14.0</v>
      </c>
      <c r="H145" s="237">
        <v>15.0</v>
      </c>
      <c r="I145" s="237">
        <v>-1.0</v>
      </c>
      <c r="J145" s="237">
        <v>14.0</v>
      </c>
      <c r="K145" s="237">
        <v>15.0</v>
      </c>
      <c r="L145" s="237">
        <v>-1.0</v>
      </c>
      <c r="M145" s="237">
        <v>42.0</v>
      </c>
      <c r="N145" s="237">
        <v>39.0</v>
      </c>
    </row>
    <row r="146">
      <c r="A146" s="236" t="s">
        <v>1051</v>
      </c>
      <c r="B146" s="237">
        <v>5994.0</v>
      </c>
      <c r="C146" s="236" t="s">
        <v>1051</v>
      </c>
      <c r="D146" s="236" t="s">
        <v>480</v>
      </c>
      <c r="E146" s="236" t="s">
        <v>1022</v>
      </c>
      <c r="F146" s="236" t="s">
        <v>983</v>
      </c>
      <c r="G146" s="237">
        <v>4.0</v>
      </c>
      <c r="H146" s="237">
        <v>4.0</v>
      </c>
      <c r="I146" s="237">
        <v>0.0</v>
      </c>
      <c r="J146" s="237">
        <v>5.0</v>
      </c>
      <c r="K146" s="237">
        <v>5.0</v>
      </c>
      <c r="L146" s="237">
        <v>0.0</v>
      </c>
      <c r="M146" s="237">
        <v>11.0</v>
      </c>
      <c r="N146" s="237">
        <v>13.0</v>
      </c>
    </row>
    <row r="147">
      <c r="A147" s="236" t="s">
        <v>1052</v>
      </c>
      <c r="B147" s="237">
        <v>5792.0</v>
      </c>
      <c r="C147" s="236" t="s">
        <v>1052</v>
      </c>
      <c r="D147" s="236" t="s">
        <v>492</v>
      </c>
      <c r="E147" s="236" t="s">
        <v>930</v>
      </c>
      <c r="F147" s="236" t="s">
        <v>980</v>
      </c>
      <c r="G147" s="237">
        <v>14.0</v>
      </c>
      <c r="H147" s="237">
        <v>15.0</v>
      </c>
      <c r="I147" s="237">
        <v>-1.0</v>
      </c>
      <c r="J147" s="237">
        <v>15.0</v>
      </c>
      <c r="K147" s="237">
        <v>16.0</v>
      </c>
      <c r="L147" s="237">
        <v>-1.0</v>
      </c>
      <c r="M147" s="237">
        <v>42.0</v>
      </c>
      <c r="N147" s="237">
        <v>47.0</v>
      </c>
    </row>
    <row r="148">
      <c r="A148" s="236" t="s">
        <v>1053</v>
      </c>
      <c r="B148" s="237">
        <v>6047.0</v>
      </c>
      <c r="C148" s="236" t="s">
        <v>1053</v>
      </c>
      <c r="D148" s="236" t="s">
        <v>480</v>
      </c>
      <c r="E148" s="236" t="s">
        <v>938</v>
      </c>
      <c r="F148" s="236" t="s">
        <v>993</v>
      </c>
      <c r="G148" s="237">
        <v>5.0</v>
      </c>
      <c r="H148" s="237">
        <v>5.0</v>
      </c>
      <c r="I148" s="237">
        <v>0.0</v>
      </c>
      <c r="J148" s="237">
        <v>5.0</v>
      </c>
      <c r="K148" s="237">
        <v>5.0</v>
      </c>
      <c r="L148" s="237">
        <v>0.0</v>
      </c>
      <c r="M148" s="237">
        <v>15.0</v>
      </c>
      <c r="N148" s="237">
        <v>15.0</v>
      </c>
    </row>
    <row r="149">
      <c r="A149" s="236" t="s">
        <v>251</v>
      </c>
      <c r="B149" s="237">
        <v>6822.0</v>
      </c>
      <c r="C149" s="236" t="s">
        <v>251</v>
      </c>
      <c r="D149" s="236" t="s">
        <v>507</v>
      </c>
      <c r="E149" s="236" t="s">
        <v>507</v>
      </c>
      <c r="F149" s="236" t="s">
        <v>1026</v>
      </c>
      <c r="G149" s="237">
        <v>1.0</v>
      </c>
      <c r="H149" s="237">
        <v>1.0</v>
      </c>
      <c r="I149" s="237">
        <v>0.0</v>
      </c>
      <c r="J149" s="237">
        <v>1.0</v>
      </c>
      <c r="K149" s="237">
        <v>1.0</v>
      </c>
      <c r="L149" s="237">
        <v>0.0</v>
      </c>
      <c r="M149" s="237">
        <v>3.0</v>
      </c>
      <c r="N149" s="237">
        <v>3.0</v>
      </c>
    </row>
    <row r="150">
      <c r="A150" s="236" t="s">
        <v>749</v>
      </c>
      <c r="B150" s="237">
        <v>6684.0</v>
      </c>
      <c r="C150" s="236" t="s">
        <v>749</v>
      </c>
      <c r="D150" s="236" t="s">
        <v>492</v>
      </c>
      <c r="E150" s="236" t="s">
        <v>934</v>
      </c>
      <c r="F150" s="236" t="s">
        <v>993</v>
      </c>
      <c r="G150" s="237">
        <v>10.0</v>
      </c>
      <c r="H150" s="237">
        <v>10.0</v>
      </c>
      <c r="I150" s="237">
        <v>0.0</v>
      </c>
      <c r="J150" s="237">
        <v>10.0</v>
      </c>
      <c r="K150" s="237">
        <v>10.0</v>
      </c>
      <c r="L150" s="237">
        <v>0.0</v>
      </c>
      <c r="M150" s="237">
        <v>21.0</v>
      </c>
      <c r="N150" s="237">
        <v>21.0</v>
      </c>
    </row>
    <row r="151">
      <c r="A151" s="236" t="s">
        <v>1054</v>
      </c>
      <c r="B151" s="237">
        <v>5506.0</v>
      </c>
      <c r="C151" s="236" t="s">
        <v>1054</v>
      </c>
      <c r="D151" s="236" t="s">
        <v>507</v>
      </c>
      <c r="E151" s="236" t="s">
        <v>507</v>
      </c>
      <c r="F151" s="236" t="s">
        <v>1026</v>
      </c>
      <c r="G151" s="237">
        <v>2.0</v>
      </c>
      <c r="H151" s="237">
        <v>2.0</v>
      </c>
      <c r="I151" s="237">
        <v>0.0</v>
      </c>
      <c r="J151" s="237">
        <v>2.0</v>
      </c>
      <c r="K151" s="237">
        <v>2.0</v>
      </c>
      <c r="L151" s="237">
        <v>0.0</v>
      </c>
      <c r="M151" s="237">
        <v>5.0</v>
      </c>
      <c r="N151" s="237">
        <v>5.0</v>
      </c>
    </row>
    <row r="152">
      <c r="A152" s="236" t="s">
        <v>1055</v>
      </c>
      <c r="B152" s="237">
        <v>6271.0</v>
      </c>
      <c r="C152" s="236" t="s">
        <v>1055</v>
      </c>
      <c r="D152" s="236" t="s">
        <v>492</v>
      </c>
      <c r="E152" s="236" t="s">
        <v>930</v>
      </c>
      <c r="F152" s="236" t="s">
        <v>988</v>
      </c>
      <c r="G152" s="237">
        <v>9.0</v>
      </c>
      <c r="H152" s="237">
        <v>9.0</v>
      </c>
      <c r="I152" s="237">
        <v>0.0</v>
      </c>
      <c r="J152" s="237">
        <v>9.0</v>
      </c>
      <c r="K152" s="237">
        <v>9.0</v>
      </c>
      <c r="L152" s="237">
        <v>0.0</v>
      </c>
      <c r="M152" s="237">
        <v>22.0</v>
      </c>
      <c r="N152" s="237">
        <v>27.0</v>
      </c>
    </row>
    <row r="153">
      <c r="A153" s="236" t="s">
        <v>778</v>
      </c>
      <c r="B153" s="237">
        <v>795.0</v>
      </c>
      <c r="C153" s="236" t="s">
        <v>778</v>
      </c>
      <c r="D153" s="236" t="s">
        <v>492</v>
      </c>
      <c r="E153" s="236" t="s">
        <v>563</v>
      </c>
      <c r="F153" s="236" t="s">
        <v>988</v>
      </c>
      <c r="G153" s="237">
        <v>8.0</v>
      </c>
      <c r="H153" s="237">
        <v>8.0</v>
      </c>
      <c r="I153" s="237">
        <v>0.0</v>
      </c>
      <c r="J153" s="237">
        <v>7.0</v>
      </c>
      <c r="K153" s="237">
        <v>7.0</v>
      </c>
      <c r="L153" s="237">
        <v>0.0</v>
      </c>
      <c r="M153" s="237">
        <v>19.0</v>
      </c>
      <c r="N153" s="237">
        <v>17.0</v>
      </c>
    </row>
    <row r="154">
      <c r="A154" s="236" t="s">
        <v>901</v>
      </c>
      <c r="B154" s="237">
        <v>6020.0</v>
      </c>
      <c r="C154" s="236" t="s">
        <v>901</v>
      </c>
      <c r="D154" s="236" t="s">
        <v>492</v>
      </c>
      <c r="E154" s="236" t="s">
        <v>1056</v>
      </c>
      <c r="F154" s="236" t="s">
        <v>1026</v>
      </c>
      <c r="G154" s="237">
        <v>6.0</v>
      </c>
      <c r="H154" s="237">
        <v>5.0</v>
      </c>
      <c r="I154" s="237">
        <v>1.0</v>
      </c>
      <c r="J154" s="237">
        <v>6.0</v>
      </c>
      <c r="K154" s="237">
        <v>5.0</v>
      </c>
      <c r="L154" s="237">
        <v>1.0</v>
      </c>
      <c r="M154" s="237">
        <v>13.0</v>
      </c>
      <c r="N154" s="237">
        <v>13.0</v>
      </c>
    </row>
    <row r="155">
      <c r="A155" s="236" t="s">
        <v>253</v>
      </c>
      <c r="B155" s="237">
        <v>4479.0</v>
      </c>
      <c r="C155" s="236" t="s">
        <v>253</v>
      </c>
      <c r="D155" s="236" t="s">
        <v>492</v>
      </c>
      <c r="E155" s="236" t="s">
        <v>1057</v>
      </c>
      <c r="F155" s="236" t="s">
        <v>987</v>
      </c>
      <c r="G155" s="237">
        <v>11.0</v>
      </c>
      <c r="H155" s="237">
        <v>11.0</v>
      </c>
      <c r="I155" s="237">
        <v>0.0</v>
      </c>
      <c r="J155" s="237">
        <v>11.0</v>
      </c>
      <c r="K155" s="237">
        <v>11.0</v>
      </c>
      <c r="L155" s="237">
        <v>0.0</v>
      </c>
      <c r="M155" s="237">
        <v>25.0</v>
      </c>
      <c r="N155" s="237">
        <v>25.0</v>
      </c>
    </row>
    <row r="156">
      <c r="A156" s="236" t="s">
        <v>1058</v>
      </c>
      <c r="B156" s="237">
        <v>7071.0</v>
      </c>
      <c r="C156" s="236" t="s">
        <v>1058</v>
      </c>
      <c r="D156" s="236" t="s">
        <v>507</v>
      </c>
      <c r="E156" s="236" t="s">
        <v>512</v>
      </c>
      <c r="F156" s="236" t="s">
        <v>973</v>
      </c>
      <c r="G156" s="237">
        <v>7.0</v>
      </c>
      <c r="H156" s="237">
        <v>7.0</v>
      </c>
      <c r="I156" s="237">
        <v>0.0</v>
      </c>
      <c r="J156" s="237">
        <v>7.0</v>
      </c>
      <c r="K156" s="237">
        <v>7.0</v>
      </c>
      <c r="L156" s="237">
        <v>0.0</v>
      </c>
      <c r="M156" s="237">
        <v>16.0</v>
      </c>
      <c r="N156" s="237">
        <v>13.0</v>
      </c>
    </row>
    <row r="157">
      <c r="A157" s="236" t="s">
        <v>835</v>
      </c>
      <c r="B157" s="237">
        <v>4463.0</v>
      </c>
      <c r="C157" s="236" t="s">
        <v>835</v>
      </c>
      <c r="D157" s="236" t="s">
        <v>507</v>
      </c>
      <c r="E157" s="236" t="s">
        <v>507</v>
      </c>
      <c r="F157" s="236" t="s">
        <v>975</v>
      </c>
      <c r="G157" s="237">
        <v>7.0</v>
      </c>
      <c r="H157" s="237">
        <v>7.0</v>
      </c>
      <c r="I157" s="237">
        <v>0.0</v>
      </c>
      <c r="J157" s="237">
        <v>7.0</v>
      </c>
      <c r="K157" s="237">
        <v>7.0</v>
      </c>
      <c r="L157" s="237">
        <v>0.0</v>
      </c>
      <c r="M157" s="237">
        <v>66.0</v>
      </c>
      <c r="N157" s="237">
        <v>66.0</v>
      </c>
    </row>
    <row r="158">
      <c r="A158" s="236" t="s">
        <v>1059</v>
      </c>
      <c r="B158" s="237">
        <v>7142.0</v>
      </c>
      <c r="C158" s="236" t="s">
        <v>1059</v>
      </c>
      <c r="D158" s="236" t="s">
        <v>480</v>
      </c>
      <c r="E158" s="236" t="s">
        <v>938</v>
      </c>
      <c r="F158" s="236" t="s">
        <v>977</v>
      </c>
      <c r="G158" s="237">
        <v>1.0</v>
      </c>
      <c r="H158" s="237">
        <v>1.0</v>
      </c>
      <c r="I158" s="237">
        <v>0.0</v>
      </c>
      <c r="J158" s="237">
        <v>1.0</v>
      </c>
      <c r="K158" s="237">
        <v>1.0</v>
      </c>
      <c r="L158" s="237">
        <v>0.0</v>
      </c>
      <c r="M158" s="237">
        <v>2.0</v>
      </c>
      <c r="N158" s="237">
        <v>2.0</v>
      </c>
    </row>
    <row r="159">
      <c r="A159" s="236" t="s">
        <v>692</v>
      </c>
      <c r="B159" s="237">
        <v>5290.0</v>
      </c>
      <c r="C159" s="236" t="s">
        <v>692</v>
      </c>
      <c r="D159" s="236" t="s">
        <v>492</v>
      </c>
      <c r="E159" s="236" t="s">
        <v>930</v>
      </c>
      <c r="F159" s="236" t="s">
        <v>985</v>
      </c>
      <c r="G159" s="237">
        <v>2.0</v>
      </c>
      <c r="H159" s="237">
        <v>2.0</v>
      </c>
      <c r="I159" s="237">
        <v>0.0</v>
      </c>
      <c r="J159" s="237">
        <v>2.0</v>
      </c>
      <c r="K159" s="237">
        <v>2.0</v>
      </c>
      <c r="L159" s="237">
        <v>0.0</v>
      </c>
      <c r="M159" s="237">
        <v>3.0</v>
      </c>
      <c r="N159" s="237">
        <v>3.0</v>
      </c>
    </row>
    <row r="160">
      <c r="A160" s="236" t="s">
        <v>1060</v>
      </c>
      <c r="B160" s="237">
        <v>5273.0</v>
      </c>
      <c r="C160" s="236" t="s">
        <v>1060</v>
      </c>
      <c r="D160" s="236" t="s">
        <v>480</v>
      </c>
      <c r="E160" s="236" t="s">
        <v>931</v>
      </c>
      <c r="F160" s="236" t="s">
        <v>991</v>
      </c>
      <c r="G160" s="237">
        <v>12.0</v>
      </c>
      <c r="H160" s="237">
        <v>11.0</v>
      </c>
      <c r="I160" s="237">
        <v>1.0</v>
      </c>
      <c r="J160" s="237">
        <v>12.0</v>
      </c>
      <c r="K160" s="237">
        <v>11.0</v>
      </c>
      <c r="L160" s="237">
        <v>1.0</v>
      </c>
      <c r="M160" s="237">
        <v>39.0</v>
      </c>
      <c r="N160" s="237">
        <v>39.0</v>
      </c>
    </row>
    <row r="161">
      <c r="A161" s="236" t="s">
        <v>786</v>
      </c>
      <c r="B161" s="237">
        <v>6206.0</v>
      </c>
      <c r="C161" s="236" t="s">
        <v>786</v>
      </c>
      <c r="D161" s="236" t="s">
        <v>492</v>
      </c>
      <c r="E161" s="236" t="s">
        <v>934</v>
      </c>
      <c r="F161" s="236" t="s">
        <v>1009</v>
      </c>
      <c r="G161" s="237">
        <v>10.0</v>
      </c>
      <c r="H161" s="237">
        <v>10.0</v>
      </c>
      <c r="I161" s="237">
        <v>0.0</v>
      </c>
      <c r="J161" s="237">
        <v>10.0</v>
      </c>
      <c r="K161" s="237">
        <v>10.0</v>
      </c>
      <c r="L161" s="237">
        <v>0.0</v>
      </c>
      <c r="M161" s="237">
        <v>17.0</v>
      </c>
      <c r="N161" s="237">
        <v>17.0</v>
      </c>
    </row>
    <row r="162">
      <c r="A162" s="236" t="s">
        <v>904</v>
      </c>
      <c r="B162" s="237">
        <v>6815.0</v>
      </c>
      <c r="C162" s="236" t="s">
        <v>904</v>
      </c>
      <c r="D162" s="236" t="s">
        <v>492</v>
      </c>
      <c r="E162" s="236" t="s">
        <v>563</v>
      </c>
      <c r="F162" s="236" t="s">
        <v>1005</v>
      </c>
      <c r="G162" s="237">
        <v>6.0</v>
      </c>
      <c r="H162" s="237">
        <v>6.0</v>
      </c>
      <c r="I162" s="237">
        <v>0.0</v>
      </c>
      <c r="J162" s="237">
        <v>5.0</v>
      </c>
      <c r="K162" s="237">
        <v>5.0</v>
      </c>
      <c r="L162" s="237">
        <v>0.0</v>
      </c>
      <c r="M162" s="237">
        <v>13.0</v>
      </c>
      <c r="N162" s="237">
        <v>10.0</v>
      </c>
    </row>
    <row r="163">
      <c r="A163" s="236" t="s">
        <v>779</v>
      </c>
      <c r="B163" s="237">
        <v>4465.0</v>
      </c>
      <c r="C163" s="236" t="s">
        <v>779</v>
      </c>
      <c r="D163" s="236" t="s">
        <v>492</v>
      </c>
      <c r="E163" s="236" t="s">
        <v>492</v>
      </c>
      <c r="F163" s="236" t="s">
        <v>1033</v>
      </c>
      <c r="G163" s="237">
        <v>8.0</v>
      </c>
      <c r="H163" s="237">
        <v>8.0</v>
      </c>
      <c r="I163" s="237">
        <v>0.0</v>
      </c>
      <c r="J163" s="237">
        <v>8.0</v>
      </c>
      <c r="K163" s="237">
        <v>8.0</v>
      </c>
      <c r="L163" s="237">
        <v>0.0</v>
      </c>
      <c r="M163" s="237">
        <v>21.0</v>
      </c>
      <c r="N163" s="237">
        <v>21.0</v>
      </c>
    </row>
    <row r="164">
      <c r="A164" s="236" t="s">
        <v>204</v>
      </c>
      <c r="B164" s="237">
        <v>2134.0</v>
      </c>
      <c r="C164" s="236" t="s">
        <v>204</v>
      </c>
      <c r="D164" s="236" t="s">
        <v>477</v>
      </c>
      <c r="E164" s="236" t="s">
        <v>478</v>
      </c>
      <c r="F164" s="236" t="s">
        <v>998</v>
      </c>
      <c r="G164" s="237">
        <v>7.0</v>
      </c>
      <c r="H164" s="237">
        <v>6.0</v>
      </c>
      <c r="I164" s="237">
        <v>1.0</v>
      </c>
      <c r="J164" s="237">
        <v>7.0</v>
      </c>
      <c r="K164" s="237">
        <v>6.0</v>
      </c>
      <c r="L164" s="237">
        <v>1.0</v>
      </c>
      <c r="M164" s="237">
        <v>18.0</v>
      </c>
      <c r="N164" s="237">
        <v>18.0</v>
      </c>
    </row>
    <row r="165">
      <c r="A165" s="236" t="s">
        <v>1061</v>
      </c>
      <c r="B165" s="237">
        <v>6870.0</v>
      </c>
      <c r="C165" s="236" t="s">
        <v>1061</v>
      </c>
      <c r="D165" s="236" t="s">
        <v>480</v>
      </c>
      <c r="E165" s="236" t="s">
        <v>481</v>
      </c>
      <c r="F165" s="236" t="s">
        <v>995</v>
      </c>
      <c r="G165" s="237">
        <v>4.0</v>
      </c>
      <c r="H165" s="237">
        <v>4.0</v>
      </c>
      <c r="I165" s="237">
        <v>0.0</v>
      </c>
      <c r="J165" s="237">
        <v>4.0</v>
      </c>
      <c r="K165" s="237">
        <v>4.0</v>
      </c>
      <c r="L165" s="237">
        <v>0.0</v>
      </c>
      <c r="M165" s="237">
        <v>9.0</v>
      </c>
      <c r="N165" s="237">
        <v>9.0</v>
      </c>
    </row>
    <row r="166">
      <c r="A166" s="236" t="s">
        <v>285</v>
      </c>
      <c r="B166" s="237">
        <v>6010.0</v>
      </c>
      <c r="C166" s="236" t="s">
        <v>285</v>
      </c>
      <c r="D166" s="236" t="s">
        <v>492</v>
      </c>
      <c r="E166" s="236" t="s">
        <v>934</v>
      </c>
      <c r="F166" s="236" t="s">
        <v>1033</v>
      </c>
      <c r="G166" s="237">
        <v>11.0</v>
      </c>
      <c r="H166" s="237">
        <v>11.0</v>
      </c>
      <c r="I166" s="237">
        <v>0.0</v>
      </c>
      <c r="J166" s="237">
        <v>11.0</v>
      </c>
      <c r="K166" s="237">
        <v>11.0</v>
      </c>
      <c r="L166" s="237">
        <v>0.0</v>
      </c>
      <c r="M166" s="237">
        <v>22.0</v>
      </c>
      <c r="N166" s="237">
        <v>22.0</v>
      </c>
    </row>
    <row r="167">
      <c r="A167" s="236" t="s">
        <v>762</v>
      </c>
      <c r="B167" s="237">
        <v>6640.0</v>
      </c>
      <c r="C167" s="236" t="s">
        <v>762</v>
      </c>
      <c r="D167" s="236" t="s">
        <v>492</v>
      </c>
      <c r="E167" s="236" t="s">
        <v>563</v>
      </c>
      <c r="F167" s="236" t="s">
        <v>975</v>
      </c>
      <c r="G167" s="237">
        <v>6.0</v>
      </c>
      <c r="H167" s="237">
        <v>6.0</v>
      </c>
      <c r="I167" s="237">
        <v>0.0</v>
      </c>
      <c r="J167" s="237">
        <v>4.0</v>
      </c>
      <c r="K167" s="237">
        <v>5.0</v>
      </c>
      <c r="L167" s="237">
        <v>-1.0</v>
      </c>
      <c r="M167" s="237">
        <v>8.0</v>
      </c>
      <c r="N167" s="237">
        <v>8.0</v>
      </c>
    </row>
    <row r="168">
      <c r="A168" s="236" t="s">
        <v>757</v>
      </c>
      <c r="B168" s="237">
        <v>5858.0</v>
      </c>
      <c r="C168" s="236" t="s">
        <v>757</v>
      </c>
      <c r="D168" s="236" t="s">
        <v>492</v>
      </c>
      <c r="E168" s="236" t="s">
        <v>934</v>
      </c>
      <c r="F168" s="236" t="s">
        <v>1009</v>
      </c>
      <c r="G168" s="237">
        <v>10.0</v>
      </c>
      <c r="H168" s="237">
        <v>11.0</v>
      </c>
      <c r="I168" s="237">
        <v>-1.0</v>
      </c>
      <c r="J168" s="237">
        <v>10.0</v>
      </c>
      <c r="K168" s="237">
        <v>11.0</v>
      </c>
      <c r="L168" s="237">
        <v>-1.0</v>
      </c>
      <c r="M168" s="237">
        <v>23.0</v>
      </c>
      <c r="N168" s="237">
        <v>23.0</v>
      </c>
    </row>
    <row r="169">
      <c r="A169" s="236" t="s">
        <v>1062</v>
      </c>
      <c r="B169" s="237">
        <v>6365.0</v>
      </c>
      <c r="C169" s="236" t="s">
        <v>1062</v>
      </c>
      <c r="D169" s="236" t="s">
        <v>507</v>
      </c>
      <c r="E169" s="236" t="s">
        <v>512</v>
      </c>
      <c r="F169" s="236" t="s">
        <v>988</v>
      </c>
      <c r="G169" s="237">
        <v>19.0</v>
      </c>
      <c r="H169" s="237">
        <v>19.0</v>
      </c>
      <c r="I169" s="237">
        <v>0.0</v>
      </c>
      <c r="J169" s="237">
        <v>19.0</v>
      </c>
      <c r="K169" s="237">
        <v>19.0</v>
      </c>
      <c r="L169" s="237">
        <v>0.0</v>
      </c>
      <c r="M169" s="237">
        <v>162.0</v>
      </c>
      <c r="N169" s="237">
        <v>162.0</v>
      </c>
    </row>
    <row r="170">
      <c r="A170" s="236" t="s">
        <v>1063</v>
      </c>
      <c r="B170" s="237">
        <v>7131.0</v>
      </c>
      <c r="C170" s="236" t="s">
        <v>1063</v>
      </c>
      <c r="D170" s="236" t="s">
        <v>480</v>
      </c>
      <c r="E170" s="236" t="s">
        <v>938</v>
      </c>
      <c r="F170" s="236" t="s">
        <v>995</v>
      </c>
      <c r="G170" s="237">
        <v>5.0</v>
      </c>
      <c r="H170" s="237">
        <v>5.0</v>
      </c>
      <c r="I170" s="237">
        <v>0.0</v>
      </c>
      <c r="J170" s="237">
        <v>5.0</v>
      </c>
      <c r="K170" s="237">
        <v>5.0</v>
      </c>
      <c r="L170" s="237">
        <v>0.0</v>
      </c>
      <c r="M170" s="237">
        <v>9.0</v>
      </c>
      <c r="N170" s="237">
        <v>9.0</v>
      </c>
    </row>
    <row r="171">
      <c r="A171" s="236" t="s">
        <v>750</v>
      </c>
      <c r="B171" s="237">
        <v>4686.0</v>
      </c>
      <c r="C171" s="236" t="s">
        <v>750</v>
      </c>
      <c r="D171" s="236" t="s">
        <v>492</v>
      </c>
      <c r="E171" s="236" t="s">
        <v>930</v>
      </c>
      <c r="F171" s="236" t="s">
        <v>991</v>
      </c>
      <c r="G171" s="237">
        <v>11.0</v>
      </c>
      <c r="H171" s="237">
        <v>11.0</v>
      </c>
      <c r="I171" s="237">
        <v>0.0</v>
      </c>
      <c r="J171" s="237">
        <v>12.0</v>
      </c>
      <c r="K171" s="237">
        <v>12.0</v>
      </c>
      <c r="L171" s="237">
        <v>0.0</v>
      </c>
      <c r="M171" s="237">
        <v>31.0</v>
      </c>
      <c r="N171" s="237">
        <v>36.0</v>
      </c>
    </row>
    <row r="172">
      <c r="A172" s="236" t="s">
        <v>1064</v>
      </c>
      <c r="B172" s="237">
        <v>7130.0</v>
      </c>
      <c r="C172" s="236" t="s">
        <v>1064</v>
      </c>
      <c r="D172" s="236" t="s">
        <v>480</v>
      </c>
      <c r="E172" s="236" t="s">
        <v>481</v>
      </c>
      <c r="F172" s="236" t="s">
        <v>995</v>
      </c>
      <c r="G172" s="237">
        <v>4.0</v>
      </c>
      <c r="H172" s="237">
        <v>4.0</v>
      </c>
      <c r="I172" s="237">
        <v>0.0</v>
      </c>
      <c r="J172" s="237">
        <v>4.0</v>
      </c>
      <c r="K172" s="237">
        <v>4.0</v>
      </c>
      <c r="L172" s="237">
        <v>0.0</v>
      </c>
      <c r="M172" s="237">
        <v>9.0</v>
      </c>
      <c r="N172" s="237">
        <v>9.0</v>
      </c>
    </row>
    <row r="173">
      <c r="A173" s="236" t="s">
        <v>366</v>
      </c>
      <c r="B173" s="237">
        <v>6252.0</v>
      </c>
      <c r="C173" s="236" t="s">
        <v>366</v>
      </c>
      <c r="D173" s="236" t="s">
        <v>492</v>
      </c>
      <c r="E173" s="236" t="s">
        <v>934</v>
      </c>
      <c r="F173" s="236" t="s">
        <v>975</v>
      </c>
      <c r="G173" s="237">
        <v>9.0</v>
      </c>
      <c r="H173" s="237">
        <v>9.0</v>
      </c>
      <c r="I173" s="237">
        <v>0.0</v>
      </c>
      <c r="J173" s="237">
        <v>9.0</v>
      </c>
      <c r="K173" s="237">
        <v>9.0</v>
      </c>
      <c r="L173" s="237">
        <v>0.0</v>
      </c>
      <c r="M173" s="237">
        <v>27.0</v>
      </c>
      <c r="N173" s="237">
        <v>27.0</v>
      </c>
    </row>
    <row r="174">
      <c r="A174" s="236" t="s">
        <v>420</v>
      </c>
      <c r="B174" s="237">
        <v>7069.0</v>
      </c>
      <c r="C174" s="236" t="s">
        <v>420</v>
      </c>
      <c r="D174" s="236" t="s">
        <v>480</v>
      </c>
      <c r="E174" s="236" t="s">
        <v>521</v>
      </c>
      <c r="F174" s="236" t="s">
        <v>1033</v>
      </c>
      <c r="G174" s="237">
        <v>3.0</v>
      </c>
      <c r="H174" s="237">
        <v>3.0</v>
      </c>
      <c r="I174" s="237">
        <v>0.0</v>
      </c>
      <c r="J174" s="237">
        <v>3.0</v>
      </c>
      <c r="K174" s="237">
        <v>3.0</v>
      </c>
      <c r="L174" s="237">
        <v>0.0</v>
      </c>
      <c r="M174" s="237">
        <v>5.0</v>
      </c>
      <c r="N174" s="237">
        <v>4.0</v>
      </c>
    </row>
    <row r="175">
      <c r="A175" s="236" t="s">
        <v>256</v>
      </c>
      <c r="B175" s="237">
        <v>2848.0</v>
      </c>
      <c r="C175" s="236" t="s">
        <v>256</v>
      </c>
      <c r="D175" s="236" t="s">
        <v>492</v>
      </c>
      <c r="E175" s="236" t="s">
        <v>934</v>
      </c>
      <c r="F175" s="236" t="s">
        <v>973</v>
      </c>
      <c r="G175" s="237">
        <v>13.0</v>
      </c>
      <c r="H175" s="237">
        <v>14.0</v>
      </c>
      <c r="I175" s="237">
        <v>-1.0</v>
      </c>
      <c r="J175" s="237">
        <v>13.0</v>
      </c>
      <c r="K175" s="237">
        <v>14.0</v>
      </c>
      <c r="L175" s="237">
        <v>-1.0</v>
      </c>
      <c r="M175" s="237">
        <v>37.0</v>
      </c>
      <c r="N175" s="237">
        <v>37.0</v>
      </c>
    </row>
    <row r="176">
      <c r="A176" s="236" t="s">
        <v>691</v>
      </c>
      <c r="B176" s="237">
        <v>5791.0</v>
      </c>
      <c r="C176" s="236" t="s">
        <v>691</v>
      </c>
      <c r="D176" s="236" t="s">
        <v>492</v>
      </c>
      <c r="E176" s="236" t="s">
        <v>930</v>
      </c>
      <c r="F176" s="236" t="s">
        <v>1026</v>
      </c>
      <c r="G176" s="237">
        <v>9.0</v>
      </c>
      <c r="H176" s="237">
        <v>9.0</v>
      </c>
      <c r="I176" s="237">
        <v>0.0</v>
      </c>
      <c r="J176" s="237">
        <v>10.0</v>
      </c>
      <c r="K176" s="237">
        <v>10.0</v>
      </c>
      <c r="L176" s="237">
        <v>0.0</v>
      </c>
      <c r="M176" s="237">
        <v>21.0</v>
      </c>
      <c r="N176" s="237">
        <v>24.0</v>
      </c>
    </row>
    <row r="177">
      <c r="A177" s="236" t="s">
        <v>812</v>
      </c>
      <c r="B177" s="237">
        <v>6639.0</v>
      </c>
      <c r="C177" s="236" t="s">
        <v>812</v>
      </c>
      <c r="D177" s="236" t="s">
        <v>480</v>
      </c>
      <c r="E177" s="236" t="s">
        <v>931</v>
      </c>
      <c r="F177" s="236" t="s">
        <v>983</v>
      </c>
      <c r="G177" s="237">
        <v>3.0</v>
      </c>
      <c r="H177" s="237">
        <v>3.0</v>
      </c>
      <c r="I177" s="237">
        <v>0.0</v>
      </c>
      <c r="J177" s="237">
        <v>3.0</v>
      </c>
      <c r="K177" s="237">
        <v>3.0</v>
      </c>
      <c r="L177" s="237">
        <v>0.0</v>
      </c>
      <c r="M177" s="237">
        <v>9.0</v>
      </c>
      <c r="N177" s="237">
        <v>9.0</v>
      </c>
    </row>
    <row r="178">
      <c r="A178" s="236" t="s">
        <v>821</v>
      </c>
      <c r="B178" s="237">
        <v>788.0</v>
      </c>
      <c r="C178" s="236" t="s">
        <v>821</v>
      </c>
      <c r="D178" s="236" t="s">
        <v>492</v>
      </c>
      <c r="E178" s="236" t="s">
        <v>930</v>
      </c>
      <c r="F178" s="236" t="s">
        <v>1009</v>
      </c>
      <c r="G178" s="237">
        <v>11.0</v>
      </c>
      <c r="H178" s="237">
        <v>11.0</v>
      </c>
      <c r="I178" s="237">
        <v>0.0</v>
      </c>
      <c r="J178" s="237">
        <v>12.0</v>
      </c>
      <c r="K178" s="237">
        <v>12.0</v>
      </c>
      <c r="L178" s="237">
        <v>0.0</v>
      </c>
      <c r="M178" s="237">
        <v>23.0</v>
      </c>
      <c r="N178" s="237">
        <v>28.0</v>
      </c>
    </row>
    <row r="179">
      <c r="A179" s="236" t="s">
        <v>1065</v>
      </c>
      <c r="B179" s="237">
        <v>7213.0</v>
      </c>
      <c r="C179" s="236" t="s">
        <v>1065</v>
      </c>
      <c r="D179" s="236" t="s">
        <v>507</v>
      </c>
      <c r="E179" s="236" t="s">
        <v>512</v>
      </c>
      <c r="F179" s="236" t="s">
        <v>985</v>
      </c>
      <c r="G179" s="237">
        <v>6.0</v>
      </c>
      <c r="H179" s="237">
        <v>7.0</v>
      </c>
      <c r="I179" s="237">
        <v>-1.0</v>
      </c>
      <c r="J179" s="237">
        <v>6.0</v>
      </c>
      <c r="K179" s="237">
        <v>6.0</v>
      </c>
      <c r="L179" s="237">
        <v>0.0</v>
      </c>
      <c r="M179" s="237">
        <v>7.0</v>
      </c>
      <c r="N179" s="237">
        <v>7.0</v>
      </c>
    </row>
    <row r="180">
      <c r="A180" s="236" t="s">
        <v>1066</v>
      </c>
      <c r="B180" s="237">
        <v>2401.0</v>
      </c>
      <c r="C180" s="236" t="s">
        <v>1066</v>
      </c>
      <c r="D180" s="236" t="s">
        <v>477</v>
      </c>
      <c r="E180" s="236" t="s">
        <v>478</v>
      </c>
      <c r="F180" s="236" t="s">
        <v>998</v>
      </c>
      <c r="G180" s="237">
        <v>1.0</v>
      </c>
      <c r="H180" s="237">
        <v>1.0</v>
      </c>
      <c r="I180" s="237">
        <v>0.0</v>
      </c>
      <c r="J180" s="237">
        <v>1.0</v>
      </c>
      <c r="K180" s="237">
        <v>1.0</v>
      </c>
      <c r="L180" s="237">
        <v>0.0</v>
      </c>
      <c r="M180" s="237">
        <v>1.0</v>
      </c>
      <c r="N180" s="237">
        <v>1.0</v>
      </c>
    </row>
    <row r="181">
      <c r="A181" s="236" t="s">
        <v>355</v>
      </c>
      <c r="B181" s="237">
        <v>6417.0</v>
      </c>
      <c r="C181" s="236" t="s">
        <v>355</v>
      </c>
      <c r="D181" s="236" t="s">
        <v>477</v>
      </c>
      <c r="E181" s="236" t="s">
        <v>478</v>
      </c>
      <c r="F181" s="236" t="s">
        <v>1000</v>
      </c>
      <c r="G181" s="237">
        <v>1.0</v>
      </c>
      <c r="H181" s="237">
        <v>1.0</v>
      </c>
      <c r="I181" s="237">
        <v>0.0</v>
      </c>
      <c r="J181" s="237">
        <v>1.0</v>
      </c>
      <c r="K181" s="237">
        <v>1.0</v>
      </c>
      <c r="L181" s="237">
        <v>0.0</v>
      </c>
      <c r="M181" s="237">
        <v>1.0</v>
      </c>
      <c r="N181" s="237">
        <v>1.0</v>
      </c>
    </row>
    <row r="182">
      <c r="A182" s="236" t="s">
        <v>761</v>
      </c>
      <c r="B182" s="237">
        <v>4401.0</v>
      </c>
      <c r="C182" s="236" t="s">
        <v>761</v>
      </c>
      <c r="D182" s="236" t="s">
        <v>480</v>
      </c>
      <c r="E182" s="236" t="s">
        <v>481</v>
      </c>
      <c r="F182" s="236" t="s">
        <v>991</v>
      </c>
      <c r="G182" s="237">
        <v>7.0</v>
      </c>
      <c r="H182" s="237">
        <v>6.0</v>
      </c>
      <c r="I182" s="237">
        <v>1.0</v>
      </c>
      <c r="J182" s="237">
        <v>7.0</v>
      </c>
      <c r="K182" s="237">
        <v>6.0</v>
      </c>
      <c r="L182" s="237">
        <v>1.0</v>
      </c>
      <c r="M182" s="237">
        <v>16.0</v>
      </c>
      <c r="N182" s="237">
        <v>16.0</v>
      </c>
    </row>
    <row r="183">
      <c r="A183" s="236" t="s">
        <v>863</v>
      </c>
      <c r="B183" s="237">
        <v>4364.0</v>
      </c>
      <c r="C183" s="236" t="s">
        <v>863</v>
      </c>
      <c r="D183" s="236" t="s">
        <v>492</v>
      </c>
      <c r="E183" s="236" t="s">
        <v>543</v>
      </c>
      <c r="F183" s="236" t="s">
        <v>975</v>
      </c>
      <c r="G183" s="237">
        <v>8.0</v>
      </c>
      <c r="H183" s="237">
        <v>8.0</v>
      </c>
      <c r="I183" s="237">
        <v>0.0</v>
      </c>
      <c r="J183" s="237">
        <v>8.0</v>
      </c>
      <c r="K183" s="237">
        <v>7.0</v>
      </c>
      <c r="L183" s="237">
        <v>1.0</v>
      </c>
      <c r="M183" s="237">
        <v>17.0</v>
      </c>
      <c r="N183" s="237">
        <v>14.0</v>
      </c>
    </row>
    <row r="184">
      <c r="A184" s="236" t="s">
        <v>892</v>
      </c>
      <c r="B184" s="237">
        <v>4502.0</v>
      </c>
      <c r="C184" s="236" t="s">
        <v>892</v>
      </c>
      <c r="D184" s="236" t="s">
        <v>480</v>
      </c>
      <c r="E184" s="236" t="s">
        <v>931</v>
      </c>
      <c r="F184" s="236" t="s">
        <v>998</v>
      </c>
      <c r="G184" s="237">
        <v>6.0</v>
      </c>
      <c r="H184" s="237">
        <v>5.0</v>
      </c>
      <c r="I184" s="237">
        <v>1.0</v>
      </c>
      <c r="J184" s="237">
        <v>6.0</v>
      </c>
      <c r="K184" s="237">
        <v>5.0</v>
      </c>
      <c r="L184" s="237">
        <v>1.0</v>
      </c>
      <c r="M184" s="237">
        <v>15.0</v>
      </c>
      <c r="N184" s="237">
        <v>15.0</v>
      </c>
    </row>
    <row r="185">
      <c r="A185" s="236" t="s">
        <v>701</v>
      </c>
      <c r="B185" s="237">
        <v>6632.0</v>
      </c>
      <c r="C185" s="236" t="s">
        <v>701</v>
      </c>
      <c r="D185" s="236" t="s">
        <v>480</v>
      </c>
      <c r="E185" s="236" t="s">
        <v>481</v>
      </c>
      <c r="F185" s="236" t="s">
        <v>998</v>
      </c>
      <c r="G185" s="237">
        <v>8.0</v>
      </c>
      <c r="H185" s="237">
        <v>8.0</v>
      </c>
      <c r="I185" s="237">
        <v>0.0</v>
      </c>
      <c r="J185" s="237">
        <v>8.0</v>
      </c>
      <c r="K185" s="237">
        <v>8.0</v>
      </c>
      <c r="L185" s="237">
        <v>0.0</v>
      </c>
      <c r="M185" s="237">
        <v>19.0</v>
      </c>
      <c r="N185" s="237">
        <v>19.0</v>
      </c>
    </row>
    <row r="186">
      <c r="A186" s="236" t="s">
        <v>780</v>
      </c>
      <c r="B186" s="237">
        <v>5831.0</v>
      </c>
      <c r="C186" s="236" t="s">
        <v>780</v>
      </c>
      <c r="D186" s="236" t="s">
        <v>480</v>
      </c>
      <c r="E186" s="236" t="s">
        <v>481</v>
      </c>
      <c r="F186" s="236" t="s">
        <v>976</v>
      </c>
      <c r="G186" s="237">
        <v>8.0</v>
      </c>
      <c r="H186" s="237">
        <v>8.0</v>
      </c>
      <c r="I186" s="237">
        <v>0.0</v>
      </c>
      <c r="J186" s="237">
        <v>8.0</v>
      </c>
      <c r="K186" s="237">
        <v>8.0</v>
      </c>
      <c r="L186" s="237">
        <v>0.0</v>
      </c>
      <c r="M186" s="237">
        <v>13.0</v>
      </c>
      <c r="N186" s="237">
        <v>13.0</v>
      </c>
    </row>
    <row r="187">
      <c r="A187" s="236" t="s">
        <v>368</v>
      </c>
      <c r="B187" s="237">
        <v>6631.0</v>
      </c>
      <c r="C187" s="236" t="s">
        <v>368</v>
      </c>
      <c r="D187" s="236" t="s">
        <v>480</v>
      </c>
      <c r="E187" s="236" t="s">
        <v>481</v>
      </c>
      <c r="F187" s="236" t="s">
        <v>988</v>
      </c>
      <c r="G187" s="237">
        <v>4.0</v>
      </c>
      <c r="H187" s="237">
        <v>4.0</v>
      </c>
      <c r="I187" s="237">
        <v>0.0</v>
      </c>
      <c r="J187" s="237">
        <v>4.0</v>
      </c>
      <c r="K187" s="237">
        <v>4.0</v>
      </c>
      <c r="L187" s="237">
        <v>0.0</v>
      </c>
      <c r="M187" s="237">
        <v>11.0</v>
      </c>
      <c r="N187" s="237">
        <v>11.0</v>
      </c>
    </row>
    <row r="188">
      <c r="A188" s="236" t="s">
        <v>661</v>
      </c>
      <c r="B188" s="237">
        <v>5899.0</v>
      </c>
      <c r="C188" s="236" t="s">
        <v>661</v>
      </c>
      <c r="D188" s="236" t="s">
        <v>480</v>
      </c>
      <c r="E188" s="236" t="s">
        <v>481</v>
      </c>
      <c r="F188" s="236" t="s">
        <v>1000</v>
      </c>
      <c r="G188" s="237">
        <v>4.0</v>
      </c>
      <c r="H188" s="237">
        <v>4.0</v>
      </c>
      <c r="I188" s="237">
        <v>0.0</v>
      </c>
      <c r="J188" s="237">
        <v>4.0</v>
      </c>
      <c r="K188" s="237">
        <v>4.0</v>
      </c>
      <c r="L188" s="237">
        <v>0.0</v>
      </c>
      <c r="M188" s="237">
        <v>7.0</v>
      </c>
      <c r="N188" s="237">
        <v>7.0</v>
      </c>
    </row>
    <row r="189">
      <c r="A189" s="236" t="s">
        <v>620</v>
      </c>
      <c r="B189" s="237">
        <v>5833.0</v>
      </c>
      <c r="C189" s="236" t="s">
        <v>620</v>
      </c>
      <c r="D189" s="236" t="s">
        <v>480</v>
      </c>
      <c r="E189" s="236" t="s">
        <v>481</v>
      </c>
      <c r="F189" s="236" t="s">
        <v>1000</v>
      </c>
      <c r="G189" s="237">
        <v>9.0</v>
      </c>
      <c r="H189" s="237">
        <v>9.0</v>
      </c>
      <c r="I189" s="237">
        <v>0.0</v>
      </c>
      <c r="J189" s="237">
        <v>9.0</v>
      </c>
      <c r="K189" s="237">
        <v>9.0</v>
      </c>
      <c r="L189" s="237">
        <v>0.0</v>
      </c>
      <c r="M189" s="237">
        <v>20.0</v>
      </c>
      <c r="N189" s="237">
        <v>20.0</v>
      </c>
    </row>
    <row r="190">
      <c r="A190" s="236" t="s">
        <v>621</v>
      </c>
      <c r="B190" s="237">
        <v>5131.0</v>
      </c>
      <c r="C190" s="236" t="s">
        <v>621</v>
      </c>
      <c r="D190" s="236" t="s">
        <v>492</v>
      </c>
      <c r="E190" s="236" t="s">
        <v>930</v>
      </c>
      <c r="F190" s="236" t="s">
        <v>987</v>
      </c>
      <c r="G190" s="237">
        <v>6.0</v>
      </c>
      <c r="H190" s="237">
        <v>7.0</v>
      </c>
      <c r="I190" s="237">
        <v>-1.0</v>
      </c>
      <c r="J190" s="237">
        <v>6.0</v>
      </c>
      <c r="K190" s="237">
        <v>7.0</v>
      </c>
      <c r="L190" s="237">
        <v>-1.0</v>
      </c>
      <c r="M190" s="237">
        <v>12.0</v>
      </c>
      <c r="N190" s="237">
        <v>12.0</v>
      </c>
    </row>
    <row r="191">
      <c r="A191" s="236" t="s">
        <v>325</v>
      </c>
      <c r="B191" s="237">
        <v>7008.0</v>
      </c>
      <c r="C191" s="236" t="s">
        <v>325</v>
      </c>
      <c r="D191" s="236" t="s">
        <v>507</v>
      </c>
      <c r="E191" s="236" t="s">
        <v>512</v>
      </c>
      <c r="F191" s="236" t="s">
        <v>991</v>
      </c>
      <c r="G191" s="237">
        <v>24.0</v>
      </c>
      <c r="H191" s="237">
        <v>25.0</v>
      </c>
      <c r="I191" s="237">
        <v>-1.0</v>
      </c>
      <c r="J191" s="237">
        <v>24.0</v>
      </c>
      <c r="K191" s="237">
        <v>25.0</v>
      </c>
      <c r="L191" s="237">
        <v>-1.0</v>
      </c>
      <c r="M191" s="237">
        <v>113.0</v>
      </c>
      <c r="N191" s="237">
        <v>113.0</v>
      </c>
    </row>
    <row r="192">
      <c r="A192" s="236" t="s">
        <v>160</v>
      </c>
      <c r="B192" s="237">
        <v>6170.0</v>
      </c>
      <c r="C192" s="236" t="s">
        <v>160</v>
      </c>
      <c r="D192" s="236" t="s">
        <v>492</v>
      </c>
      <c r="E192" s="236" t="s">
        <v>492</v>
      </c>
      <c r="F192" s="236" t="s">
        <v>972</v>
      </c>
      <c r="G192" s="237">
        <v>4.0</v>
      </c>
      <c r="H192" s="237">
        <v>5.0</v>
      </c>
      <c r="I192" s="237">
        <v>-1.0</v>
      </c>
      <c r="J192" s="237">
        <v>4.0</v>
      </c>
      <c r="K192" s="237">
        <v>5.0</v>
      </c>
      <c r="L192" s="237">
        <v>-1.0</v>
      </c>
      <c r="M192" s="237">
        <v>11.0</v>
      </c>
      <c r="N192" s="237">
        <v>11.0</v>
      </c>
    </row>
    <row r="193">
      <c r="A193" s="236" t="s">
        <v>188</v>
      </c>
      <c r="B193" s="237">
        <v>7162.0</v>
      </c>
      <c r="C193" s="236" t="s">
        <v>188</v>
      </c>
      <c r="D193" s="236" t="s">
        <v>507</v>
      </c>
      <c r="E193" s="236" t="s">
        <v>507</v>
      </c>
      <c r="F193" s="236" t="s">
        <v>983</v>
      </c>
      <c r="G193" s="237">
        <v>3.0</v>
      </c>
      <c r="H193" s="237">
        <v>1.0</v>
      </c>
      <c r="I193" s="237">
        <v>2.0</v>
      </c>
      <c r="J193" s="237">
        <v>3.0</v>
      </c>
      <c r="K193" s="237">
        <v>1.0</v>
      </c>
      <c r="L193" s="237">
        <v>2.0</v>
      </c>
      <c r="M193" s="237">
        <v>20.0</v>
      </c>
      <c r="N193" s="237">
        <v>20.0</v>
      </c>
    </row>
    <row r="194">
      <c r="A194" s="236" t="s">
        <v>435</v>
      </c>
      <c r="B194" s="237">
        <v>6537.0</v>
      </c>
      <c r="C194" s="236" t="s">
        <v>435</v>
      </c>
      <c r="D194" s="236" t="s">
        <v>480</v>
      </c>
      <c r="E194" s="236" t="s">
        <v>937</v>
      </c>
      <c r="F194" s="236" t="s">
        <v>993</v>
      </c>
      <c r="G194" s="237">
        <v>4.0</v>
      </c>
      <c r="H194" s="237">
        <v>4.0</v>
      </c>
      <c r="I194" s="237">
        <v>0.0</v>
      </c>
      <c r="J194" s="237">
        <v>4.0</v>
      </c>
      <c r="K194" s="237">
        <v>4.0</v>
      </c>
      <c r="L194" s="237">
        <v>0.0</v>
      </c>
      <c r="M194" s="237">
        <v>10.0</v>
      </c>
      <c r="N194" s="237">
        <v>11.0</v>
      </c>
    </row>
    <row r="195">
      <c r="A195" s="236" t="s">
        <v>1067</v>
      </c>
      <c r="B195" s="237">
        <v>418.0</v>
      </c>
      <c r="C195" s="236" t="s">
        <v>1067</v>
      </c>
      <c r="D195" s="236" t="s">
        <v>480</v>
      </c>
      <c r="E195" s="236" t="s">
        <v>481</v>
      </c>
      <c r="F195" s="236" t="s">
        <v>974</v>
      </c>
      <c r="G195" s="237">
        <v>4.0</v>
      </c>
      <c r="H195" s="237">
        <v>4.0</v>
      </c>
      <c r="I195" s="237">
        <v>0.0</v>
      </c>
      <c r="J195" s="237">
        <v>4.0</v>
      </c>
      <c r="K195" s="237">
        <v>4.0</v>
      </c>
      <c r="L195" s="237">
        <v>0.0</v>
      </c>
      <c r="M195" s="237">
        <v>6.0</v>
      </c>
      <c r="N195" s="237">
        <v>6.0</v>
      </c>
    </row>
    <row r="196">
      <c r="A196" s="236" t="s">
        <v>135</v>
      </c>
      <c r="B196" s="237">
        <v>610.0</v>
      </c>
      <c r="C196" s="236" t="s">
        <v>135</v>
      </c>
      <c r="D196" s="236" t="s">
        <v>477</v>
      </c>
      <c r="E196" s="236" t="s">
        <v>478</v>
      </c>
      <c r="F196" s="236" t="s">
        <v>988</v>
      </c>
      <c r="G196" s="237">
        <v>1.0</v>
      </c>
      <c r="H196" s="237">
        <v>1.0</v>
      </c>
      <c r="I196" s="237">
        <v>0.0</v>
      </c>
      <c r="J196" s="237">
        <v>1.0</v>
      </c>
      <c r="K196" s="237">
        <v>1.0</v>
      </c>
      <c r="L196" s="237">
        <v>0.0</v>
      </c>
      <c r="M196" s="237">
        <v>1.0</v>
      </c>
      <c r="N196" s="237">
        <v>1.0</v>
      </c>
    </row>
    <row r="197">
      <c r="A197" s="236" t="s">
        <v>662</v>
      </c>
      <c r="B197" s="237">
        <v>2160.0</v>
      </c>
      <c r="C197" s="236" t="s">
        <v>662</v>
      </c>
      <c r="D197" s="236" t="s">
        <v>480</v>
      </c>
      <c r="E197" s="236" t="s">
        <v>521</v>
      </c>
      <c r="F197" s="236" t="s">
        <v>1033</v>
      </c>
      <c r="G197" s="237">
        <v>18.0</v>
      </c>
      <c r="H197" s="237">
        <v>18.0</v>
      </c>
      <c r="I197" s="237">
        <v>0.0</v>
      </c>
      <c r="J197" s="237">
        <v>17.0</v>
      </c>
      <c r="K197" s="237">
        <v>17.0</v>
      </c>
      <c r="L197" s="237">
        <v>0.0</v>
      </c>
      <c r="M197" s="237">
        <v>83.0</v>
      </c>
      <c r="N197" s="237">
        <v>83.0</v>
      </c>
    </row>
    <row r="198">
      <c r="A198" s="236" t="s">
        <v>1068</v>
      </c>
      <c r="B198" s="237">
        <v>27.0</v>
      </c>
      <c r="C198" s="236" t="s">
        <v>1068</v>
      </c>
      <c r="D198" s="236" t="s">
        <v>492</v>
      </c>
      <c r="E198" s="236" t="s">
        <v>930</v>
      </c>
      <c r="F198" s="236" t="s">
        <v>995</v>
      </c>
      <c r="G198" s="237">
        <v>4.0</v>
      </c>
      <c r="H198" s="237">
        <v>4.0</v>
      </c>
      <c r="I198" s="237">
        <v>0.0</v>
      </c>
      <c r="J198" s="237">
        <v>4.0</v>
      </c>
      <c r="K198" s="237">
        <v>4.0</v>
      </c>
      <c r="L198" s="237">
        <v>0.0</v>
      </c>
      <c r="M198" s="237">
        <v>9.0</v>
      </c>
      <c r="N198" s="237">
        <v>10.0</v>
      </c>
    </row>
    <row r="199">
      <c r="A199" s="236" t="s">
        <v>1069</v>
      </c>
      <c r="B199" s="237">
        <v>6722.0</v>
      </c>
      <c r="C199" s="236" t="s">
        <v>1069</v>
      </c>
      <c r="D199" s="236" t="s">
        <v>492</v>
      </c>
      <c r="E199" s="236" t="s">
        <v>1057</v>
      </c>
      <c r="F199" s="236" t="s">
        <v>1026</v>
      </c>
      <c r="G199" s="237">
        <v>11.0</v>
      </c>
      <c r="H199" s="237">
        <v>12.0</v>
      </c>
      <c r="I199" s="237">
        <v>-1.0</v>
      </c>
      <c r="J199" s="237">
        <v>11.0</v>
      </c>
      <c r="K199" s="237">
        <v>12.0</v>
      </c>
      <c r="L199" s="237">
        <v>-1.0</v>
      </c>
      <c r="M199" s="237">
        <v>32.0</v>
      </c>
      <c r="N199" s="237">
        <v>32.0</v>
      </c>
    </row>
    <row r="200">
      <c r="A200" s="236" t="s">
        <v>611</v>
      </c>
      <c r="B200" s="237">
        <v>5800.0</v>
      </c>
      <c r="C200" s="236" t="s">
        <v>611</v>
      </c>
      <c r="D200" s="236" t="s">
        <v>492</v>
      </c>
      <c r="E200" s="236" t="s">
        <v>947</v>
      </c>
      <c r="F200" s="236" t="s">
        <v>1033</v>
      </c>
      <c r="G200" s="237">
        <v>24.0</v>
      </c>
      <c r="H200" s="237">
        <v>24.0</v>
      </c>
      <c r="I200" s="237">
        <v>0.0</v>
      </c>
      <c r="J200" s="237">
        <v>23.0</v>
      </c>
      <c r="K200" s="237">
        <v>23.0</v>
      </c>
      <c r="L200" s="237">
        <v>0.0</v>
      </c>
      <c r="M200" s="237">
        <v>156.0</v>
      </c>
      <c r="N200" s="237">
        <v>156.0</v>
      </c>
    </row>
    <row r="201">
      <c r="A201" s="236" t="s">
        <v>438</v>
      </c>
      <c r="B201" s="237">
        <v>4186.0</v>
      </c>
      <c r="C201" s="236" t="s">
        <v>438</v>
      </c>
      <c r="D201" s="236" t="s">
        <v>492</v>
      </c>
      <c r="E201" s="236" t="s">
        <v>492</v>
      </c>
      <c r="F201" s="236" t="s">
        <v>1000</v>
      </c>
      <c r="G201" s="237">
        <v>12.0</v>
      </c>
      <c r="H201" s="237">
        <v>11.0</v>
      </c>
      <c r="I201" s="237">
        <v>1.0</v>
      </c>
      <c r="J201" s="237">
        <v>12.0</v>
      </c>
      <c r="K201" s="237">
        <v>11.0</v>
      </c>
      <c r="L201" s="237">
        <v>1.0</v>
      </c>
      <c r="M201" s="237">
        <v>23.0</v>
      </c>
      <c r="N201" s="237">
        <v>23.0</v>
      </c>
    </row>
    <row r="202">
      <c r="A202" s="236" t="s">
        <v>399</v>
      </c>
      <c r="B202" s="237">
        <v>7272.0</v>
      </c>
      <c r="C202" s="236" t="s">
        <v>399</v>
      </c>
      <c r="D202" s="236" t="s">
        <v>507</v>
      </c>
      <c r="E202" s="236" t="s">
        <v>512</v>
      </c>
      <c r="F202" s="236" t="s">
        <v>993</v>
      </c>
      <c r="G202" s="237">
        <v>1.0</v>
      </c>
      <c r="H202" s="237">
        <v>1.0</v>
      </c>
      <c r="I202" s="237">
        <v>0.0</v>
      </c>
      <c r="J202" s="237">
        <v>1.0</v>
      </c>
      <c r="K202" s="237">
        <v>1.0</v>
      </c>
      <c r="L202" s="237">
        <v>0.0</v>
      </c>
      <c r="M202" s="237">
        <v>1.0</v>
      </c>
      <c r="N202" s="237">
        <v>1.0</v>
      </c>
    </row>
    <row r="203">
      <c r="A203" s="236" t="s">
        <v>1070</v>
      </c>
      <c r="B203" s="237">
        <v>5427.0</v>
      </c>
      <c r="C203" s="236" t="s">
        <v>1070</v>
      </c>
      <c r="D203" s="236" t="s">
        <v>480</v>
      </c>
      <c r="E203" s="236" t="s">
        <v>931</v>
      </c>
      <c r="F203" s="236" t="s">
        <v>987</v>
      </c>
      <c r="G203" s="237">
        <v>7.0</v>
      </c>
      <c r="H203" s="237">
        <v>8.0</v>
      </c>
      <c r="I203" s="237">
        <v>-1.0</v>
      </c>
      <c r="J203" s="237">
        <v>7.0</v>
      </c>
      <c r="K203" s="237">
        <v>8.0</v>
      </c>
      <c r="L203" s="237">
        <v>-1.0</v>
      </c>
      <c r="M203" s="237">
        <v>18.0</v>
      </c>
      <c r="N203" s="237">
        <v>18.0</v>
      </c>
    </row>
    <row r="204">
      <c r="A204" s="236" t="s">
        <v>729</v>
      </c>
      <c r="B204" s="237">
        <v>5688.0</v>
      </c>
      <c r="C204" s="236" t="s">
        <v>729</v>
      </c>
      <c r="D204" s="236" t="s">
        <v>492</v>
      </c>
      <c r="E204" s="236" t="s">
        <v>1057</v>
      </c>
      <c r="F204" s="236" t="s">
        <v>983</v>
      </c>
      <c r="G204" s="237">
        <v>7.0</v>
      </c>
      <c r="H204" s="237">
        <v>7.0</v>
      </c>
      <c r="I204" s="237">
        <v>0.0</v>
      </c>
      <c r="J204" s="237">
        <v>7.0</v>
      </c>
      <c r="K204" s="237">
        <v>7.0</v>
      </c>
      <c r="L204" s="237">
        <v>0.0</v>
      </c>
      <c r="M204" s="237">
        <v>14.0</v>
      </c>
      <c r="N204" s="237">
        <v>14.0</v>
      </c>
    </row>
    <row r="205">
      <c r="A205" s="236" t="s">
        <v>1071</v>
      </c>
      <c r="B205" s="237">
        <v>7212.0</v>
      </c>
      <c r="C205" s="236" t="s">
        <v>1071</v>
      </c>
      <c r="D205" s="236" t="s">
        <v>480</v>
      </c>
      <c r="E205" s="236" t="s">
        <v>1022</v>
      </c>
      <c r="F205" s="236" t="s">
        <v>1009</v>
      </c>
      <c r="G205" s="237">
        <v>5.0</v>
      </c>
      <c r="H205" s="237">
        <v>4.0</v>
      </c>
      <c r="I205" s="237">
        <v>1.0</v>
      </c>
      <c r="J205" s="237">
        <v>6.0</v>
      </c>
      <c r="K205" s="237">
        <v>5.0</v>
      </c>
      <c r="L205" s="237">
        <v>1.0</v>
      </c>
      <c r="M205" s="237">
        <v>11.0</v>
      </c>
      <c r="N205" s="237">
        <v>13.0</v>
      </c>
    </row>
    <row r="206">
      <c r="A206" s="236" t="s">
        <v>726</v>
      </c>
      <c r="B206" s="237">
        <v>5872.0</v>
      </c>
      <c r="C206" s="236" t="s">
        <v>726</v>
      </c>
      <c r="D206" s="236" t="s">
        <v>492</v>
      </c>
      <c r="E206" s="236" t="s">
        <v>934</v>
      </c>
      <c r="F206" s="236" t="s">
        <v>998</v>
      </c>
      <c r="G206" s="237">
        <v>7.0</v>
      </c>
      <c r="H206" s="237">
        <v>8.0</v>
      </c>
      <c r="I206" s="237">
        <v>-1.0</v>
      </c>
      <c r="J206" s="237">
        <v>7.0</v>
      </c>
      <c r="K206" s="237">
        <v>8.0</v>
      </c>
      <c r="L206" s="237">
        <v>-1.0</v>
      </c>
      <c r="M206" s="237">
        <v>15.0</v>
      </c>
      <c r="N206" s="237">
        <v>15.0</v>
      </c>
    </row>
    <row r="207">
      <c r="A207" s="236" t="s">
        <v>1072</v>
      </c>
      <c r="B207" s="237">
        <v>4807.0</v>
      </c>
      <c r="C207" s="236" t="s">
        <v>1072</v>
      </c>
      <c r="D207" s="236" t="s">
        <v>480</v>
      </c>
      <c r="E207" s="236" t="s">
        <v>481</v>
      </c>
      <c r="F207" s="236" t="s">
        <v>988</v>
      </c>
      <c r="G207" s="237">
        <v>4.0</v>
      </c>
      <c r="H207" s="237">
        <v>3.0</v>
      </c>
      <c r="I207" s="237">
        <v>1.0</v>
      </c>
      <c r="J207" s="237">
        <v>4.0</v>
      </c>
      <c r="K207" s="237">
        <v>3.0</v>
      </c>
      <c r="L207" s="237">
        <v>1.0</v>
      </c>
      <c r="M207" s="237">
        <v>15.0</v>
      </c>
      <c r="N207" s="237">
        <v>15.0</v>
      </c>
    </row>
    <row r="208">
      <c r="A208" s="236" t="s">
        <v>699</v>
      </c>
      <c r="B208" s="237">
        <v>4423.0</v>
      </c>
      <c r="C208" s="236" t="s">
        <v>699</v>
      </c>
      <c r="D208" s="236" t="s">
        <v>492</v>
      </c>
      <c r="E208" s="236" t="s">
        <v>492</v>
      </c>
      <c r="F208" s="236" t="s">
        <v>985</v>
      </c>
      <c r="G208" s="237">
        <v>6.0</v>
      </c>
      <c r="H208" s="237">
        <v>7.0</v>
      </c>
      <c r="I208" s="237">
        <v>-1.0</v>
      </c>
      <c r="J208" s="237">
        <v>6.0</v>
      </c>
      <c r="K208" s="237">
        <v>7.0</v>
      </c>
      <c r="L208" s="237">
        <v>-1.0</v>
      </c>
      <c r="M208" s="237">
        <v>18.0</v>
      </c>
      <c r="N208" s="237">
        <v>18.0</v>
      </c>
    </row>
    <row r="209">
      <c r="A209" s="236" t="s">
        <v>781</v>
      </c>
      <c r="B209" s="237">
        <v>6046.0</v>
      </c>
      <c r="C209" s="236" t="s">
        <v>781</v>
      </c>
      <c r="D209" s="236" t="s">
        <v>480</v>
      </c>
      <c r="E209" s="236" t="s">
        <v>481</v>
      </c>
      <c r="F209" s="236" t="s">
        <v>980</v>
      </c>
      <c r="G209" s="237">
        <v>10.0</v>
      </c>
      <c r="H209" s="237">
        <v>11.0</v>
      </c>
      <c r="I209" s="237">
        <v>-1.0</v>
      </c>
      <c r="J209" s="237">
        <v>10.0</v>
      </c>
      <c r="K209" s="237">
        <v>11.0</v>
      </c>
      <c r="L209" s="237">
        <v>-1.0</v>
      </c>
      <c r="M209" s="237">
        <v>34.0</v>
      </c>
      <c r="N209" s="237">
        <v>34.0</v>
      </c>
    </row>
    <row r="210">
      <c r="A210" s="236" t="s">
        <v>1073</v>
      </c>
      <c r="B210" s="237">
        <v>7147.0</v>
      </c>
      <c r="C210" s="236" t="s">
        <v>1073</v>
      </c>
      <c r="D210" s="236" t="s">
        <v>492</v>
      </c>
      <c r="E210" s="236" t="s">
        <v>930</v>
      </c>
      <c r="F210" s="236" t="s">
        <v>977</v>
      </c>
      <c r="G210" s="237">
        <v>1.0</v>
      </c>
      <c r="H210" s="237">
        <v>1.0</v>
      </c>
      <c r="I210" s="237">
        <v>0.0</v>
      </c>
      <c r="J210" s="237">
        <v>1.0</v>
      </c>
      <c r="K210" s="237">
        <v>1.0</v>
      </c>
      <c r="L210" s="237">
        <v>0.0</v>
      </c>
      <c r="M210" s="237">
        <v>2.0</v>
      </c>
      <c r="N210" s="237">
        <v>2.0</v>
      </c>
    </row>
    <row r="211">
      <c r="A211" s="236" t="s">
        <v>1074</v>
      </c>
      <c r="B211" s="237">
        <v>6052.0</v>
      </c>
      <c r="C211" s="236" t="s">
        <v>1074</v>
      </c>
      <c r="D211" s="236" t="s">
        <v>507</v>
      </c>
      <c r="E211" s="236" t="s">
        <v>512</v>
      </c>
      <c r="F211" s="236" t="s">
        <v>987</v>
      </c>
      <c r="G211" s="237">
        <v>24.0</v>
      </c>
      <c r="H211" s="237">
        <v>24.0</v>
      </c>
      <c r="I211" s="237">
        <v>0.0</v>
      </c>
      <c r="J211" s="237">
        <v>24.0</v>
      </c>
      <c r="K211" s="237">
        <v>24.0</v>
      </c>
      <c r="L211" s="237">
        <v>0.0</v>
      </c>
      <c r="M211" s="237">
        <v>186.0</v>
      </c>
      <c r="N211" s="237">
        <v>186.0</v>
      </c>
    </row>
    <row r="212">
      <c r="A212" s="236" t="s">
        <v>641</v>
      </c>
      <c r="B212" s="237">
        <v>5678.0</v>
      </c>
      <c r="C212" s="236" t="s">
        <v>641</v>
      </c>
      <c r="D212" s="236" t="s">
        <v>480</v>
      </c>
      <c r="E212" s="236" t="s">
        <v>938</v>
      </c>
      <c r="F212" s="236" t="s">
        <v>1009</v>
      </c>
      <c r="G212" s="237">
        <v>7.0</v>
      </c>
      <c r="H212" s="237">
        <v>8.0</v>
      </c>
      <c r="I212" s="237">
        <v>-1.0</v>
      </c>
      <c r="J212" s="237">
        <v>7.0</v>
      </c>
      <c r="K212" s="237">
        <v>8.0</v>
      </c>
      <c r="L212" s="237">
        <v>-1.0</v>
      </c>
      <c r="M212" s="237">
        <v>15.0</v>
      </c>
      <c r="N212" s="237">
        <v>15.0</v>
      </c>
    </row>
    <row r="213">
      <c r="A213" s="236" t="s">
        <v>1075</v>
      </c>
      <c r="B213" s="237">
        <v>140.0</v>
      </c>
      <c r="C213" s="236" t="s">
        <v>1075</v>
      </c>
      <c r="D213" s="236" t="s">
        <v>480</v>
      </c>
      <c r="E213" s="236" t="s">
        <v>944</v>
      </c>
      <c r="F213" s="236" t="s">
        <v>1000</v>
      </c>
      <c r="G213" s="237">
        <v>3.0</v>
      </c>
      <c r="H213" s="237">
        <v>3.0</v>
      </c>
      <c r="I213" s="237">
        <v>0.0</v>
      </c>
      <c r="J213" s="237">
        <v>3.0</v>
      </c>
      <c r="K213" s="237">
        <v>3.0</v>
      </c>
      <c r="L213" s="237">
        <v>0.0</v>
      </c>
      <c r="M213" s="237">
        <v>6.0</v>
      </c>
      <c r="N213" s="237">
        <v>6.0</v>
      </c>
    </row>
    <row r="214">
      <c r="A214" s="236" t="s">
        <v>1076</v>
      </c>
      <c r="B214" s="237">
        <v>7157.0</v>
      </c>
      <c r="C214" s="236" t="s">
        <v>1076</v>
      </c>
      <c r="D214" s="236" t="s">
        <v>492</v>
      </c>
      <c r="E214" s="236" t="s">
        <v>492</v>
      </c>
      <c r="F214" s="236" t="s">
        <v>1005</v>
      </c>
      <c r="G214" s="237">
        <v>1.0</v>
      </c>
      <c r="H214" s="237">
        <v>1.0</v>
      </c>
      <c r="I214" s="237">
        <v>0.0</v>
      </c>
      <c r="J214" s="237">
        <v>1.0</v>
      </c>
      <c r="K214" s="237">
        <v>1.0</v>
      </c>
      <c r="L214" s="237">
        <v>0.0</v>
      </c>
      <c r="M214" s="237">
        <v>7.0</v>
      </c>
      <c r="N214" s="237">
        <v>7.0</v>
      </c>
    </row>
    <row r="215">
      <c r="A215" s="236" t="s">
        <v>184</v>
      </c>
      <c r="B215" s="237">
        <v>7125.0</v>
      </c>
      <c r="C215" s="236" t="s">
        <v>184</v>
      </c>
      <c r="D215" s="236" t="s">
        <v>480</v>
      </c>
      <c r="E215" s="236" t="s">
        <v>931</v>
      </c>
      <c r="F215" s="236" t="s">
        <v>975</v>
      </c>
      <c r="G215" s="237">
        <v>3.0</v>
      </c>
      <c r="H215" s="237">
        <v>3.0</v>
      </c>
      <c r="I215" s="237">
        <v>0.0</v>
      </c>
      <c r="J215" s="237">
        <v>3.0</v>
      </c>
      <c r="K215" s="237">
        <v>3.0</v>
      </c>
      <c r="L215" s="237">
        <v>0.0</v>
      </c>
      <c r="M215" s="237">
        <v>7.0</v>
      </c>
      <c r="N215" s="237">
        <v>7.0</v>
      </c>
    </row>
    <row r="216">
      <c r="A216" s="236" t="s">
        <v>782</v>
      </c>
      <c r="B216" s="237">
        <v>6672.0</v>
      </c>
      <c r="C216" s="236" t="s">
        <v>782</v>
      </c>
      <c r="D216" s="236" t="s">
        <v>480</v>
      </c>
      <c r="E216" s="236" t="s">
        <v>481</v>
      </c>
      <c r="F216" s="236" t="s">
        <v>1005</v>
      </c>
      <c r="G216" s="237">
        <v>7.0</v>
      </c>
      <c r="H216" s="237">
        <v>7.0</v>
      </c>
      <c r="I216" s="237">
        <v>0.0</v>
      </c>
      <c r="J216" s="237">
        <v>7.0</v>
      </c>
      <c r="K216" s="237">
        <v>7.0</v>
      </c>
      <c r="L216" s="237">
        <v>0.0</v>
      </c>
      <c r="M216" s="237">
        <v>17.0</v>
      </c>
      <c r="N216" s="237">
        <v>17.0</v>
      </c>
    </row>
    <row r="217">
      <c r="A217" s="236" t="s">
        <v>730</v>
      </c>
      <c r="B217" s="237">
        <v>5007.0</v>
      </c>
      <c r="C217" s="236" t="s">
        <v>730</v>
      </c>
      <c r="D217" s="236" t="s">
        <v>492</v>
      </c>
      <c r="E217" s="236" t="s">
        <v>492</v>
      </c>
      <c r="F217" s="236" t="s">
        <v>972</v>
      </c>
      <c r="G217" s="237">
        <v>7.0</v>
      </c>
      <c r="H217" s="237">
        <v>7.0</v>
      </c>
      <c r="I217" s="237">
        <v>0.0</v>
      </c>
      <c r="J217" s="237">
        <v>7.0</v>
      </c>
      <c r="K217" s="237">
        <v>7.0</v>
      </c>
      <c r="L217" s="237">
        <v>0.0</v>
      </c>
      <c r="M217" s="237">
        <v>12.0</v>
      </c>
      <c r="N217" s="237">
        <v>12.0</v>
      </c>
    </row>
    <row r="218">
      <c r="A218" s="236" t="s">
        <v>1077</v>
      </c>
      <c r="B218" s="237">
        <v>6551.0</v>
      </c>
      <c r="C218" s="236" t="s">
        <v>1077</v>
      </c>
      <c r="D218" s="236" t="s">
        <v>480</v>
      </c>
      <c r="E218" s="236" t="s">
        <v>481</v>
      </c>
      <c r="F218" s="236" t="s">
        <v>1009</v>
      </c>
      <c r="G218" s="237">
        <v>1.0</v>
      </c>
      <c r="H218" s="237">
        <v>1.0</v>
      </c>
      <c r="I218" s="237">
        <v>0.0</v>
      </c>
      <c r="J218" s="237">
        <v>1.0</v>
      </c>
      <c r="K218" s="237">
        <v>1.0</v>
      </c>
      <c r="L218" s="237">
        <v>0.0</v>
      </c>
      <c r="M218" s="237">
        <v>2.0</v>
      </c>
      <c r="N218" s="237">
        <v>2.0</v>
      </c>
    </row>
    <row r="219">
      <c r="A219" s="236" t="s">
        <v>340</v>
      </c>
      <c r="B219" s="237">
        <v>6005.0</v>
      </c>
      <c r="C219" s="236" t="s">
        <v>340</v>
      </c>
      <c r="D219" s="236" t="s">
        <v>492</v>
      </c>
      <c r="E219" s="236" t="s">
        <v>934</v>
      </c>
      <c r="F219" s="236" t="s">
        <v>972</v>
      </c>
      <c r="G219" s="237">
        <v>1.0</v>
      </c>
      <c r="H219" s="237">
        <v>1.0</v>
      </c>
      <c r="I219" s="237">
        <v>0.0</v>
      </c>
      <c r="J219" s="237">
        <v>1.0</v>
      </c>
      <c r="K219" s="237">
        <v>1.0</v>
      </c>
      <c r="L219" s="237">
        <v>0.0</v>
      </c>
      <c r="M219" s="237">
        <v>1.0</v>
      </c>
      <c r="N219" s="237">
        <v>1.0</v>
      </c>
    </row>
    <row r="220">
      <c r="A220" s="236" t="s">
        <v>1078</v>
      </c>
      <c r="B220" s="237">
        <v>785.0</v>
      </c>
      <c r="C220" s="236" t="s">
        <v>1078</v>
      </c>
      <c r="D220" s="236" t="s">
        <v>507</v>
      </c>
      <c r="E220" s="236" t="s">
        <v>512</v>
      </c>
      <c r="F220" s="236" t="s">
        <v>1009</v>
      </c>
      <c r="G220" s="237">
        <v>19.0</v>
      </c>
      <c r="H220" s="237">
        <v>19.0</v>
      </c>
      <c r="I220" s="237">
        <v>0.0</v>
      </c>
      <c r="J220" s="237">
        <v>19.0</v>
      </c>
      <c r="K220" s="237">
        <v>19.0</v>
      </c>
      <c r="L220" s="237">
        <v>0.0</v>
      </c>
      <c r="M220" s="237">
        <v>100.0</v>
      </c>
      <c r="N220" s="237">
        <v>100.0</v>
      </c>
    </row>
    <row r="221">
      <c r="A221" s="236" t="s">
        <v>663</v>
      </c>
      <c r="B221" s="237">
        <v>6398.0</v>
      </c>
      <c r="C221" s="236" t="s">
        <v>663</v>
      </c>
      <c r="D221" s="236" t="s">
        <v>492</v>
      </c>
      <c r="E221" s="236" t="s">
        <v>935</v>
      </c>
      <c r="F221" s="236" t="s">
        <v>1000</v>
      </c>
      <c r="G221" s="237">
        <v>13.0</v>
      </c>
      <c r="H221" s="237">
        <v>14.0</v>
      </c>
      <c r="I221" s="237">
        <v>-1.0</v>
      </c>
      <c r="J221" s="237">
        <v>13.0</v>
      </c>
      <c r="K221" s="237">
        <v>14.0</v>
      </c>
      <c r="L221" s="237">
        <v>-1.0</v>
      </c>
      <c r="M221" s="237">
        <v>38.0</v>
      </c>
      <c r="N221" s="237">
        <v>38.0</v>
      </c>
    </row>
    <row r="222">
      <c r="A222" s="236" t="s">
        <v>615</v>
      </c>
      <c r="B222" s="237">
        <v>5010.0</v>
      </c>
      <c r="C222" s="236" t="s">
        <v>615</v>
      </c>
      <c r="D222" s="236" t="s">
        <v>480</v>
      </c>
      <c r="E222" s="236" t="s">
        <v>481</v>
      </c>
      <c r="F222" s="236" t="s">
        <v>972</v>
      </c>
      <c r="G222" s="237">
        <v>7.0</v>
      </c>
      <c r="H222" s="237">
        <v>8.0</v>
      </c>
      <c r="I222" s="237">
        <v>-1.0</v>
      </c>
      <c r="J222" s="237">
        <v>7.0</v>
      </c>
      <c r="K222" s="237">
        <v>8.0</v>
      </c>
      <c r="L222" s="237">
        <v>-1.0</v>
      </c>
      <c r="M222" s="237">
        <v>13.0</v>
      </c>
      <c r="N222" s="237">
        <v>13.0</v>
      </c>
    </row>
    <row r="223">
      <c r="A223" s="236" t="s">
        <v>1079</v>
      </c>
      <c r="B223" s="237">
        <v>7179.0</v>
      </c>
      <c r="C223" s="236" t="s">
        <v>1079</v>
      </c>
      <c r="D223" s="236" t="s">
        <v>477</v>
      </c>
      <c r="E223" s="236" t="s">
        <v>478</v>
      </c>
      <c r="F223" s="236" t="s">
        <v>972</v>
      </c>
      <c r="G223" s="237">
        <v>8.0</v>
      </c>
      <c r="H223" s="237">
        <v>9.0</v>
      </c>
      <c r="I223" s="237">
        <v>-1.0</v>
      </c>
      <c r="J223" s="237">
        <v>8.0</v>
      </c>
      <c r="K223" s="237">
        <v>9.0</v>
      </c>
      <c r="L223" s="237">
        <v>-1.0</v>
      </c>
      <c r="M223" s="237">
        <v>33.0</v>
      </c>
      <c r="N223" s="237">
        <v>33.0</v>
      </c>
    </row>
    <row r="224">
      <c r="A224" s="236" t="s">
        <v>1080</v>
      </c>
      <c r="B224" s="237">
        <v>7203.0</v>
      </c>
      <c r="C224" s="236" t="s">
        <v>1080</v>
      </c>
      <c r="D224" s="236" t="s">
        <v>492</v>
      </c>
      <c r="E224" s="236" t="s">
        <v>492</v>
      </c>
      <c r="F224" s="236" t="s">
        <v>991</v>
      </c>
      <c r="G224" s="237">
        <v>12.0</v>
      </c>
      <c r="H224" s="237">
        <v>13.0</v>
      </c>
      <c r="I224" s="237">
        <v>-1.0</v>
      </c>
      <c r="J224" s="237">
        <v>12.0</v>
      </c>
      <c r="K224" s="237">
        <v>13.0</v>
      </c>
      <c r="L224" s="237">
        <v>-1.0</v>
      </c>
      <c r="M224" s="237">
        <v>23.0</v>
      </c>
      <c r="N224" s="237">
        <v>23.0</v>
      </c>
    </row>
    <row r="225">
      <c r="A225" s="236" t="s">
        <v>664</v>
      </c>
      <c r="B225" s="237">
        <v>6883.0</v>
      </c>
      <c r="C225" s="236" t="s">
        <v>664</v>
      </c>
      <c r="D225" s="236" t="s">
        <v>480</v>
      </c>
      <c r="E225" s="236" t="s">
        <v>481</v>
      </c>
      <c r="F225" s="236" t="s">
        <v>998</v>
      </c>
      <c r="G225" s="237">
        <v>3.0</v>
      </c>
      <c r="H225" s="237">
        <v>3.0</v>
      </c>
      <c r="I225" s="237">
        <v>0.0</v>
      </c>
      <c r="J225" s="237">
        <v>3.0</v>
      </c>
      <c r="K225" s="237">
        <v>3.0</v>
      </c>
      <c r="L225" s="237">
        <v>0.0</v>
      </c>
      <c r="M225" s="237">
        <v>3.0</v>
      </c>
      <c r="N225" s="237">
        <v>3.0</v>
      </c>
    </row>
    <row r="226">
      <c r="A226" s="236" t="s">
        <v>1081</v>
      </c>
      <c r="B226" s="237">
        <v>7175.0</v>
      </c>
      <c r="C226" s="236" t="s">
        <v>1081</v>
      </c>
      <c r="D226" s="236" t="s">
        <v>480</v>
      </c>
      <c r="E226" s="236" t="s">
        <v>521</v>
      </c>
      <c r="F226" s="236" t="s">
        <v>976</v>
      </c>
      <c r="G226" s="237">
        <v>8.0</v>
      </c>
      <c r="H226" s="237">
        <v>8.0</v>
      </c>
      <c r="I226" s="237">
        <v>0.0</v>
      </c>
      <c r="J226" s="237">
        <v>7.0</v>
      </c>
      <c r="K226" s="237">
        <v>7.0</v>
      </c>
      <c r="L226" s="237">
        <v>0.0</v>
      </c>
      <c r="M226" s="237">
        <v>17.0</v>
      </c>
      <c r="N226" s="237">
        <v>14.0</v>
      </c>
    </row>
    <row r="227">
      <c r="A227" s="236" t="s">
        <v>1082</v>
      </c>
      <c r="B227" s="237">
        <v>5496.0</v>
      </c>
      <c r="C227" s="236" t="s">
        <v>1082</v>
      </c>
      <c r="D227" s="236" t="s">
        <v>507</v>
      </c>
      <c r="E227" s="236" t="s">
        <v>507</v>
      </c>
      <c r="F227" s="236" t="s">
        <v>995</v>
      </c>
      <c r="G227" s="237">
        <v>6.0</v>
      </c>
      <c r="H227" s="237">
        <v>7.0</v>
      </c>
      <c r="I227" s="237">
        <v>-1.0</v>
      </c>
      <c r="J227" s="237">
        <v>6.0</v>
      </c>
      <c r="K227" s="237">
        <v>7.0</v>
      </c>
      <c r="L227" s="237">
        <v>-1.0</v>
      </c>
      <c r="M227" s="237">
        <v>12.0</v>
      </c>
      <c r="N227" s="237">
        <v>12.0</v>
      </c>
    </row>
    <row r="228">
      <c r="A228" s="236" t="s">
        <v>824</v>
      </c>
      <c r="B228" s="237">
        <v>256.0</v>
      </c>
      <c r="C228" s="236" t="s">
        <v>824</v>
      </c>
      <c r="D228" s="236" t="s">
        <v>480</v>
      </c>
      <c r="E228" s="236" t="s">
        <v>1022</v>
      </c>
      <c r="F228" s="236" t="s">
        <v>987</v>
      </c>
      <c r="G228" s="237">
        <v>4.0</v>
      </c>
      <c r="H228" s="237">
        <v>3.0</v>
      </c>
      <c r="I228" s="237">
        <v>1.0</v>
      </c>
      <c r="J228" s="237">
        <v>4.0</v>
      </c>
      <c r="K228" s="237">
        <v>3.0</v>
      </c>
      <c r="L228" s="237">
        <v>1.0</v>
      </c>
      <c r="M228" s="237">
        <v>14.0</v>
      </c>
      <c r="N228" s="237">
        <v>17.0</v>
      </c>
    </row>
    <row r="229">
      <c r="A229" s="236" t="s">
        <v>1083</v>
      </c>
      <c r="B229" s="237">
        <v>6410.0</v>
      </c>
      <c r="C229" s="236" t="s">
        <v>1083</v>
      </c>
      <c r="D229" s="236" t="s">
        <v>492</v>
      </c>
      <c r="E229" s="236" t="s">
        <v>930</v>
      </c>
      <c r="F229" s="236" t="s">
        <v>998</v>
      </c>
      <c r="G229" s="237">
        <v>2.0</v>
      </c>
      <c r="H229" s="237">
        <v>1.0</v>
      </c>
      <c r="I229" s="237">
        <v>1.0</v>
      </c>
      <c r="J229" s="237">
        <v>2.0</v>
      </c>
      <c r="K229" s="237">
        <v>1.0</v>
      </c>
      <c r="L229" s="237">
        <v>1.0</v>
      </c>
      <c r="M229" s="237">
        <v>2.0</v>
      </c>
      <c r="N229" s="237">
        <v>2.0</v>
      </c>
    </row>
    <row r="230">
      <c r="A230" s="236" t="s">
        <v>228</v>
      </c>
      <c r="B230" s="237">
        <v>4263.0</v>
      </c>
      <c r="C230" s="236" t="s">
        <v>228</v>
      </c>
      <c r="D230" s="236" t="s">
        <v>480</v>
      </c>
      <c r="E230" s="236" t="s">
        <v>481</v>
      </c>
      <c r="F230" s="236" t="s">
        <v>993</v>
      </c>
      <c r="G230" s="237">
        <v>3.0</v>
      </c>
      <c r="H230" s="237">
        <v>3.0</v>
      </c>
      <c r="I230" s="237">
        <v>0.0</v>
      </c>
      <c r="J230" s="237">
        <v>3.0</v>
      </c>
      <c r="K230" s="237">
        <v>3.0</v>
      </c>
      <c r="L230" s="237">
        <v>0.0</v>
      </c>
      <c r="M230" s="237">
        <v>6.0</v>
      </c>
      <c r="N230" s="237">
        <v>6.0</v>
      </c>
    </row>
    <row r="231">
      <c r="A231" s="236" t="s">
        <v>667</v>
      </c>
      <c r="B231" s="237">
        <v>4976.0</v>
      </c>
      <c r="C231" s="236" t="s">
        <v>667</v>
      </c>
      <c r="D231" s="236" t="s">
        <v>480</v>
      </c>
      <c r="E231" s="236" t="s">
        <v>937</v>
      </c>
      <c r="F231" s="236" t="s">
        <v>976</v>
      </c>
      <c r="G231" s="237">
        <v>9.0</v>
      </c>
      <c r="H231" s="237">
        <v>9.0</v>
      </c>
      <c r="I231" s="237">
        <v>0.0</v>
      </c>
      <c r="J231" s="237">
        <v>10.0</v>
      </c>
      <c r="K231" s="237">
        <v>10.0</v>
      </c>
      <c r="L231" s="237">
        <v>0.0</v>
      </c>
      <c r="M231" s="237">
        <v>28.0</v>
      </c>
      <c r="N231" s="237">
        <v>31.0</v>
      </c>
    </row>
    <row r="232">
      <c r="A232" s="236" t="s">
        <v>682</v>
      </c>
      <c r="B232" s="237">
        <v>5555.0</v>
      </c>
      <c r="C232" s="236" t="s">
        <v>682</v>
      </c>
      <c r="D232" s="236" t="s">
        <v>480</v>
      </c>
      <c r="E232" s="236" t="s">
        <v>931</v>
      </c>
      <c r="F232" s="236" t="s">
        <v>993</v>
      </c>
      <c r="G232" s="237">
        <v>7.0</v>
      </c>
      <c r="H232" s="237">
        <v>7.0</v>
      </c>
      <c r="I232" s="237">
        <v>0.0</v>
      </c>
      <c r="J232" s="237">
        <v>7.0</v>
      </c>
      <c r="K232" s="237">
        <v>7.0</v>
      </c>
      <c r="L232" s="237">
        <v>0.0</v>
      </c>
      <c r="M232" s="237">
        <v>19.0</v>
      </c>
      <c r="N232" s="237">
        <v>19.0</v>
      </c>
    </row>
    <row r="233">
      <c r="A233" s="236" t="s">
        <v>874</v>
      </c>
      <c r="B233" s="237">
        <v>6680.0</v>
      </c>
      <c r="C233" s="236" t="s">
        <v>874</v>
      </c>
      <c r="D233" s="236" t="s">
        <v>492</v>
      </c>
      <c r="E233" s="236" t="s">
        <v>930</v>
      </c>
      <c r="F233" s="236" t="s">
        <v>993</v>
      </c>
      <c r="G233" s="237">
        <v>7.0</v>
      </c>
      <c r="H233" s="237">
        <v>6.0</v>
      </c>
      <c r="I233" s="237">
        <v>1.0</v>
      </c>
      <c r="J233" s="237">
        <v>7.0</v>
      </c>
      <c r="K233" s="237">
        <v>6.0</v>
      </c>
      <c r="L233" s="237">
        <v>1.0</v>
      </c>
      <c r="M233" s="237">
        <v>14.0</v>
      </c>
      <c r="N233" s="237">
        <v>15.0</v>
      </c>
    </row>
    <row r="234">
      <c r="A234" s="236" t="s">
        <v>1084</v>
      </c>
      <c r="B234" s="237">
        <v>2117.0</v>
      </c>
      <c r="C234" s="236" t="s">
        <v>1084</v>
      </c>
      <c r="D234" s="236" t="s">
        <v>492</v>
      </c>
      <c r="E234" s="236" t="s">
        <v>934</v>
      </c>
      <c r="F234" s="236" t="s">
        <v>983</v>
      </c>
      <c r="G234" s="237">
        <v>4.0</v>
      </c>
      <c r="H234" s="237">
        <v>4.0</v>
      </c>
      <c r="I234" s="237">
        <v>0.0</v>
      </c>
      <c r="J234" s="237">
        <v>4.0</v>
      </c>
      <c r="K234" s="237">
        <v>4.0</v>
      </c>
      <c r="L234" s="237">
        <v>0.0</v>
      </c>
      <c r="M234" s="237">
        <v>10.0</v>
      </c>
      <c r="N234" s="237">
        <v>10.0</v>
      </c>
    </row>
    <row r="235">
      <c r="A235" s="236" t="s">
        <v>108</v>
      </c>
      <c r="B235" s="237">
        <v>2097.0</v>
      </c>
      <c r="C235" s="236" t="s">
        <v>108</v>
      </c>
      <c r="D235" s="236" t="s">
        <v>507</v>
      </c>
      <c r="E235" s="236" t="s">
        <v>512</v>
      </c>
      <c r="F235" s="236" t="s">
        <v>1033</v>
      </c>
      <c r="G235" s="237">
        <v>31.0</v>
      </c>
      <c r="H235" s="237">
        <v>33.0</v>
      </c>
      <c r="I235" s="237">
        <v>-2.0</v>
      </c>
      <c r="J235" s="237">
        <v>31.0</v>
      </c>
      <c r="K235" s="237">
        <v>33.0</v>
      </c>
      <c r="L235" s="237">
        <v>-2.0</v>
      </c>
      <c r="M235" s="237">
        <v>364.0</v>
      </c>
      <c r="N235" s="237">
        <v>364.0</v>
      </c>
    </row>
    <row r="236">
      <c r="A236" s="236" t="s">
        <v>1085</v>
      </c>
      <c r="B236" s="237">
        <v>6898.0</v>
      </c>
      <c r="C236" s="236" t="s">
        <v>1085</v>
      </c>
      <c r="D236" s="236" t="s">
        <v>492</v>
      </c>
      <c r="E236" s="236" t="s">
        <v>930</v>
      </c>
      <c r="F236" s="236" t="s">
        <v>985</v>
      </c>
      <c r="G236" s="237">
        <v>6.0</v>
      </c>
      <c r="H236" s="237">
        <v>6.0</v>
      </c>
      <c r="I236" s="237">
        <v>0.0</v>
      </c>
      <c r="J236" s="237">
        <v>6.0</v>
      </c>
      <c r="K236" s="237">
        <v>7.0</v>
      </c>
      <c r="L236" s="237">
        <v>-1.0</v>
      </c>
      <c r="M236" s="237">
        <v>10.0</v>
      </c>
      <c r="N236" s="237">
        <v>12.0</v>
      </c>
    </row>
    <row r="237">
      <c r="A237" s="236" t="s">
        <v>799</v>
      </c>
      <c r="B237" s="237">
        <v>6766.0</v>
      </c>
      <c r="C237" s="236" t="s">
        <v>799</v>
      </c>
      <c r="D237" s="236" t="s">
        <v>480</v>
      </c>
      <c r="E237" s="236" t="s">
        <v>1022</v>
      </c>
      <c r="F237" s="236" t="s">
        <v>976</v>
      </c>
      <c r="G237" s="237">
        <v>7.0</v>
      </c>
      <c r="H237" s="237">
        <v>7.0</v>
      </c>
      <c r="I237" s="237">
        <v>0.0</v>
      </c>
      <c r="J237" s="237">
        <v>8.0</v>
      </c>
      <c r="K237" s="237">
        <v>8.0</v>
      </c>
      <c r="L237" s="237">
        <v>0.0</v>
      </c>
      <c r="M237" s="237">
        <v>14.0</v>
      </c>
      <c r="N237" s="237">
        <v>17.0</v>
      </c>
    </row>
    <row r="238">
      <c r="A238" s="236" t="s">
        <v>1086</v>
      </c>
      <c r="B238" s="237">
        <v>6893.0</v>
      </c>
      <c r="C238" s="236" t="s">
        <v>1086</v>
      </c>
      <c r="D238" s="236" t="s">
        <v>480</v>
      </c>
      <c r="E238" s="236" t="s">
        <v>481</v>
      </c>
      <c r="F238" s="236" t="s">
        <v>974</v>
      </c>
      <c r="G238" s="237">
        <v>6.0</v>
      </c>
      <c r="H238" s="237">
        <v>5.0</v>
      </c>
      <c r="I238" s="237">
        <v>1.0</v>
      </c>
      <c r="J238" s="237">
        <v>6.0</v>
      </c>
      <c r="K238" s="237">
        <v>5.0</v>
      </c>
      <c r="L238" s="237">
        <v>1.0</v>
      </c>
      <c r="M238" s="237">
        <v>15.0</v>
      </c>
      <c r="N238" s="237">
        <v>15.0</v>
      </c>
    </row>
    <row r="239">
      <c r="A239" s="236" t="s">
        <v>110</v>
      </c>
      <c r="B239" s="237">
        <v>7199.0</v>
      </c>
      <c r="C239" s="236" t="s">
        <v>110</v>
      </c>
      <c r="D239" s="236" t="s">
        <v>507</v>
      </c>
      <c r="E239" s="236" t="s">
        <v>507</v>
      </c>
      <c r="F239" s="236" t="s">
        <v>975</v>
      </c>
      <c r="G239" s="237">
        <v>6.0</v>
      </c>
      <c r="H239" s="237">
        <v>6.0</v>
      </c>
      <c r="I239" s="237">
        <v>0.0</v>
      </c>
      <c r="J239" s="237">
        <v>6.0</v>
      </c>
      <c r="K239" s="237">
        <v>6.0</v>
      </c>
      <c r="L239" s="237">
        <v>0.0</v>
      </c>
      <c r="M239" s="237">
        <v>14.0</v>
      </c>
      <c r="N239" s="237">
        <v>14.0</v>
      </c>
    </row>
    <row r="240">
      <c r="A240" s="236" t="s">
        <v>386</v>
      </c>
      <c r="B240" s="237">
        <v>2640.0</v>
      </c>
      <c r="C240" s="236" t="s">
        <v>386</v>
      </c>
      <c r="D240" s="236" t="s">
        <v>480</v>
      </c>
      <c r="E240" s="236" t="s">
        <v>979</v>
      </c>
      <c r="F240" s="236" t="s">
        <v>980</v>
      </c>
      <c r="G240" s="237">
        <v>6.0</v>
      </c>
      <c r="H240" s="237">
        <v>7.0</v>
      </c>
      <c r="I240" s="237">
        <v>-1.0</v>
      </c>
      <c r="J240" s="237">
        <v>6.0</v>
      </c>
      <c r="K240" s="237">
        <v>7.0</v>
      </c>
      <c r="L240" s="237">
        <v>-1.0</v>
      </c>
      <c r="M240" s="237">
        <v>15.0</v>
      </c>
      <c r="N240" s="237">
        <v>18.0</v>
      </c>
    </row>
    <row r="241">
      <c r="A241" s="236" t="s">
        <v>259</v>
      </c>
      <c r="B241" s="237">
        <v>6717.0</v>
      </c>
      <c r="C241" s="236" t="s">
        <v>259</v>
      </c>
      <c r="D241" s="236" t="s">
        <v>492</v>
      </c>
      <c r="E241" s="236" t="s">
        <v>930</v>
      </c>
      <c r="F241" s="236" t="s">
        <v>1005</v>
      </c>
      <c r="G241" s="237">
        <v>5.0</v>
      </c>
      <c r="H241" s="237">
        <v>6.0</v>
      </c>
      <c r="I241" s="237">
        <v>-1.0</v>
      </c>
      <c r="J241" s="237">
        <v>6.0</v>
      </c>
      <c r="K241" s="237">
        <v>7.0</v>
      </c>
      <c r="L241" s="237">
        <v>-1.0</v>
      </c>
      <c r="M241" s="237">
        <v>12.0</v>
      </c>
      <c r="N241" s="237">
        <v>15.0</v>
      </c>
    </row>
    <row r="242">
      <c r="A242" s="236" t="s">
        <v>1087</v>
      </c>
      <c r="B242" s="237">
        <v>5589.0</v>
      </c>
      <c r="C242" s="236" t="s">
        <v>1087</v>
      </c>
      <c r="D242" s="236" t="s">
        <v>492</v>
      </c>
      <c r="E242" s="236" t="s">
        <v>930</v>
      </c>
      <c r="F242" s="236" t="s">
        <v>988</v>
      </c>
      <c r="G242" s="237">
        <v>14.0</v>
      </c>
      <c r="H242" s="237">
        <v>14.0</v>
      </c>
      <c r="I242" s="237">
        <v>0.0</v>
      </c>
      <c r="J242" s="237">
        <v>15.0</v>
      </c>
      <c r="K242" s="237">
        <v>15.0</v>
      </c>
      <c r="L242" s="237">
        <v>0.0</v>
      </c>
      <c r="M242" s="237">
        <v>41.0</v>
      </c>
      <c r="N242" s="237">
        <v>46.0</v>
      </c>
    </row>
    <row r="243">
      <c r="A243" s="236" t="s">
        <v>305</v>
      </c>
      <c r="B243" s="237">
        <v>5685.0</v>
      </c>
      <c r="C243" s="236" t="s">
        <v>305</v>
      </c>
      <c r="D243" s="236" t="s">
        <v>492</v>
      </c>
      <c r="E243" s="236" t="s">
        <v>934</v>
      </c>
      <c r="F243" s="236" t="s">
        <v>976</v>
      </c>
      <c r="G243" s="237">
        <v>14.0</v>
      </c>
      <c r="H243" s="237">
        <v>14.0</v>
      </c>
      <c r="I243" s="237">
        <v>0.0</v>
      </c>
      <c r="J243" s="237">
        <v>14.0</v>
      </c>
      <c r="K243" s="237">
        <v>14.0</v>
      </c>
      <c r="L243" s="237">
        <v>0.0</v>
      </c>
      <c r="M243" s="237">
        <v>35.0</v>
      </c>
      <c r="N243" s="237">
        <v>35.0</v>
      </c>
    </row>
    <row r="244">
      <c r="A244" s="236" t="s">
        <v>783</v>
      </c>
      <c r="B244" s="237">
        <v>5578.0</v>
      </c>
      <c r="C244" s="236" t="s">
        <v>783</v>
      </c>
      <c r="D244" s="236" t="s">
        <v>480</v>
      </c>
      <c r="E244" s="236" t="s">
        <v>937</v>
      </c>
      <c r="F244" s="236" t="s">
        <v>980</v>
      </c>
      <c r="G244" s="237">
        <v>8.0</v>
      </c>
      <c r="H244" s="237">
        <v>9.0</v>
      </c>
      <c r="I244" s="237">
        <v>-1.0</v>
      </c>
      <c r="J244" s="237">
        <v>8.0</v>
      </c>
      <c r="K244" s="237">
        <v>9.0</v>
      </c>
      <c r="L244" s="237">
        <v>-1.0</v>
      </c>
      <c r="M244" s="237">
        <v>22.0</v>
      </c>
      <c r="N244" s="237">
        <v>24.0</v>
      </c>
    </row>
    <row r="245">
      <c r="A245" s="236" t="s">
        <v>1088</v>
      </c>
      <c r="B245" s="237">
        <v>4711.0</v>
      </c>
      <c r="C245" s="236" t="s">
        <v>1088</v>
      </c>
      <c r="D245" s="236" t="s">
        <v>492</v>
      </c>
      <c r="E245" s="236" t="s">
        <v>1089</v>
      </c>
      <c r="F245" s="236" t="s">
        <v>976</v>
      </c>
      <c r="G245" s="237">
        <v>5.0</v>
      </c>
      <c r="H245" s="237">
        <v>4.0</v>
      </c>
      <c r="I245" s="237">
        <v>1.0</v>
      </c>
      <c r="J245" s="237">
        <v>6.0</v>
      </c>
      <c r="K245" s="237">
        <v>5.0</v>
      </c>
      <c r="L245" s="237">
        <v>1.0</v>
      </c>
      <c r="M245" s="237">
        <v>7.0</v>
      </c>
      <c r="N245" s="237">
        <v>8.0</v>
      </c>
    </row>
    <row r="246">
      <c r="A246" s="236" t="s">
        <v>1090</v>
      </c>
      <c r="B246" s="237">
        <v>7238.0</v>
      </c>
      <c r="C246" s="236" t="s">
        <v>1090</v>
      </c>
      <c r="D246" s="236" t="s">
        <v>480</v>
      </c>
      <c r="E246" s="236" t="s">
        <v>481</v>
      </c>
      <c r="F246" s="236" t="s">
        <v>1033</v>
      </c>
      <c r="G246" s="237">
        <v>1.0</v>
      </c>
      <c r="H246" s="237">
        <v>1.0</v>
      </c>
      <c r="I246" s="237">
        <v>0.0</v>
      </c>
      <c r="J246" s="237">
        <v>1.0</v>
      </c>
      <c r="K246" s="237">
        <v>1.0</v>
      </c>
      <c r="L246" s="237">
        <v>0.0</v>
      </c>
      <c r="M246" s="237">
        <v>1.0</v>
      </c>
      <c r="N246" s="237">
        <v>1.0</v>
      </c>
    </row>
    <row r="247">
      <c r="A247" s="236" t="s">
        <v>1091</v>
      </c>
      <c r="B247" s="237">
        <v>7136.0</v>
      </c>
      <c r="C247" s="236" t="s">
        <v>1091</v>
      </c>
      <c r="D247" s="236" t="s">
        <v>480</v>
      </c>
      <c r="E247" s="236" t="s">
        <v>937</v>
      </c>
      <c r="F247" s="236" t="s">
        <v>998</v>
      </c>
      <c r="G247" s="237">
        <v>4.0</v>
      </c>
      <c r="H247" s="237">
        <v>4.0</v>
      </c>
      <c r="I247" s="237">
        <v>0.0</v>
      </c>
      <c r="J247" s="237">
        <v>5.0</v>
      </c>
      <c r="K247" s="237">
        <v>5.0</v>
      </c>
      <c r="L247" s="237">
        <v>0.0</v>
      </c>
      <c r="M247" s="237">
        <v>10.0</v>
      </c>
      <c r="N247" s="237">
        <v>12.0</v>
      </c>
    </row>
    <row r="248">
      <c r="A248" s="236" t="s">
        <v>1092</v>
      </c>
      <c r="B248" s="237">
        <v>6485.0</v>
      </c>
      <c r="C248" s="236" t="s">
        <v>1092</v>
      </c>
      <c r="D248" s="236" t="s">
        <v>480</v>
      </c>
      <c r="E248" s="236" t="s">
        <v>937</v>
      </c>
      <c r="F248" s="236" t="s">
        <v>993</v>
      </c>
      <c r="G248" s="237">
        <v>7.0</v>
      </c>
      <c r="H248" s="237">
        <v>5.0</v>
      </c>
      <c r="I248" s="237">
        <v>2.0</v>
      </c>
      <c r="J248" s="237">
        <v>7.0</v>
      </c>
      <c r="K248" s="237">
        <v>5.0</v>
      </c>
      <c r="L248" s="237">
        <v>2.0</v>
      </c>
      <c r="M248" s="237">
        <v>12.0</v>
      </c>
      <c r="N248" s="237">
        <v>13.0</v>
      </c>
    </row>
    <row r="249">
      <c r="A249" s="236" t="s">
        <v>341</v>
      </c>
      <c r="B249" s="237">
        <v>6435.0</v>
      </c>
      <c r="C249" s="236" t="s">
        <v>341</v>
      </c>
      <c r="D249" s="236" t="s">
        <v>507</v>
      </c>
      <c r="E249" s="236" t="s">
        <v>512</v>
      </c>
      <c r="F249" s="236" t="s">
        <v>980</v>
      </c>
      <c r="G249" s="237">
        <v>20.0</v>
      </c>
      <c r="H249" s="237">
        <v>20.0</v>
      </c>
      <c r="I249" s="237">
        <v>0.0</v>
      </c>
      <c r="J249" s="237">
        <v>20.0</v>
      </c>
      <c r="K249" s="237">
        <v>20.0</v>
      </c>
      <c r="L249" s="237">
        <v>0.0</v>
      </c>
      <c r="M249" s="237">
        <v>148.0</v>
      </c>
      <c r="N249" s="237">
        <v>148.0</v>
      </c>
    </row>
    <row r="250">
      <c r="A250" s="236" t="s">
        <v>1093</v>
      </c>
      <c r="B250" s="237">
        <v>7128.0</v>
      </c>
      <c r="C250" s="236" t="s">
        <v>1093</v>
      </c>
      <c r="D250" s="236" t="s">
        <v>507</v>
      </c>
      <c r="E250" s="236" t="s">
        <v>935</v>
      </c>
      <c r="F250" s="236" t="s">
        <v>974</v>
      </c>
      <c r="G250" s="237">
        <v>13.0</v>
      </c>
      <c r="H250" s="237">
        <v>14.0</v>
      </c>
      <c r="I250" s="237">
        <v>-1.0</v>
      </c>
      <c r="J250" s="237">
        <v>14.0</v>
      </c>
      <c r="K250" s="237">
        <v>15.0</v>
      </c>
      <c r="L250" s="237">
        <v>-1.0</v>
      </c>
      <c r="M250" s="237">
        <v>33.0</v>
      </c>
      <c r="N250" s="237">
        <v>38.0</v>
      </c>
    </row>
    <row r="251">
      <c r="A251" s="236" t="s">
        <v>1094</v>
      </c>
      <c r="B251" s="237">
        <v>6351.0</v>
      </c>
      <c r="C251" s="236" t="s">
        <v>1094</v>
      </c>
      <c r="D251" s="236" t="s">
        <v>480</v>
      </c>
      <c r="E251" s="236" t="s">
        <v>944</v>
      </c>
      <c r="F251" s="236" t="s">
        <v>1033</v>
      </c>
      <c r="G251" s="237">
        <v>4.0</v>
      </c>
      <c r="H251" s="237">
        <v>4.0</v>
      </c>
      <c r="I251" s="237">
        <v>0.0</v>
      </c>
      <c r="J251" s="237">
        <v>5.0</v>
      </c>
      <c r="K251" s="237">
        <v>5.0</v>
      </c>
      <c r="L251" s="237">
        <v>0.0</v>
      </c>
      <c r="M251" s="237">
        <v>8.0</v>
      </c>
      <c r="N251" s="237">
        <v>10.0</v>
      </c>
    </row>
    <row r="252">
      <c r="A252" s="236" t="s">
        <v>1095</v>
      </c>
      <c r="B252" s="237">
        <v>7120.0</v>
      </c>
      <c r="C252" s="236" t="s">
        <v>1095</v>
      </c>
      <c r="D252" s="236" t="s">
        <v>507</v>
      </c>
      <c r="E252" s="236" t="s">
        <v>507</v>
      </c>
      <c r="F252" s="236" t="s">
        <v>987</v>
      </c>
      <c r="G252" s="237">
        <v>18.0</v>
      </c>
      <c r="H252" s="237">
        <v>19.0</v>
      </c>
      <c r="I252" s="237">
        <v>-1.0</v>
      </c>
      <c r="J252" s="237">
        <v>19.0</v>
      </c>
      <c r="K252" s="237">
        <v>20.0</v>
      </c>
      <c r="L252" s="237">
        <v>-1.0</v>
      </c>
      <c r="M252" s="237">
        <v>47.0</v>
      </c>
      <c r="N252" s="237">
        <v>47.0</v>
      </c>
    </row>
    <row r="253">
      <c r="A253" s="236" t="s">
        <v>1096</v>
      </c>
      <c r="B253" s="237">
        <v>6060.0</v>
      </c>
      <c r="C253" s="236" t="s">
        <v>1096</v>
      </c>
      <c r="D253" s="236" t="s">
        <v>507</v>
      </c>
      <c r="E253" s="236" t="s">
        <v>507</v>
      </c>
      <c r="F253" s="236" t="s">
        <v>1005</v>
      </c>
      <c r="G253" s="237">
        <v>14.0</v>
      </c>
      <c r="H253" s="237">
        <v>15.0</v>
      </c>
      <c r="I253" s="237">
        <v>-1.0</v>
      </c>
      <c r="J253" s="237">
        <v>14.0</v>
      </c>
      <c r="K253" s="237">
        <v>15.0</v>
      </c>
      <c r="L253" s="237">
        <v>-1.0</v>
      </c>
      <c r="M253" s="237">
        <v>47.0</v>
      </c>
      <c r="N253" s="237">
        <v>47.0</v>
      </c>
    </row>
    <row r="254">
      <c r="A254" s="236" t="s">
        <v>838</v>
      </c>
      <c r="B254" s="237">
        <v>4385.0</v>
      </c>
      <c r="C254" s="236" t="s">
        <v>838</v>
      </c>
      <c r="D254" s="236" t="s">
        <v>480</v>
      </c>
      <c r="E254" s="236" t="s">
        <v>938</v>
      </c>
      <c r="F254" s="236" t="s">
        <v>972</v>
      </c>
      <c r="G254" s="237">
        <v>6.0</v>
      </c>
      <c r="H254" s="237">
        <v>7.0</v>
      </c>
      <c r="I254" s="237">
        <v>-1.0</v>
      </c>
      <c r="J254" s="237">
        <v>6.0</v>
      </c>
      <c r="K254" s="237">
        <v>7.0</v>
      </c>
      <c r="L254" s="237">
        <v>-1.0</v>
      </c>
      <c r="M254" s="237">
        <v>19.0</v>
      </c>
      <c r="N254" s="237">
        <v>19.0</v>
      </c>
    </row>
    <row r="255">
      <c r="A255" s="236" t="s">
        <v>788</v>
      </c>
      <c r="B255" s="237">
        <v>2263.0</v>
      </c>
      <c r="C255" s="236" t="s">
        <v>788</v>
      </c>
      <c r="D255" s="236" t="s">
        <v>480</v>
      </c>
      <c r="E255" s="236" t="s">
        <v>938</v>
      </c>
      <c r="F255" s="236" t="s">
        <v>1000</v>
      </c>
      <c r="G255" s="237">
        <v>4.0</v>
      </c>
      <c r="H255" s="237">
        <v>4.0</v>
      </c>
      <c r="I255" s="237">
        <v>0.0</v>
      </c>
      <c r="J255" s="237">
        <v>4.0</v>
      </c>
      <c r="K255" s="237">
        <v>4.0</v>
      </c>
      <c r="L255" s="237">
        <v>0.0</v>
      </c>
      <c r="M255" s="237">
        <v>11.0</v>
      </c>
      <c r="N255" s="237">
        <v>11.0</v>
      </c>
    </row>
    <row r="256">
      <c r="A256" s="236" t="s">
        <v>765</v>
      </c>
      <c r="B256" s="237">
        <v>188.0</v>
      </c>
      <c r="C256" s="236" t="s">
        <v>765</v>
      </c>
      <c r="D256" s="236" t="s">
        <v>477</v>
      </c>
      <c r="E256" s="236" t="s">
        <v>478</v>
      </c>
      <c r="F256" s="236" t="s">
        <v>1026</v>
      </c>
      <c r="G256" s="237">
        <v>9.0</v>
      </c>
      <c r="H256" s="237">
        <v>8.0</v>
      </c>
      <c r="I256" s="237">
        <v>1.0</v>
      </c>
      <c r="J256" s="237">
        <v>9.0</v>
      </c>
      <c r="K256" s="237">
        <v>8.0</v>
      </c>
      <c r="L256" s="237">
        <v>1.0</v>
      </c>
      <c r="M256" s="237">
        <v>30.0</v>
      </c>
      <c r="N256" s="237">
        <v>30.0</v>
      </c>
    </row>
    <row r="257">
      <c r="A257" s="236" t="s">
        <v>306</v>
      </c>
      <c r="B257" s="237">
        <v>4510.0</v>
      </c>
      <c r="C257" s="236" t="s">
        <v>306</v>
      </c>
      <c r="D257" s="236" t="s">
        <v>507</v>
      </c>
      <c r="E257" s="236" t="s">
        <v>507</v>
      </c>
      <c r="F257" s="236" t="s">
        <v>991</v>
      </c>
      <c r="G257" s="237">
        <v>23.0</v>
      </c>
      <c r="H257" s="237">
        <v>24.0</v>
      </c>
      <c r="I257" s="237">
        <v>-1.0</v>
      </c>
      <c r="J257" s="237">
        <v>23.0</v>
      </c>
      <c r="K257" s="237">
        <v>24.0</v>
      </c>
      <c r="L257" s="237">
        <v>-1.0</v>
      </c>
      <c r="M257" s="237">
        <v>210.0</v>
      </c>
      <c r="N257" s="237">
        <v>210.0</v>
      </c>
    </row>
    <row r="258">
      <c r="A258" s="236" t="s">
        <v>1097</v>
      </c>
      <c r="B258" s="237">
        <v>2334.0</v>
      </c>
      <c r="C258" s="236" t="s">
        <v>1097</v>
      </c>
      <c r="D258" s="236" t="s">
        <v>492</v>
      </c>
      <c r="E258" s="236" t="s">
        <v>563</v>
      </c>
      <c r="F258" s="236" t="s">
        <v>977</v>
      </c>
      <c r="G258" s="237">
        <v>2.0</v>
      </c>
      <c r="H258" s="237">
        <v>2.0</v>
      </c>
      <c r="I258" s="237">
        <v>0.0</v>
      </c>
      <c r="J258" s="237">
        <v>2.0</v>
      </c>
      <c r="K258" s="237">
        <v>2.0</v>
      </c>
      <c r="L258" s="237">
        <v>0.0</v>
      </c>
      <c r="M258" s="237">
        <v>3.0</v>
      </c>
      <c r="N258" s="237">
        <v>3.0</v>
      </c>
    </row>
    <row r="259">
      <c r="A259" s="236" t="s">
        <v>1098</v>
      </c>
      <c r="B259" s="237">
        <v>158.0</v>
      </c>
      <c r="C259" s="236" t="s">
        <v>1098</v>
      </c>
      <c r="D259" s="236" t="s">
        <v>477</v>
      </c>
      <c r="E259" s="236" t="s">
        <v>478</v>
      </c>
      <c r="F259" s="236" t="s">
        <v>1033</v>
      </c>
      <c r="G259" s="237">
        <v>1.0</v>
      </c>
      <c r="H259" s="237">
        <v>1.0</v>
      </c>
      <c r="I259" s="237">
        <v>0.0</v>
      </c>
      <c r="J259" s="237">
        <v>1.0</v>
      </c>
      <c r="K259" s="237">
        <v>1.0</v>
      </c>
      <c r="L259" s="237">
        <v>0.0</v>
      </c>
      <c r="M259" s="237">
        <v>1.0</v>
      </c>
      <c r="N259" s="237">
        <v>1.0</v>
      </c>
    </row>
    <row r="260">
      <c r="A260" s="236" t="s">
        <v>342</v>
      </c>
      <c r="B260" s="237">
        <v>6246.0</v>
      </c>
      <c r="C260" s="236" t="s">
        <v>342</v>
      </c>
      <c r="D260" s="236" t="s">
        <v>492</v>
      </c>
      <c r="E260" s="236" t="s">
        <v>930</v>
      </c>
      <c r="F260" s="236" t="s">
        <v>1005</v>
      </c>
      <c r="G260" s="237">
        <v>4.0</v>
      </c>
      <c r="H260" s="237">
        <v>4.0</v>
      </c>
      <c r="I260" s="237">
        <v>0.0</v>
      </c>
      <c r="J260" s="237">
        <v>4.0</v>
      </c>
      <c r="K260" s="237">
        <v>4.0</v>
      </c>
      <c r="L260" s="237">
        <v>0.0</v>
      </c>
      <c r="M260" s="237">
        <v>8.0</v>
      </c>
      <c r="N260" s="237">
        <v>11.0</v>
      </c>
    </row>
    <row r="261">
      <c r="A261" s="236" t="s">
        <v>234</v>
      </c>
      <c r="B261" s="237">
        <v>7165.0</v>
      </c>
      <c r="C261" s="236" t="s">
        <v>234</v>
      </c>
      <c r="D261" s="236" t="s">
        <v>492</v>
      </c>
      <c r="E261" s="236" t="s">
        <v>930</v>
      </c>
      <c r="F261" s="236" t="s">
        <v>975</v>
      </c>
      <c r="G261" s="237">
        <v>1.0</v>
      </c>
      <c r="H261" s="237">
        <v>1.0</v>
      </c>
      <c r="I261" s="237">
        <v>0.0</v>
      </c>
      <c r="J261" s="237">
        <v>1.0</v>
      </c>
      <c r="K261" s="237">
        <v>1.0</v>
      </c>
      <c r="L261" s="237">
        <v>0.0</v>
      </c>
      <c r="M261" s="237">
        <v>6.0</v>
      </c>
      <c r="N261" s="237">
        <v>8.0</v>
      </c>
    </row>
    <row r="262">
      <c r="A262" s="236" t="s">
        <v>609</v>
      </c>
      <c r="B262" s="237">
        <v>4287.0</v>
      </c>
      <c r="C262" s="236" t="s">
        <v>609</v>
      </c>
      <c r="D262" s="236" t="s">
        <v>492</v>
      </c>
      <c r="E262" s="236" t="s">
        <v>930</v>
      </c>
      <c r="F262" s="236" t="s">
        <v>987</v>
      </c>
      <c r="G262" s="237">
        <v>9.0</v>
      </c>
      <c r="H262" s="237">
        <v>9.0</v>
      </c>
      <c r="I262" s="237">
        <v>0.0</v>
      </c>
      <c r="J262" s="237">
        <v>10.0</v>
      </c>
      <c r="K262" s="237">
        <v>10.0</v>
      </c>
      <c r="L262" s="237">
        <v>0.0</v>
      </c>
      <c r="M262" s="237">
        <v>24.0</v>
      </c>
      <c r="N262" s="237">
        <v>29.0</v>
      </c>
    </row>
    <row r="263">
      <c r="A263" s="236" t="s">
        <v>789</v>
      </c>
      <c r="B263" s="237">
        <v>827.0</v>
      </c>
      <c r="C263" s="236" t="s">
        <v>789</v>
      </c>
      <c r="D263" s="236" t="s">
        <v>492</v>
      </c>
      <c r="E263" s="236" t="s">
        <v>930</v>
      </c>
      <c r="F263" s="236" t="s">
        <v>976</v>
      </c>
      <c r="G263" s="237">
        <v>13.0</v>
      </c>
      <c r="H263" s="237">
        <v>12.0</v>
      </c>
      <c r="I263" s="237">
        <v>1.0</v>
      </c>
      <c r="J263" s="237">
        <v>14.0</v>
      </c>
      <c r="K263" s="237">
        <v>13.0</v>
      </c>
      <c r="L263" s="237">
        <v>1.0</v>
      </c>
      <c r="M263" s="237">
        <v>50.0</v>
      </c>
      <c r="N263" s="237">
        <v>55.0</v>
      </c>
    </row>
    <row r="264">
      <c r="A264" s="236" t="s">
        <v>444</v>
      </c>
      <c r="B264" s="237">
        <v>4199.0</v>
      </c>
      <c r="C264" s="236" t="s">
        <v>444</v>
      </c>
      <c r="D264" s="236" t="s">
        <v>492</v>
      </c>
      <c r="E264" s="236" t="s">
        <v>934</v>
      </c>
      <c r="F264" s="236" t="s">
        <v>991</v>
      </c>
      <c r="G264" s="237">
        <v>9.0</v>
      </c>
      <c r="H264" s="237">
        <v>8.0</v>
      </c>
      <c r="I264" s="237">
        <v>1.0</v>
      </c>
      <c r="J264" s="237">
        <v>9.0</v>
      </c>
      <c r="K264" s="237">
        <v>8.0</v>
      </c>
      <c r="L264" s="237">
        <v>1.0</v>
      </c>
      <c r="M264" s="237">
        <v>21.0</v>
      </c>
      <c r="N264" s="237">
        <v>21.0</v>
      </c>
    </row>
    <row r="265">
      <c r="A265" s="236" t="s">
        <v>753</v>
      </c>
      <c r="B265" s="237">
        <v>4730.0</v>
      </c>
      <c r="C265" s="236" t="s">
        <v>753</v>
      </c>
      <c r="D265" s="236" t="s">
        <v>507</v>
      </c>
      <c r="E265" s="236" t="s">
        <v>507</v>
      </c>
      <c r="F265" s="236" t="s">
        <v>980</v>
      </c>
      <c r="G265" s="237">
        <v>28.0</v>
      </c>
      <c r="H265" s="237">
        <v>29.0</v>
      </c>
      <c r="I265" s="237">
        <v>-1.0</v>
      </c>
      <c r="J265" s="237">
        <v>29.0</v>
      </c>
      <c r="K265" s="237">
        <v>30.0</v>
      </c>
      <c r="L265" s="237">
        <v>-1.0</v>
      </c>
      <c r="M265" s="237">
        <v>123.0</v>
      </c>
      <c r="N265" s="237">
        <v>123.0</v>
      </c>
    </row>
    <row r="266">
      <c r="A266" s="236" t="s">
        <v>144</v>
      </c>
      <c r="B266" s="237">
        <v>7254.0</v>
      </c>
      <c r="C266" s="236" t="s">
        <v>144</v>
      </c>
      <c r="D266" s="236" t="s">
        <v>492</v>
      </c>
      <c r="E266" s="236" t="s">
        <v>543</v>
      </c>
      <c r="F266" s="236" t="s">
        <v>977</v>
      </c>
      <c r="G266" s="237">
        <v>7.0</v>
      </c>
      <c r="H266" s="237">
        <v>7.0</v>
      </c>
      <c r="I266" s="237">
        <v>0.0</v>
      </c>
      <c r="J266" s="237">
        <v>6.0</v>
      </c>
      <c r="K266" s="237">
        <v>6.0</v>
      </c>
      <c r="L266" s="237">
        <v>0.0</v>
      </c>
      <c r="M266" s="237">
        <v>15.0</v>
      </c>
      <c r="N266" s="237">
        <v>13.0</v>
      </c>
    </row>
    <row r="267">
      <c r="A267" s="236" t="s">
        <v>1099</v>
      </c>
      <c r="B267" s="237">
        <v>6965.0</v>
      </c>
      <c r="C267" s="236" t="s">
        <v>1099</v>
      </c>
      <c r="D267" s="236" t="s">
        <v>480</v>
      </c>
      <c r="E267" s="236" t="s">
        <v>931</v>
      </c>
      <c r="F267" s="236" t="s">
        <v>985</v>
      </c>
      <c r="G267" s="237">
        <v>3.0</v>
      </c>
      <c r="H267" s="237">
        <v>2.0</v>
      </c>
      <c r="I267" s="237">
        <v>1.0</v>
      </c>
      <c r="J267" s="237">
        <v>3.0</v>
      </c>
      <c r="K267" s="237">
        <v>2.0</v>
      </c>
      <c r="L267" s="237">
        <v>1.0</v>
      </c>
      <c r="M267" s="237">
        <v>11.0</v>
      </c>
      <c r="N267" s="237">
        <v>11.0</v>
      </c>
    </row>
    <row r="268">
      <c r="A268" s="236" t="s">
        <v>64</v>
      </c>
      <c r="B268" s="237">
        <v>5850.0</v>
      </c>
      <c r="C268" s="236" t="s">
        <v>64</v>
      </c>
      <c r="D268" s="236" t="s">
        <v>492</v>
      </c>
      <c r="E268" s="236" t="s">
        <v>492</v>
      </c>
      <c r="F268" s="236" t="s">
        <v>993</v>
      </c>
      <c r="G268" s="237">
        <v>9.0</v>
      </c>
      <c r="H268" s="237">
        <v>9.0</v>
      </c>
      <c r="I268" s="237">
        <v>0.0</v>
      </c>
      <c r="J268" s="237">
        <v>9.0</v>
      </c>
      <c r="K268" s="237">
        <v>9.0</v>
      </c>
      <c r="L268" s="237">
        <v>0.0</v>
      </c>
      <c r="M268" s="237">
        <v>25.0</v>
      </c>
      <c r="N268" s="237">
        <v>25.0</v>
      </c>
    </row>
    <row r="269">
      <c r="A269" s="236" t="s">
        <v>66</v>
      </c>
      <c r="B269" s="237">
        <v>6215.0</v>
      </c>
      <c r="C269" s="236" t="s">
        <v>66</v>
      </c>
      <c r="D269" s="236" t="s">
        <v>507</v>
      </c>
      <c r="E269" s="236" t="s">
        <v>512</v>
      </c>
      <c r="F269" s="236" t="s">
        <v>987</v>
      </c>
      <c r="G269" s="237">
        <v>14.0</v>
      </c>
      <c r="H269" s="237">
        <v>15.0</v>
      </c>
      <c r="I269" s="237">
        <v>-1.0</v>
      </c>
      <c r="J269" s="237">
        <v>13.0</v>
      </c>
      <c r="K269" s="237">
        <v>14.0</v>
      </c>
      <c r="L269" s="237">
        <v>-1.0</v>
      </c>
      <c r="M269" s="237">
        <v>72.0</v>
      </c>
      <c r="N269" s="237">
        <v>72.0</v>
      </c>
    </row>
    <row r="270">
      <c r="A270" s="236" t="s">
        <v>1100</v>
      </c>
      <c r="B270" s="237">
        <v>6042.0</v>
      </c>
      <c r="C270" s="236" t="s">
        <v>1100</v>
      </c>
      <c r="D270" s="236" t="s">
        <v>480</v>
      </c>
      <c r="E270" s="236" t="s">
        <v>481</v>
      </c>
      <c r="F270" s="236" t="s">
        <v>1009</v>
      </c>
      <c r="G270" s="237">
        <v>8.0</v>
      </c>
      <c r="H270" s="237">
        <v>8.0</v>
      </c>
      <c r="I270" s="237">
        <v>0.0</v>
      </c>
      <c r="J270" s="237">
        <v>8.0</v>
      </c>
      <c r="K270" s="237">
        <v>8.0</v>
      </c>
      <c r="L270" s="237">
        <v>0.0</v>
      </c>
      <c r="M270" s="237">
        <v>21.0</v>
      </c>
      <c r="N270" s="237">
        <v>21.0</v>
      </c>
    </row>
    <row r="271">
      <c r="A271" s="236" t="s">
        <v>279</v>
      </c>
      <c r="B271" s="237">
        <v>5301.0</v>
      </c>
      <c r="C271" s="236" t="s">
        <v>279</v>
      </c>
      <c r="D271" s="236" t="s">
        <v>492</v>
      </c>
      <c r="E271" s="236" t="s">
        <v>1089</v>
      </c>
      <c r="F271" s="236" t="s">
        <v>973</v>
      </c>
      <c r="G271" s="237">
        <v>6.0</v>
      </c>
      <c r="H271" s="237">
        <v>7.0</v>
      </c>
      <c r="I271" s="237">
        <v>-1.0</v>
      </c>
      <c r="J271" s="237">
        <v>6.0</v>
      </c>
      <c r="K271" s="237">
        <v>7.0</v>
      </c>
      <c r="L271" s="237">
        <v>-1.0</v>
      </c>
      <c r="M271" s="237">
        <v>14.0</v>
      </c>
      <c r="N271" s="237">
        <v>15.0</v>
      </c>
    </row>
    <row r="272">
      <c r="A272" s="236" t="s">
        <v>685</v>
      </c>
      <c r="B272" s="237">
        <v>2531.0</v>
      </c>
      <c r="C272" s="236" t="s">
        <v>685</v>
      </c>
      <c r="D272" s="236" t="s">
        <v>507</v>
      </c>
      <c r="E272" s="236" t="s">
        <v>512</v>
      </c>
      <c r="F272" s="236" t="s">
        <v>987</v>
      </c>
      <c r="G272" s="237">
        <v>30.0</v>
      </c>
      <c r="H272" s="237">
        <v>31.0</v>
      </c>
      <c r="I272" s="237">
        <v>-1.0</v>
      </c>
      <c r="J272" s="237">
        <v>30.0</v>
      </c>
      <c r="K272" s="237">
        <v>31.0</v>
      </c>
      <c r="L272" s="237">
        <v>-1.0</v>
      </c>
      <c r="M272" s="237">
        <v>120.0</v>
      </c>
      <c r="N272" s="237">
        <v>120.0</v>
      </c>
    </row>
    <row r="273">
      <c r="A273" s="236" t="s">
        <v>668</v>
      </c>
      <c r="B273" s="237">
        <v>393.0</v>
      </c>
      <c r="C273" s="236" t="s">
        <v>668</v>
      </c>
      <c r="D273" s="236" t="s">
        <v>480</v>
      </c>
      <c r="E273" s="236" t="s">
        <v>481</v>
      </c>
      <c r="F273" s="236" t="s">
        <v>975</v>
      </c>
      <c r="G273" s="237">
        <v>9.0</v>
      </c>
      <c r="H273" s="237">
        <v>7.0</v>
      </c>
      <c r="I273" s="237">
        <v>2.0</v>
      </c>
      <c r="J273" s="237">
        <v>9.0</v>
      </c>
      <c r="K273" s="237">
        <v>7.0</v>
      </c>
      <c r="L273" s="237">
        <v>2.0</v>
      </c>
      <c r="M273" s="237">
        <v>18.0</v>
      </c>
      <c r="N273" s="237">
        <v>18.0</v>
      </c>
    </row>
    <row r="274">
      <c r="A274" s="236" t="s">
        <v>684</v>
      </c>
      <c r="B274" s="237">
        <v>5297.0</v>
      </c>
      <c r="C274" s="236" t="s">
        <v>684</v>
      </c>
      <c r="D274" s="236" t="s">
        <v>507</v>
      </c>
      <c r="E274" s="236" t="s">
        <v>507</v>
      </c>
      <c r="F274" s="236" t="s">
        <v>975</v>
      </c>
      <c r="G274" s="237">
        <v>12.0</v>
      </c>
      <c r="H274" s="237">
        <v>12.0</v>
      </c>
      <c r="I274" s="237">
        <v>0.0</v>
      </c>
      <c r="J274" s="237">
        <v>12.0</v>
      </c>
      <c r="K274" s="237">
        <v>12.0</v>
      </c>
      <c r="L274" s="237">
        <v>0.0</v>
      </c>
      <c r="M274" s="237">
        <v>18.0</v>
      </c>
      <c r="N274" s="237">
        <v>18.0</v>
      </c>
    </row>
    <row r="275">
      <c r="A275" s="236" t="s">
        <v>872</v>
      </c>
      <c r="B275" s="237">
        <v>2653.0</v>
      </c>
      <c r="C275" s="236" t="s">
        <v>872</v>
      </c>
      <c r="D275" s="236" t="s">
        <v>480</v>
      </c>
      <c r="E275" s="236" t="s">
        <v>931</v>
      </c>
      <c r="F275" s="236" t="s">
        <v>1009</v>
      </c>
      <c r="G275" s="237">
        <v>5.0</v>
      </c>
      <c r="H275" s="237">
        <v>5.0</v>
      </c>
      <c r="I275" s="237">
        <v>0.0</v>
      </c>
      <c r="J275" s="237">
        <v>5.0</v>
      </c>
      <c r="K275" s="237">
        <v>5.0</v>
      </c>
      <c r="L275" s="237">
        <v>0.0</v>
      </c>
      <c r="M275" s="237">
        <v>12.0</v>
      </c>
      <c r="N275" s="237">
        <v>12.0</v>
      </c>
    </row>
    <row r="276">
      <c r="A276" s="236" t="s">
        <v>261</v>
      </c>
      <c r="B276" s="237">
        <v>4312.0</v>
      </c>
      <c r="C276" s="236" t="s">
        <v>261</v>
      </c>
      <c r="D276" s="236" t="s">
        <v>477</v>
      </c>
      <c r="E276" s="236" t="s">
        <v>478</v>
      </c>
      <c r="F276" s="236" t="s">
        <v>991</v>
      </c>
      <c r="G276" s="237">
        <v>16.0</v>
      </c>
      <c r="H276" s="237">
        <v>16.0</v>
      </c>
      <c r="I276" s="237">
        <v>0.0</v>
      </c>
      <c r="J276" s="237">
        <v>16.0</v>
      </c>
      <c r="K276" s="237">
        <v>16.0</v>
      </c>
      <c r="L276" s="237">
        <v>0.0</v>
      </c>
      <c r="M276" s="237">
        <v>79.0</v>
      </c>
      <c r="N276" s="237">
        <v>79.0</v>
      </c>
    </row>
    <row r="277">
      <c r="A277" s="236" t="s">
        <v>645</v>
      </c>
      <c r="B277" s="237">
        <v>4896.0</v>
      </c>
      <c r="C277" s="236" t="s">
        <v>645</v>
      </c>
      <c r="D277" s="236" t="s">
        <v>492</v>
      </c>
      <c r="E277" s="236" t="s">
        <v>947</v>
      </c>
      <c r="F277" s="236" t="s">
        <v>980</v>
      </c>
      <c r="G277" s="237">
        <v>8.0</v>
      </c>
      <c r="H277" s="237">
        <v>9.0</v>
      </c>
      <c r="I277" s="237">
        <v>-1.0</v>
      </c>
      <c r="J277" s="237">
        <v>7.0</v>
      </c>
      <c r="K277" s="237">
        <v>8.0</v>
      </c>
      <c r="L277" s="237">
        <v>-1.0</v>
      </c>
      <c r="M277" s="237">
        <v>24.0</v>
      </c>
      <c r="N277" s="237">
        <v>24.0</v>
      </c>
    </row>
    <row r="278">
      <c r="A278" s="236" t="s">
        <v>1101</v>
      </c>
      <c r="B278" s="237">
        <v>5457.0</v>
      </c>
      <c r="C278" s="236" t="s">
        <v>1101</v>
      </c>
      <c r="D278" s="236" t="s">
        <v>492</v>
      </c>
      <c r="E278" s="236" t="s">
        <v>930</v>
      </c>
      <c r="F278" s="236" t="s">
        <v>998</v>
      </c>
      <c r="G278" s="237">
        <v>6.0</v>
      </c>
      <c r="H278" s="237">
        <v>6.0</v>
      </c>
      <c r="I278" s="237">
        <v>0.0</v>
      </c>
      <c r="J278" s="237">
        <v>6.0</v>
      </c>
      <c r="K278" s="237">
        <v>7.0</v>
      </c>
      <c r="L278" s="237">
        <v>-1.0</v>
      </c>
      <c r="M278" s="237">
        <v>6.0</v>
      </c>
      <c r="N278" s="237">
        <v>8.0</v>
      </c>
    </row>
    <row r="279">
      <c r="A279" s="236" t="s">
        <v>462</v>
      </c>
      <c r="B279" s="237">
        <v>4427.0</v>
      </c>
      <c r="C279" s="236" t="s">
        <v>462</v>
      </c>
      <c r="D279" s="236" t="s">
        <v>492</v>
      </c>
      <c r="E279" s="236" t="s">
        <v>934</v>
      </c>
      <c r="F279" s="236" t="s">
        <v>1026</v>
      </c>
      <c r="G279" s="237">
        <v>8.0</v>
      </c>
      <c r="H279" s="237">
        <v>8.0</v>
      </c>
      <c r="I279" s="237">
        <v>0.0</v>
      </c>
      <c r="J279" s="237">
        <v>8.0</v>
      </c>
      <c r="K279" s="237">
        <v>8.0</v>
      </c>
      <c r="L279" s="237">
        <v>0.0</v>
      </c>
      <c r="M279" s="237">
        <v>19.0</v>
      </c>
      <c r="N279" s="237">
        <v>19.0</v>
      </c>
    </row>
    <row r="280">
      <c r="A280" s="236" t="s">
        <v>70</v>
      </c>
      <c r="B280" s="237">
        <v>2296.0</v>
      </c>
      <c r="C280" s="236" t="s">
        <v>70</v>
      </c>
      <c r="D280" s="236" t="s">
        <v>480</v>
      </c>
      <c r="E280" s="236" t="s">
        <v>481</v>
      </c>
      <c r="F280" s="236" t="s">
        <v>988</v>
      </c>
      <c r="G280" s="237">
        <v>11.0</v>
      </c>
      <c r="H280" s="237">
        <v>11.0</v>
      </c>
      <c r="I280" s="237">
        <v>0.0</v>
      </c>
      <c r="J280" s="237">
        <v>11.0</v>
      </c>
      <c r="K280" s="237">
        <v>11.0</v>
      </c>
      <c r="L280" s="237">
        <v>0.0</v>
      </c>
      <c r="M280" s="237">
        <v>30.0</v>
      </c>
      <c r="N280" s="237">
        <v>30.0</v>
      </c>
    </row>
    <row r="281">
      <c r="A281" s="236" t="s">
        <v>814</v>
      </c>
      <c r="B281" s="237">
        <v>6482.0</v>
      </c>
      <c r="C281" s="236" t="s">
        <v>814</v>
      </c>
      <c r="D281" s="236" t="s">
        <v>477</v>
      </c>
      <c r="E281" s="236" t="s">
        <v>478</v>
      </c>
      <c r="F281" s="236" t="s">
        <v>1000</v>
      </c>
      <c r="G281" s="237">
        <v>3.0</v>
      </c>
      <c r="H281" s="237">
        <v>3.0</v>
      </c>
      <c r="I281" s="237">
        <v>0.0</v>
      </c>
      <c r="J281" s="237">
        <v>3.0</v>
      </c>
      <c r="K281" s="237">
        <v>3.0</v>
      </c>
      <c r="L281" s="237">
        <v>0.0</v>
      </c>
      <c r="M281" s="237">
        <v>3.0</v>
      </c>
      <c r="N281" s="237">
        <v>3.0</v>
      </c>
    </row>
    <row r="282">
      <c r="A282" s="236" t="s">
        <v>884</v>
      </c>
      <c r="B282" s="237">
        <v>1933.0</v>
      </c>
      <c r="C282" s="236" t="s">
        <v>884</v>
      </c>
      <c r="D282" s="236" t="s">
        <v>492</v>
      </c>
      <c r="E282" s="236" t="s">
        <v>930</v>
      </c>
      <c r="F282" s="236" t="s">
        <v>1033</v>
      </c>
      <c r="G282" s="237">
        <v>15.0</v>
      </c>
      <c r="H282" s="237">
        <v>14.0</v>
      </c>
      <c r="I282" s="237">
        <v>1.0</v>
      </c>
      <c r="J282" s="237">
        <v>15.0</v>
      </c>
      <c r="K282" s="237">
        <v>14.0</v>
      </c>
      <c r="L282" s="237">
        <v>1.0</v>
      </c>
      <c r="M282" s="237">
        <v>30.0</v>
      </c>
      <c r="N282" s="237">
        <v>35.0</v>
      </c>
    </row>
    <row r="283">
      <c r="A283" s="236" t="s">
        <v>1102</v>
      </c>
      <c r="B283" s="237">
        <v>6660.0</v>
      </c>
      <c r="C283" s="236" t="s">
        <v>1102</v>
      </c>
      <c r="D283" s="236" t="s">
        <v>480</v>
      </c>
      <c r="E283" s="236" t="s">
        <v>481</v>
      </c>
      <c r="F283" s="236" t="s">
        <v>1026</v>
      </c>
      <c r="G283" s="237">
        <v>4.0</v>
      </c>
      <c r="H283" s="237">
        <v>3.0</v>
      </c>
      <c r="I283" s="237">
        <v>1.0</v>
      </c>
      <c r="J283" s="237">
        <v>4.0</v>
      </c>
      <c r="K283" s="237">
        <v>3.0</v>
      </c>
      <c r="L283" s="237">
        <v>1.0</v>
      </c>
      <c r="M283" s="237">
        <v>2.0</v>
      </c>
      <c r="N283" s="237">
        <v>2.0</v>
      </c>
    </row>
    <row r="284">
      <c r="A284" s="236" t="s">
        <v>766</v>
      </c>
      <c r="B284" s="237">
        <v>6645.0</v>
      </c>
      <c r="C284" s="236" t="s">
        <v>766</v>
      </c>
      <c r="D284" s="236" t="s">
        <v>492</v>
      </c>
      <c r="E284" s="236" t="s">
        <v>543</v>
      </c>
      <c r="F284" s="236" t="s">
        <v>998</v>
      </c>
      <c r="G284" s="237">
        <v>1.0</v>
      </c>
      <c r="H284" s="237">
        <v>1.0</v>
      </c>
      <c r="I284" s="237">
        <v>0.0</v>
      </c>
      <c r="J284" s="237">
        <v>1.0</v>
      </c>
      <c r="K284" s="237">
        <v>1.0</v>
      </c>
      <c r="L284" s="237">
        <v>0.0</v>
      </c>
      <c r="M284" s="237">
        <v>2.0</v>
      </c>
      <c r="N284" s="237">
        <v>2.0</v>
      </c>
    </row>
    <row r="285">
      <c r="A285" s="236" t="s">
        <v>1103</v>
      </c>
      <c r="B285" s="237">
        <v>4904.0</v>
      </c>
      <c r="C285" s="236" t="s">
        <v>1103</v>
      </c>
      <c r="D285" s="236" t="s">
        <v>480</v>
      </c>
      <c r="E285" s="236" t="s">
        <v>481</v>
      </c>
      <c r="F285" s="236" t="s">
        <v>1033</v>
      </c>
      <c r="G285" s="237">
        <v>6.0</v>
      </c>
      <c r="H285" s="237">
        <v>7.0</v>
      </c>
      <c r="I285" s="237">
        <v>-1.0</v>
      </c>
      <c r="J285" s="237">
        <v>6.0</v>
      </c>
      <c r="K285" s="237">
        <v>7.0</v>
      </c>
      <c r="L285" s="237">
        <v>-1.0</v>
      </c>
      <c r="M285" s="237">
        <v>13.0</v>
      </c>
      <c r="N285" s="237">
        <v>13.0</v>
      </c>
    </row>
    <row r="286">
      <c r="A286" s="236" t="s">
        <v>373</v>
      </c>
      <c r="B286" s="237">
        <v>6809.0</v>
      </c>
      <c r="C286" s="236" t="s">
        <v>373</v>
      </c>
      <c r="D286" s="236" t="s">
        <v>480</v>
      </c>
      <c r="E286" s="236" t="s">
        <v>481</v>
      </c>
      <c r="F286" s="236" t="s">
        <v>987</v>
      </c>
      <c r="G286" s="237">
        <v>3.0</v>
      </c>
      <c r="H286" s="237">
        <v>3.0</v>
      </c>
      <c r="I286" s="237">
        <v>0.0</v>
      </c>
      <c r="J286" s="237">
        <v>3.0</v>
      </c>
      <c r="K286" s="237">
        <v>3.0</v>
      </c>
      <c r="L286" s="237">
        <v>0.0</v>
      </c>
      <c r="M286" s="237">
        <v>9.0</v>
      </c>
      <c r="N286" s="237">
        <v>9.0</v>
      </c>
    </row>
    <row r="287">
      <c r="A287" s="236" t="s">
        <v>1104</v>
      </c>
      <c r="B287" s="237">
        <v>7149.0</v>
      </c>
      <c r="C287" s="236" t="s">
        <v>1104</v>
      </c>
      <c r="D287" s="236" t="s">
        <v>492</v>
      </c>
      <c r="E287" s="236" t="s">
        <v>930</v>
      </c>
      <c r="F287" s="236" t="s">
        <v>977</v>
      </c>
      <c r="G287" s="237">
        <v>6.0</v>
      </c>
      <c r="H287" s="237">
        <v>6.0</v>
      </c>
      <c r="I287" s="237">
        <v>0.0</v>
      </c>
      <c r="J287" s="237">
        <v>6.0</v>
      </c>
      <c r="K287" s="237">
        <v>6.0</v>
      </c>
      <c r="L287" s="237">
        <v>0.0</v>
      </c>
      <c r="M287" s="237">
        <v>11.0</v>
      </c>
      <c r="N287" s="237">
        <v>14.0</v>
      </c>
    </row>
    <row r="288">
      <c r="A288" s="236" t="s">
        <v>697</v>
      </c>
      <c r="B288" s="237">
        <v>4665.0</v>
      </c>
      <c r="C288" s="236" t="s">
        <v>697</v>
      </c>
      <c r="D288" s="236" t="s">
        <v>480</v>
      </c>
      <c r="E288" s="236" t="s">
        <v>481</v>
      </c>
      <c r="F288" s="236" t="s">
        <v>972</v>
      </c>
      <c r="G288" s="237">
        <v>7.0</v>
      </c>
      <c r="H288" s="237">
        <v>7.0</v>
      </c>
      <c r="I288" s="237">
        <v>0.0</v>
      </c>
      <c r="J288" s="237">
        <v>7.0</v>
      </c>
      <c r="K288" s="237">
        <v>7.0</v>
      </c>
      <c r="L288" s="237">
        <v>0.0</v>
      </c>
      <c r="M288" s="237">
        <v>13.0</v>
      </c>
      <c r="N288" s="237">
        <v>13.0</v>
      </c>
    </row>
    <row r="289">
      <c r="A289" s="236" t="s">
        <v>841</v>
      </c>
      <c r="B289" s="237">
        <v>2593.0</v>
      </c>
      <c r="C289" s="236" t="s">
        <v>841</v>
      </c>
      <c r="D289" s="236" t="s">
        <v>480</v>
      </c>
      <c r="E289" s="236" t="s">
        <v>931</v>
      </c>
      <c r="F289" s="236" t="s">
        <v>1026</v>
      </c>
      <c r="G289" s="237">
        <v>10.0</v>
      </c>
      <c r="H289" s="237">
        <v>10.0</v>
      </c>
      <c r="I289" s="237">
        <v>0.0</v>
      </c>
      <c r="J289" s="237">
        <v>10.0</v>
      </c>
      <c r="K289" s="237">
        <v>10.0</v>
      </c>
      <c r="L289" s="237">
        <v>0.0</v>
      </c>
      <c r="M289" s="237">
        <v>32.0</v>
      </c>
      <c r="N289" s="237">
        <v>32.0</v>
      </c>
    </row>
    <row r="290">
      <c r="A290" s="236" t="s">
        <v>796</v>
      </c>
      <c r="B290" s="237">
        <v>6184.0</v>
      </c>
      <c r="C290" s="236" t="s">
        <v>796</v>
      </c>
      <c r="D290" s="236" t="s">
        <v>477</v>
      </c>
      <c r="E290" s="236" t="s">
        <v>478</v>
      </c>
      <c r="F290" s="236" t="s">
        <v>1033</v>
      </c>
      <c r="G290" s="237">
        <v>1.0</v>
      </c>
      <c r="H290" s="237">
        <v>1.0</v>
      </c>
      <c r="I290" s="237">
        <v>0.0</v>
      </c>
      <c r="J290" s="237">
        <v>1.0</v>
      </c>
      <c r="K290" s="237">
        <v>1.0</v>
      </c>
      <c r="L290" s="237">
        <v>0.0</v>
      </c>
      <c r="M290" s="237">
        <v>1.0</v>
      </c>
      <c r="N290" s="237">
        <v>1.0</v>
      </c>
    </row>
    <row r="291">
      <c r="A291" s="236" t="s">
        <v>374</v>
      </c>
      <c r="B291" s="237">
        <v>5116.0</v>
      </c>
      <c r="C291" s="236" t="s">
        <v>374</v>
      </c>
      <c r="D291" s="236" t="s">
        <v>477</v>
      </c>
      <c r="E291" s="236" t="s">
        <v>478</v>
      </c>
      <c r="F291" s="236" t="s">
        <v>973</v>
      </c>
      <c r="G291" s="237">
        <v>2.0</v>
      </c>
      <c r="H291" s="237">
        <v>2.0</v>
      </c>
      <c r="I291" s="237">
        <v>0.0</v>
      </c>
      <c r="J291" s="237">
        <v>2.0</v>
      </c>
      <c r="K291" s="237">
        <v>2.0</v>
      </c>
      <c r="L291" s="237">
        <v>0.0</v>
      </c>
      <c r="M291" s="237">
        <v>3.0</v>
      </c>
      <c r="N291" s="237">
        <v>3.0</v>
      </c>
    </row>
    <row r="292">
      <c r="A292" s="236" t="s">
        <v>145</v>
      </c>
      <c r="B292" s="237">
        <v>2764.0</v>
      </c>
      <c r="C292" s="236" t="s">
        <v>145</v>
      </c>
      <c r="D292" s="236" t="s">
        <v>507</v>
      </c>
      <c r="E292" s="236" t="s">
        <v>512</v>
      </c>
      <c r="F292" s="236" t="s">
        <v>973</v>
      </c>
      <c r="G292" s="237">
        <v>34.0</v>
      </c>
      <c r="H292" s="237">
        <v>34.0</v>
      </c>
      <c r="I292" s="237">
        <v>0.0</v>
      </c>
      <c r="J292" s="237">
        <v>34.0</v>
      </c>
      <c r="K292" s="237">
        <v>34.0</v>
      </c>
      <c r="L292" s="237">
        <v>0.0</v>
      </c>
      <c r="M292" s="237">
        <v>373.0</v>
      </c>
      <c r="N292" s="237">
        <v>373.0</v>
      </c>
    </row>
    <row r="293">
      <c r="A293" s="236" t="s">
        <v>793</v>
      </c>
      <c r="B293" s="237">
        <v>2188.0</v>
      </c>
      <c r="C293" s="236" t="s">
        <v>793</v>
      </c>
      <c r="D293" s="236" t="s">
        <v>480</v>
      </c>
      <c r="E293" s="236" t="s">
        <v>944</v>
      </c>
      <c r="F293" s="236" t="s">
        <v>1000</v>
      </c>
      <c r="G293" s="237">
        <v>8.0</v>
      </c>
      <c r="H293" s="237">
        <v>8.0</v>
      </c>
      <c r="I293" s="237">
        <v>0.0</v>
      </c>
      <c r="J293" s="237">
        <v>9.0</v>
      </c>
      <c r="K293" s="237">
        <v>9.0</v>
      </c>
      <c r="L293" s="237">
        <v>0.0</v>
      </c>
      <c r="M293" s="237">
        <v>23.0</v>
      </c>
      <c r="N293" s="237">
        <v>26.0</v>
      </c>
    </row>
    <row r="294">
      <c r="A294" s="236" t="s">
        <v>623</v>
      </c>
      <c r="B294" s="237">
        <v>49.0</v>
      </c>
      <c r="C294" s="236" t="s">
        <v>623</v>
      </c>
      <c r="D294" s="236" t="s">
        <v>480</v>
      </c>
      <c r="E294" s="236" t="s">
        <v>979</v>
      </c>
      <c r="F294" s="236" t="s">
        <v>972</v>
      </c>
      <c r="G294" s="237">
        <v>2.0</v>
      </c>
      <c r="H294" s="237">
        <v>3.0</v>
      </c>
      <c r="I294" s="237">
        <v>-1.0</v>
      </c>
      <c r="J294" s="237">
        <v>3.0</v>
      </c>
      <c r="K294" s="237">
        <v>4.0</v>
      </c>
      <c r="L294" s="237">
        <v>-1.0</v>
      </c>
      <c r="M294" s="237">
        <v>8.0</v>
      </c>
      <c r="N294" s="237">
        <v>10.0</v>
      </c>
    </row>
    <row r="295">
      <c r="A295" s="236" t="s">
        <v>852</v>
      </c>
      <c r="B295" s="237">
        <v>6917.0</v>
      </c>
      <c r="C295" s="236" t="s">
        <v>852</v>
      </c>
      <c r="D295" s="236" t="s">
        <v>492</v>
      </c>
      <c r="E295" s="236" t="s">
        <v>930</v>
      </c>
      <c r="F295" s="236" t="s">
        <v>1026</v>
      </c>
      <c r="G295" s="237">
        <v>6.0</v>
      </c>
      <c r="H295" s="237">
        <v>5.0</v>
      </c>
      <c r="I295" s="237">
        <v>1.0</v>
      </c>
      <c r="J295" s="237">
        <v>6.0</v>
      </c>
      <c r="K295" s="237">
        <v>5.0</v>
      </c>
      <c r="L295" s="237">
        <v>1.0</v>
      </c>
      <c r="M295" s="237">
        <v>14.0</v>
      </c>
      <c r="N295" s="237">
        <v>17.0</v>
      </c>
    </row>
    <row r="296">
      <c r="A296" s="236" t="s">
        <v>1105</v>
      </c>
      <c r="B296" s="237">
        <v>6411.0</v>
      </c>
      <c r="C296" s="236" t="s">
        <v>1105</v>
      </c>
      <c r="D296" s="236" t="s">
        <v>480</v>
      </c>
      <c r="E296" s="236" t="s">
        <v>481</v>
      </c>
      <c r="F296" s="236" t="s">
        <v>977</v>
      </c>
      <c r="G296" s="237">
        <v>4.0</v>
      </c>
      <c r="H296" s="237">
        <v>4.0</v>
      </c>
      <c r="I296" s="237">
        <v>0.0</v>
      </c>
      <c r="J296" s="237">
        <v>4.0</v>
      </c>
      <c r="K296" s="237">
        <v>4.0</v>
      </c>
      <c r="L296" s="237">
        <v>0.0</v>
      </c>
      <c r="M296" s="237">
        <v>7.0</v>
      </c>
      <c r="N296" s="237">
        <v>7.0</v>
      </c>
    </row>
    <row r="297">
      <c r="A297" s="236" t="s">
        <v>461</v>
      </c>
      <c r="B297" s="237">
        <v>2528.0</v>
      </c>
      <c r="C297" s="236" t="s">
        <v>461</v>
      </c>
      <c r="D297" s="236" t="s">
        <v>492</v>
      </c>
      <c r="E297" s="236" t="s">
        <v>930</v>
      </c>
      <c r="F297" s="236" t="s">
        <v>1005</v>
      </c>
      <c r="G297" s="237">
        <v>4.0</v>
      </c>
      <c r="H297" s="237">
        <v>4.0</v>
      </c>
      <c r="I297" s="237">
        <v>0.0</v>
      </c>
      <c r="J297" s="237">
        <v>5.0</v>
      </c>
      <c r="K297" s="237">
        <v>5.0</v>
      </c>
      <c r="L297" s="237">
        <v>0.0</v>
      </c>
      <c r="M297" s="237">
        <v>10.0</v>
      </c>
      <c r="N297" s="237">
        <v>12.0</v>
      </c>
    </row>
    <row r="298">
      <c r="A298" s="236" t="s">
        <v>280</v>
      </c>
      <c r="B298" s="237">
        <v>1976.0</v>
      </c>
      <c r="C298" s="236" t="s">
        <v>280</v>
      </c>
      <c r="D298" s="236" t="s">
        <v>492</v>
      </c>
      <c r="E298" s="236" t="s">
        <v>930</v>
      </c>
      <c r="F298" s="236" t="s">
        <v>975</v>
      </c>
      <c r="G298" s="237">
        <v>5.0</v>
      </c>
      <c r="H298" s="237">
        <v>5.0</v>
      </c>
      <c r="I298" s="237">
        <v>0.0</v>
      </c>
      <c r="J298" s="237">
        <v>5.0</v>
      </c>
      <c r="K298" s="237">
        <v>5.0</v>
      </c>
      <c r="L298" s="237">
        <v>0.0</v>
      </c>
      <c r="M298" s="237">
        <v>11.0</v>
      </c>
      <c r="N298" s="237">
        <v>12.0</v>
      </c>
    </row>
    <row r="299">
      <c r="A299" s="236" t="s">
        <v>885</v>
      </c>
      <c r="B299" s="237">
        <v>5481.0</v>
      </c>
      <c r="C299" s="236" t="s">
        <v>885</v>
      </c>
      <c r="D299" s="236" t="s">
        <v>480</v>
      </c>
      <c r="E299" s="236" t="s">
        <v>944</v>
      </c>
      <c r="F299" s="236" t="s">
        <v>987</v>
      </c>
      <c r="G299" s="237">
        <v>3.0</v>
      </c>
      <c r="H299" s="237">
        <v>3.0</v>
      </c>
      <c r="I299" s="237">
        <v>0.0</v>
      </c>
      <c r="J299" s="237">
        <v>3.0</v>
      </c>
      <c r="K299" s="237">
        <v>3.0</v>
      </c>
      <c r="L299" s="237">
        <v>0.0</v>
      </c>
      <c r="M299" s="237">
        <v>5.0</v>
      </c>
      <c r="N299" s="237">
        <v>6.0</v>
      </c>
    </row>
    <row r="300">
      <c r="A300" s="236" t="s">
        <v>1106</v>
      </c>
      <c r="B300" s="237">
        <v>7170.0</v>
      </c>
      <c r="C300" s="236" t="s">
        <v>1106</v>
      </c>
      <c r="D300" s="236" t="s">
        <v>480</v>
      </c>
      <c r="E300" s="236" t="s">
        <v>481</v>
      </c>
      <c r="F300" s="236" t="s">
        <v>977</v>
      </c>
      <c r="G300" s="237">
        <v>1.0</v>
      </c>
      <c r="H300" s="237">
        <v>1.0</v>
      </c>
      <c r="I300" s="237">
        <v>0.0</v>
      </c>
      <c r="J300" s="237">
        <v>1.0</v>
      </c>
      <c r="K300" s="237">
        <v>1.0</v>
      </c>
      <c r="L300" s="237">
        <v>0.0</v>
      </c>
      <c r="M300" s="237">
        <v>2.0</v>
      </c>
      <c r="N300" s="237">
        <v>2.0</v>
      </c>
    </row>
    <row r="301">
      <c r="A301" s="236" t="s">
        <v>732</v>
      </c>
      <c r="B301" s="237">
        <v>4973.0</v>
      </c>
      <c r="C301" s="236" t="s">
        <v>732</v>
      </c>
      <c r="D301" s="236" t="s">
        <v>492</v>
      </c>
      <c r="E301" s="236" t="s">
        <v>930</v>
      </c>
      <c r="F301" s="236" t="s">
        <v>976</v>
      </c>
      <c r="G301" s="237">
        <v>9.0</v>
      </c>
      <c r="H301" s="237">
        <v>10.0</v>
      </c>
      <c r="I301" s="237">
        <v>-1.0</v>
      </c>
      <c r="J301" s="237">
        <v>10.0</v>
      </c>
      <c r="K301" s="237">
        <v>11.0</v>
      </c>
      <c r="L301" s="237">
        <v>-1.0</v>
      </c>
      <c r="M301" s="237">
        <v>14.0</v>
      </c>
      <c r="N301" s="237">
        <v>19.0</v>
      </c>
    </row>
    <row r="302">
      <c r="A302" s="236" t="s">
        <v>405</v>
      </c>
      <c r="B302" s="237">
        <v>4777.0</v>
      </c>
      <c r="C302" s="236" t="s">
        <v>405</v>
      </c>
      <c r="D302" s="236" t="s">
        <v>492</v>
      </c>
      <c r="E302" s="236" t="s">
        <v>934</v>
      </c>
      <c r="F302" s="236" t="s">
        <v>987</v>
      </c>
      <c r="G302" s="237">
        <v>26.0</v>
      </c>
      <c r="H302" s="237">
        <v>26.0</v>
      </c>
      <c r="I302" s="237">
        <v>0.0</v>
      </c>
      <c r="J302" s="237">
        <v>26.0</v>
      </c>
      <c r="K302" s="237">
        <v>26.0</v>
      </c>
      <c r="L302" s="237">
        <v>0.0</v>
      </c>
      <c r="M302" s="237">
        <v>208.0</v>
      </c>
      <c r="N302" s="237">
        <v>208.0</v>
      </c>
    </row>
    <row r="303">
      <c r="A303" s="236" t="s">
        <v>1107</v>
      </c>
      <c r="B303" s="237">
        <v>6836.0</v>
      </c>
      <c r="C303" s="236" t="s">
        <v>1107</v>
      </c>
      <c r="D303" s="236" t="s">
        <v>507</v>
      </c>
      <c r="E303" s="236" t="s">
        <v>512</v>
      </c>
      <c r="F303" s="236" t="s">
        <v>977</v>
      </c>
      <c r="G303" s="237">
        <v>2.0</v>
      </c>
      <c r="H303" s="237">
        <v>2.0</v>
      </c>
      <c r="I303" s="237">
        <v>0.0</v>
      </c>
      <c r="J303" s="237">
        <v>2.0</v>
      </c>
      <c r="K303" s="237">
        <v>2.0</v>
      </c>
      <c r="L303" s="237">
        <v>0.0</v>
      </c>
      <c r="M303" s="237">
        <v>13.0</v>
      </c>
      <c r="N303" s="237">
        <v>10.0</v>
      </c>
    </row>
    <row r="304">
      <c r="A304" s="236" t="s">
        <v>634</v>
      </c>
      <c r="B304" s="237">
        <v>572.0</v>
      </c>
      <c r="C304" s="236" t="s">
        <v>634</v>
      </c>
      <c r="D304" s="236" t="s">
        <v>477</v>
      </c>
      <c r="E304" s="236" t="s">
        <v>478</v>
      </c>
      <c r="F304" s="236" t="s">
        <v>987</v>
      </c>
      <c r="G304" s="237">
        <v>16.0</v>
      </c>
      <c r="H304" s="237">
        <v>16.0</v>
      </c>
      <c r="I304" s="237">
        <v>0.0</v>
      </c>
      <c r="J304" s="237">
        <v>16.0</v>
      </c>
      <c r="K304" s="237">
        <v>16.0</v>
      </c>
      <c r="L304" s="237">
        <v>0.0</v>
      </c>
      <c r="M304" s="237">
        <v>95.0</v>
      </c>
      <c r="N304" s="237">
        <v>95.0</v>
      </c>
    </row>
    <row r="305">
      <c r="A305" s="236" t="s">
        <v>702</v>
      </c>
      <c r="B305" s="237">
        <v>4970.0</v>
      </c>
      <c r="C305" s="236" t="s">
        <v>702</v>
      </c>
      <c r="D305" s="236" t="s">
        <v>492</v>
      </c>
      <c r="E305" s="236" t="s">
        <v>1056</v>
      </c>
      <c r="F305" s="236" t="s">
        <v>1026</v>
      </c>
      <c r="G305" s="237">
        <v>7.0</v>
      </c>
      <c r="H305" s="237">
        <v>8.0</v>
      </c>
      <c r="I305" s="237">
        <v>-1.0</v>
      </c>
      <c r="J305" s="237">
        <v>7.0</v>
      </c>
      <c r="K305" s="237">
        <v>8.0</v>
      </c>
      <c r="L305" s="237">
        <v>-1.0</v>
      </c>
      <c r="M305" s="237">
        <v>12.0</v>
      </c>
      <c r="N305" s="237">
        <v>12.0</v>
      </c>
    </row>
    <row r="306">
      <c r="A306" s="236" t="s">
        <v>1108</v>
      </c>
      <c r="B306" s="237">
        <v>2012.0</v>
      </c>
      <c r="C306" s="236" t="s">
        <v>1108</v>
      </c>
      <c r="D306" s="236" t="s">
        <v>507</v>
      </c>
      <c r="E306" s="236" t="s">
        <v>512</v>
      </c>
      <c r="F306" s="236" t="s">
        <v>976</v>
      </c>
      <c r="G306" s="237">
        <v>1.0</v>
      </c>
      <c r="H306" s="237">
        <v>1.0</v>
      </c>
      <c r="I306" s="237">
        <v>0.0</v>
      </c>
      <c r="J306" s="237">
        <v>1.0</v>
      </c>
      <c r="K306" s="237">
        <v>1.0</v>
      </c>
      <c r="L306" s="237">
        <v>0.0</v>
      </c>
      <c r="M306" s="237">
        <v>5.0</v>
      </c>
      <c r="N306" s="237">
        <v>3.0</v>
      </c>
    </row>
    <row r="307">
      <c r="A307" s="236" t="s">
        <v>734</v>
      </c>
      <c r="B307" s="237">
        <v>2170.0</v>
      </c>
      <c r="C307" s="236" t="s">
        <v>734</v>
      </c>
      <c r="D307" s="236" t="s">
        <v>477</v>
      </c>
      <c r="E307" s="236" t="s">
        <v>478</v>
      </c>
      <c r="F307" s="236" t="s">
        <v>987</v>
      </c>
      <c r="G307" s="237">
        <v>4.0</v>
      </c>
      <c r="H307" s="237">
        <v>4.0</v>
      </c>
      <c r="I307" s="237">
        <v>0.0</v>
      </c>
      <c r="J307" s="237">
        <v>4.0</v>
      </c>
      <c r="K307" s="237">
        <v>4.0</v>
      </c>
      <c r="L307" s="237">
        <v>0.0</v>
      </c>
      <c r="M307" s="237">
        <v>9.0</v>
      </c>
      <c r="N307" s="237">
        <v>9.0</v>
      </c>
    </row>
    <row r="308">
      <c r="A308" s="236" t="s">
        <v>1109</v>
      </c>
      <c r="B308" s="237">
        <v>7208.0</v>
      </c>
      <c r="C308" s="236" t="s">
        <v>1109</v>
      </c>
      <c r="D308" s="236" t="s">
        <v>492</v>
      </c>
      <c r="E308" s="236" t="s">
        <v>930</v>
      </c>
      <c r="F308" s="236" t="s">
        <v>993</v>
      </c>
      <c r="G308" s="237">
        <v>3.0</v>
      </c>
      <c r="H308" s="237">
        <v>3.0</v>
      </c>
      <c r="I308" s="237">
        <v>0.0</v>
      </c>
      <c r="J308" s="237">
        <v>4.0</v>
      </c>
      <c r="K308" s="237">
        <v>4.0</v>
      </c>
      <c r="L308" s="237">
        <v>0.0</v>
      </c>
      <c r="M308" s="237">
        <v>10.0</v>
      </c>
      <c r="N308" s="237">
        <v>12.0</v>
      </c>
    </row>
    <row r="309">
      <c r="A309" s="236" t="s">
        <v>820</v>
      </c>
      <c r="B309" s="237">
        <v>4210.0</v>
      </c>
      <c r="C309" s="236" t="s">
        <v>820</v>
      </c>
      <c r="D309" s="236" t="s">
        <v>480</v>
      </c>
      <c r="E309" s="236" t="s">
        <v>481</v>
      </c>
      <c r="F309" s="236" t="s">
        <v>975</v>
      </c>
      <c r="G309" s="237">
        <v>7.0</v>
      </c>
      <c r="H309" s="237">
        <v>7.0</v>
      </c>
      <c r="I309" s="237">
        <v>0.0</v>
      </c>
      <c r="J309" s="237">
        <v>7.0</v>
      </c>
      <c r="K309" s="237">
        <v>7.0</v>
      </c>
      <c r="L309" s="237">
        <v>0.0</v>
      </c>
      <c r="M309" s="237">
        <v>21.0</v>
      </c>
      <c r="N309" s="237">
        <v>21.0</v>
      </c>
    </row>
    <row r="310">
      <c r="A310" s="236" t="s">
        <v>72</v>
      </c>
      <c r="B310" s="237">
        <v>4734.0</v>
      </c>
      <c r="C310" s="236" t="s">
        <v>72</v>
      </c>
      <c r="D310" s="236" t="s">
        <v>480</v>
      </c>
      <c r="E310" s="236" t="s">
        <v>931</v>
      </c>
      <c r="F310" s="236" t="s">
        <v>1009</v>
      </c>
      <c r="G310" s="237">
        <v>8.0</v>
      </c>
      <c r="H310" s="237">
        <v>9.0</v>
      </c>
      <c r="I310" s="237">
        <v>-1.0</v>
      </c>
      <c r="J310" s="237">
        <v>8.0</v>
      </c>
      <c r="K310" s="237">
        <v>9.0</v>
      </c>
      <c r="L310" s="237">
        <v>-1.0</v>
      </c>
      <c r="M310" s="237">
        <v>21.0</v>
      </c>
      <c r="N310" s="237">
        <v>21.0</v>
      </c>
    </row>
    <row r="311">
      <c r="A311" s="236" t="s">
        <v>886</v>
      </c>
      <c r="B311" s="237">
        <v>5813.0</v>
      </c>
      <c r="C311" s="236" t="s">
        <v>886</v>
      </c>
      <c r="D311" s="236" t="s">
        <v>492</v>
      </c>
      <c r="E311" s="236" t="s">
        <v>934</v>
      </c>
      <c r="F311" s="236" t="s">
        <v>976</v>
      </c>
      <c r="G311" s="237">
        <v>4.0</v>
      </c>
      <c r="H311" s="237">
        <v>5.0</v>
      </c>
      <c r="I311" s="237">
        <v>-1.0</v>
      </c>
      <c r="J311" s="237">
        <v>4.0</v>
      </c>
      <c r="K311" s="237">
        <v>5.0</v>
      </c>
      <c r="L311" s="237">
        <v>-1.0</v>
      </c>
      <c r="M311" s="237">
        <v>9.0</v>
      </c>
      <c r="N311" s="237">
        <v>9.0</v>
      </c>
    </row>
    <row r="312">
      <c r="A312" s="236" t="s">
        <v>703</v>
      </c>
      <c r="B312" s="237">
        <v>2529.0</v>
      </c>
      <c r="C312" s="236" t="s">
        <v>703</v>
      </c>
      <c r="D312" s="236" t="s">
        <v>492</v>
      </c>
      <c r="E312" s="236" t="s">
        <v>934</v>
      </c>
      <c r="F312" s="236" t="s">
        <v>973</v>
      </c>
      <c r="G312" s="237">
        <v>9.0</v>
      </c>
      <c r="H312" s="237">
        <v>9.0</v>
      </c>
      <c r="I312" s="237">
        <v>0.0</v>
      </c>
      <c r="J312" s="237">
        <v>9.0</v>
      </c>
      <c r="K312" s="237">
        <v>9.0</v>
      </c>
      <c r="L312" s="237">
        <v>0.0</v>
      </c>
      <c r="M312" s="237">
        <v>35.0</v>
      </c>
      <c r="N312" s="237">
        <v>35.0</v>
      </c>
    </row>
    <row r="313">
      <c r="A313" s="236" t="s">
        <v>1110</v>
      </c>
      <c r="B313" s="237">
        <v>2606.0</v>
      </c>
      <c r="C313" s="236" t="s">
        <v>1110</v>
      </c>
      <c r="D313" s="236" t="s">
        <v>492</v>
      </c>
      <c r="E313" s="236" t="s">
        <v>492</v>
      </c>
      <c r="F313" s="236" t="s">
        <v>991</v>
      </c>
      <c r="G313" s="237">
        <v>13.0</v>
      </c>
      <c r="H313" s="237">
        <v>12.0</v>
      </c>
      <c r="I313" s="237">
        <v>1.0</v>
      </c>
      <c r="J313" s="237">
        <v>13.0</v>
      </c>
      <c r="K313" s="237">
        <v>12.0</v>
      </c>
      <c r="L313" s="237">
        <v>1.0</v>
      </c>
      <c r="M313" s="237">
        <v>42.0</v>
      </c>
      <c r="N313" s="237">
        <v>42.0</v>
      </c>
    </row>
    <row r="314">
      <c r="A314" s="236" t="s">
        <v>407</v>
      </c>
      <c r="B314" s="237">
        <v>4957.0</v>
      </c>
      <c r="C314" s="236" t="s">
        <v>407</v>
      </c>
      <c r="D314" s="236" t="s">
        <v>477</v>
      </c>
      <c r="E314" s="236" t="s">
        <v>478</v>
      </c>
      <c r="F314" s="236" t="s">
        <v>983</v>
      </c>
      <c r="G314" s="237">
        <v>4.0</v>
      </c>
      <c r="H314" s="237">
        <v>5.0</v>
      </c>
      <c r="I314" s="237">
        <v>-1.0</v>
      </c>
      <c r="J314" s="237">
        <v>4.0</v>
      </c>
      <c r="K314" s="237">
        <v>5.0</v>
      </c>
      <c r="L314" s="237">
        <v>-1.0</v>
      </c>
      <c r="M314" s="237">
        <v>10.0</v>
      </c>
      <c r="N314" s="237">
        <v>10.0</v>
      </c>
    </row>
    <row r="315">
      <c r="A315" s="236" t="s">
        <v>704</v>
      </c>
      <c r="B315" s="237">
        <v>313.0</v>
      </c>
      <c r="C315" s="236" t="s">
        <v>704</v>
      </c>
      <c r="D315" s="236" t="s">
        <v>507</v>
      </c>
      <c r="E315" s="236" t="s">
        <v>512</v>
      </c>
      <c r="F315" s="236" t="s">
        <v>974</v>
      </c>
      <c r="G315" s="237">
        <v>18.0</v>
      </c>
      <c r="H315" s="237">
        <v>18.0</v>
      </c>
      <c r="I315" s="237">
        <v>0.0</v>
      </c>
      <c r="J315" s="237">
        <v>18.0</v>
      </c>
      <c r="K315" s="237">
        <v>18.0</v>
      </c>
      <c r="L315" s="237">
        <v>0.0</v>
      </c>
      <c r="M315" s="237">
        <v>78.0</v>
      </c>
      <c r="N315" s="237">
        <v>75.0</v>
      </c>
    </row>
    <row r="316">
      <c r="A316" s="236" t="s">
        <v>736</v>
      </c>
      <c r="B316" s="237">
        <v>5435.0</v>
      </c>
      <c r="C316" s="236" t="s">
        <v>736</v>
      </c>
      <c r="D316" s="236" t="s">
        <v>480</v>
      </c>
      <c r="E316" s="236" t="s">
        <v>931</v>
      </c>
      <c r="F316" s="236" t="s">
        <v>974</v>
      </c>
      <c r="G316" s="237">
        <v>3.0</v>
      </c>
      <c r="H316" s="237">
        <v>3.0</v>
      </c>
      <c r="I316" s="237">
        <v>0.0</v>
      </c>
      <c r="J316" s="237">
        <v>3.0</v>
      </c>
      <c r="K316" s="237">
        <v>3.0</v>
      </c>
      <c r="L316" s="237">
        <v>0.0</v>
      </c>
      <c r="M316" s="237">
        <v>7.0</v>
      </c>
      <c r="N316" s="237">
        <v>7.0</v>
      </c>
    </row>
    <row r="317">
      <c r="A317" s="236" t="s">
        <v>1111</v>
      </c>
      <c r="B317" s="237">
        <v>5455.0</v>
      </c>
      <c r="C317" s="236" t="s">
        <v>1111</v>
      </c>
      <c r="D317" s="236" t="s">
        <v>507</v>
      </c>
      <c r="E317" s="236" t="s">
        <v>507</v>
      </c>
      <c r="F317" s="236" t="s">
        <v>977</v>
      </c>
      <c r="G317" s="237">
        <v>6.0</v>
      </c>
      <c r="H317" s="237">
        <v>5.0</v>
      </c>
      <c r="I317" s="237">
        <v>1.0</v>
      </c>
      <c r="J317" s="237">
        <v>6.0</v>
      </c>
      <c r="K317" s="237">
        <v>5.0</v>
      </c>
      <c r="L317" s="237">
        <v>1.0</v>
      </c>
      <c r="M317" s="237">
        <v>13.0</v>
      </c>
      <c r="N317" s="237">
        <v>13.0</v>
      </c>
    </row>
    <row r="318">
      <c r="A318" s="236" t="s">
        <v>1112</v>
      </c>
      <c r="B318" s="237">
        <v>7158.0</v>
      </c>
      <c r="C318" s="236" t="s">
        <v>1112</v>
      </c>
      <c r="D318" s="236" t="s">
        <v>507</v>
      </c>
      <c r="E318" s="236" t="s">
        <v>512</v>
      </c>
      <c r="F318" s="236" t="s">
        <v>1005</v>
      </c>
      <c r="G318" s="237">
        <v>1.0</v>
      </c>
      <c r="H318" s="237">
        <v>1.0</v>
      </c>
      <c r="I318" s="237">
        <v>0.0</v>
      </c>
      <c r="J318" s="237">
        <v>1.0</v>
      </c>
      <c r="K318" s="237">
        <v>1.0</v>
      </c>
      <c r="L318" s="237">
        <v>0.0</v>
      </c>
      <c r="M318" s="237">
        <v>1.0</v>
      </c>
      <c r="N318" s="237">
        <v>1.0</v>
      </c>
    </row>
    <row r="319">
      <c r="A319" s="236" t="s">
        <v>826</v>
      </c>
      <c r="B319" s="237">
        <v>6054.0</v>
      </c>
      <c r="C319" s="236" t="s">
        <v>826</v>
      </c>
      <c r="D319" s="236" t="s">
        <v>492</v>
      </c>
      <c r="E319" s="236" t="s">
        <v>930</v>
      </c>
      <c r="F319" s="236" t="s">
        <v>1009</v>
      </c>
      <c r="G319" s="237">
        <v>3.0</v>
      </c>
      <c r="H319" s="237">
        <v>3.0</v>
      </c>
      <c r="I319" s="237">
        <v>0.0</v>
      </c>
      <c r="J319" s="237">
        <v>3.0</v>
      </c>
      <c r="K319" s="237">
        <v>3.0</v>
      </c>
      <c r="L319" s="237">
        <v>0.0</v>
      </c>
      <c r="M319" s="237">
        <v>7.0</v>
      </c>
      <c r="N319" s="237">
        <v>7.0</v>
      </c>
    </row>
    <row r="320">
      <c r="A320" s="236" t="s">
        <v>669</v>
      </c>
      <c r="B320" s="237">
        <v>6630.0</v>
      </c>
      <c r="C320" s="236" t="s">
        <v>669</v>
      </c>
      <c r="D320" s="236" t="s">
        <v>507</v>
      </c>
      <c r="E320" s="236" t="s">
        <v>512</v>
      </c>
      <c r="F320" s="236" t="s">
        <v>983</v>
      </c>
      <c r="G320" s="237">
        <v>7.0</v>
      </c>
      <c r="H320" s="237">
        <v>6.0</v>
      </c>
      <c r="I320" s="237">
        <v>1.0</v>
      </c>
      <c r="J320" s="237">
        <v>7.0</v>
      </c>
      <c r="K320" s="237">
        <v>6.0</v>
      </c>
      <c r="L320" s="237">
        <v>1.0</v>
      </c>
      <c r="M320" s="237">
        <v>14.0</v>
      </c>
      <c r="N320" s="237">
        <v>14.0</v>
      </c>
    </row>
    <row r="321">
      <c r="A321" s="236" t="s">
        <v>1113</v>
      </c>
      <c r="B321" s="237">
        <v>6555.0</v>
      </c>
      <c r="C321" s="236" t="s">
        <v>1113</v>
      </c>
      <c r="D321" s="236" t="s">
        <v>507</v>
      </c>
      <c r="E321" s="236" t="s">
        <v>512</v>
      </c>
      <c r="F321" s="236" t="s">
        <v>995</v>
      </c>
      <c r="G321" s="237">
        <v>6.0</v>
      </c>
      <c r="H321" s="237">
        <v>6.0</v>
      </c>
      <c r="I321" s="237">
        <v>0.0</v>
      </c>
      <c r="J321" s="237">
        <v>6.0</v>
      </c>
      <c r="K321" s="237">
        <v>6.0</v>
      </c>
      <c r="L321" s="237">
        <v>0.0</v>
      </c>
      <c r="M321" s="237">
        <v>16.0</v>
      </c>
      <c r="N321" s="237">
        <v>16.0</v>
      </c>
    </row>
    <row r="322">
      <c r="A322" s="236" t="s">
        <v>1114</v>
      </c>
      <c r="B322" s="237">
        <v>7155.0</v>
      </c>
      <c r="C322" s="236" t="s">
        <v>1114</v>
      </c>
      <c r="D322" s="236" t="s">
        <v>480</v>
      </c>
      <c r="E322" s="236" t="s">
        <v>481</v>
      </c>
      <c r="F322" s="236" t="s">
        <v>1005</v>
      </c>
      <c r="G322" s="237">
        <v>5.0</v>
      </c>
      <c r="H322" s="237">
        <v>5.0</v>
      </c>
      <c r="I322" s="237">
        <v>0.0</v>
      </c>
      <c r="J322" s="237">
        <v>5.0</v>
      </c>
      <c r="K322" s="237">
        <v>5.0</v>
      </c>
      <c r="L322" s="237">
        <v>0.0</v>
      </c>
      <c r="M322" s="237">
        <v>12.0</v>
      </c>
      <c r="N322" s="237">
        <v>12.0</v>
      </c>
    </row>
    <row r="323">
      <c r="A323" s="236" t="s">
        <v>227</v>
      </c>
      <c r="B323" s="237">
        <v>4236.0</v>
      </c>
      <c r="C323" s="236" t="s">
        <v>227</v>
      </c>
      <c r="D323" s="236" t="s">
        <v>477</v>
      </c>
      <c r="E323" s="236" t="s">
        <v>478</v>
      </c>
      <c r="F323" s="236" t="s">
        <v>1005</v>
      </c>
      <c r="G323" s="237">
        <v>3.0</v>
      </c>
      <c r="H323" s="237">
        <v>3.0</v>
      </c>
      <c r="I323" s="237">
        <v>0.0</v>
      </c>
      <c r="J323" s="237">
        <v>3.0</v>
      </c>
      <c r="K323" s="237">
        <v>3.0</v>
      </c>
      <c r="L323" s="237">
        <v>0.0</v>
      </c>
      <c r="M323" s="237">
        <v>7.0</v>
      </c>
      <c r="N323" s="237">
        <v>7.0</v>
      </c>
    </row>
    <row r="324">
      <c r="A324" s="236" t="s">
        <v>1115</v>
      </c>
      <c r="B324" s="237">
        <v>5295.0</v>
      </c>
      <c r="C324" s="236" t="s">
        <v>1115</v>
      </c>
      <c r="D324" s="236" t="s">
        <v>492</v>
      </c>
      <c r="E324" s="236" t="s">
        <v>1056</v>
      </c>
      <c r="F324" s="236" t="s">
        <v>980</v>
      </c>
      <c r="G324" s="237">
        <v>6.0</v>
      </c>
      <c r="H324" s="237">
        <v>6.0</v>
      </c>
      <c r="I324" s="237">
        <v>0.0</v>
      </c>
      <c r="J324" s="237">
        <v>6.0</v>
      </c>
      <c r="K324" s="237">
        <v>6.0</v>
      </c>
      <c r="L324" s="237">
        <v>0.0</v>
      </c>
      <c r="M324" s="237">
        <v>9.0</v>
      </c>
      <c r="N324" s="237">
        <v>9.0</v>
      </c>
    </row>
    <row r="325">
      <c r="A325" s="236" t="s">
        <v>756</v>
      </c>
      <c r="B325" s="237">
        <v>4317.0</v>
      </c>
      <c r="C325" s="236" t="s">
        <v>756</v>
      </c>
      <c r="D325" s="236" t="s">
        <v>480</v>
      </c>
      <c r="E325" s="236" t="s">
        <v>481</v>
      </c>
      <c r="F325" s="236" t="s">
        <v>988</v>
      </c>
      <c r="G325" s="237">
        <v>11.0</v>
      </c>
      <c r="H325" s="237">
        <v>10.0</v>
      </c>
      <c r="I325" s="237">
        <v>1.0</v>
      </c>
      <c r="J325" s="237">
        <v>11.0</v>
      </c>
      <c r="K325" s="237">
        <v>10.0</v>
      </c>
      <c r="L325" s="237">
        <v>1.0</v>
      </c>
      <c r="M325" s="237">
        <v>26.0</v>
      </c>
      <c r="N325" s="237">
        <v>26.0</v>
      </c>
    </row>
    <row r="326">
      <c r="A326" s="236" t="s">
        <v>1116</v>
      </c>
      <c r="B326" s="237">
        <v>7001.0</v>
      </c>
      <c r="C326" s="236" t="s">
        <v>1116</v>
      </c>
      <c r="D326" s="236" t="s">
        <v>507</v>
      </c>
      <c r="E326" s="236" t="s">
        <v>935</v>
      </c>
      <c r="F326" s="236" t="s">
        <v>998</v>
      </c>
      <c r="G326" s="237">
        <v>4.0</v>
      </c>
      <c r="H326" s="237">
        <v>5.0</v>
      </c>
      <c r="I326" s="237">
        <v>-1.0</v>
      </c>
      <c r="J326" s="237">
        <v>4.0</v>
      </c>
      <c r="K326" s="237">
        <v>5.0</v>
      </c>
      <c r="L326" s="237">
        <v>-1.0</v>
      </c>
      <c r="M326" s="237">
        <v>8.0</v>
      </c>
      <c r="N326" s="237">
        <v>8.0</v>
      </c>
    </row>
    <row r="327">
      <c r="A327" s="236" t="s">
        <v>1117</v>
      </c>
      <c r="B327" s="237">
        <v>6505.0</v>
      </c>
      <c r="C327" s="236" t="s">
        <v>1117</v>
      </c>
      <c r="D327" s="236" t="s">
        <v>477</v>
      </c>
      <c r="E327" s="236" t="s">
        <v>478</v>
      </c>
      <c r="F327" s="236" t="s">
        <v>995</v>
      </c>
      <c r="G327" s="237">
        <v>1.0</v>
      </c>
      <c r="H327" s="237">
        <v>1.0</v>
      </c>
      <c r="I327" s="237">
        <v>0.0</v>
      </c>
      <c r="J327" s="237">
        <v>1.0</v>
      </c>
      <c r="K327" s="237">
        <v>1.0</v>
      </c>
      <c r="L327" s="237">
        <v>0.0</v>
      </c>
      <c r="M327" s="237">
        <v>1.0</v>
      </c>
      <c r="N327" s="237">
        <v>1.0</v>
      </c>
    </row>
    <row r="328">
      <c r="A328" s="236" t="s">
        <v>1118</v>
      </c>
      <c r="B328" s="237">
        <v>7182.0</v>
      </c>
      <c r="C328" s="236" t="s">
        <v>1118</v>
      </c>
      <c r="D328" s="236" t="s">
        <v>480</v>
      </c>
      <c r="E328" s="236" t="s">
        <v>931</v>
      </c>
      <c r="F328" s="236" t="s">
        <v>998</v>
      </c>
      <c r="G328" s="237">
        <v>1.0</v>
      </c>
      <c r="H328" s="237">
        <v>1.0</v>
      </c>
      <c r="I328" s="237">
        <v>0.0</v>
      </c>
      <c r="J328" s="237">
        <v>1.0</v>
      </c>
      <c r="K328" s="237">
        <v>1.0</v>
      </c>
      <c r="L328" s="237">
        <v>0.0</v>
      </c>
      <c r="M328" s="237">
        <v>2.0</v>
      </c>
      <c r="N328" s="237">
        <v>2.0</v>
      </c>
    </row>
    <row r="329">
      <c r="A329" s="236" t="s">
        <v>1119</v>
      </c>
      <c r="B329" s="237">
        <v>7202.0</v>
      </c>
      <c r="C329" s="236" t="s">
        <v>1119</v>
      </c>
      <c r="D329" s="236" t="s">
        <v>480</v>
      </c>
      <c r="E329" s="236" t="s">
        <v>481</v>
      </c>
      <c r="F329" s="236" t="s">
        <v>985</v>
      </c>
      <c r="G329" s="237">
        <v>4.0</v>
      </c>
      <c r="H329" s="237">
        <v>4.0</v>
      </c>
      <c r="I329" s="237">
        <v>0.0</v>
      </c>
      <c r="J329" s="237">
        <v>4.0</v>
      </c>
      <c r="K329" s="237">
        <v>4.0</v>
      </c>
      <c r="L329" s="237">
        <v>0.0</v>
      </c>
      <c r="M329" s="237">
        <v>10.0</v>
      </c>
      <c r="N329" s="237">
        <v>10.0</v>
      </c>
    </row>
    <row r="330">
      <c r="A330" s="236" t="s">
        <v>1120</v>
      </c>
      <c r="B330" s="237">
        <v>6294.0</v>
      </c>
      <c r="C330" s="236" t="s">
        <v>1120</v>
      </c>
      <c r="D330" s="236" t="s">
        <v>492</v>
      </c>
      <c r="E330" s="236" t="s">
        <v>930</v>
      </c>
      <c r="F330" s="236" t="s">
        <v>1033</v>
      </c>
      <c r="G330" s="237">
        <v>2.0</v>
      </c>
      <c r="H330" s="237">
        <v>2.0</v>
      </c>
      <c r="I330" s="237">
        <v>0.0</v>
      </c>
      <c r="J330" s="237">
        <v>2.0</v>
      </c>
      <c r="K330" s="237">
        <v>2.0</v>
      </c>
      <c r="L330" s="237">
        <v>0.0</v>
      </c>
      <c r="M330" s="237">
        <v>14.0</v>
      </c>
      <c r="N330" s="237">
        <v>17.0</v>
      </c>
    </row>
    <row r="331">
      <c r="A331" s="236" t="s">
        <v>1121</v>
      </c>
      <c r="B331" s="237">
        <v>7018.0</v>
      </c>
      <c r="C331" s="236" t="s">
        <v>1121</v>
      </c>
      <c r="D331" s="236" t="s">
        <v>480</v>
      </c>
      <c r="E331" s="236" t="s">
        <v>481</v>
      </c>
      <c r="F331" s="236" t="s">
        <v>983</v>
      </c>
      <c r="G331" s="237">
        <v>4.0</v>
      </c>
      <c r="H331" s="237">
        <v>5.0</v>
      </c>
      <c r="I331" s="237">
        <v>-1.0</v>
      </c>
      <c r="J331" s="237">
        <v>4.0</v>
      </c>
      <c r="K331" s="237">
        <v>5.0</v>
      </c>
      <c r="L331" s="237">
        <v>-1.0</v>
      </c>
      <c r="M331" s="237">
        <v>10.0</v>
      </c>
      <c r="N331" s="237">
        <v>10.0</v>
      </c>
    </row>
    <row r="332">
      <c r="A332" s="236" t="s">
        <v>449</v>
      </c>
      <c r="B332" s="237">
        <v>6831.0</v>
      </c>
      <c r="C332" s="236" t="s">
        <v>449</v>
      </c>
      <c r="D332" s="236" t="s">
        <v>492</v>
      </c>
      <c r="E332" s="236" t="s">
        <v>935</v>
      </c>
      <c r="F332" s="236" t="s">
        <v>987</v>
      </c>
      <c r="G332" s="237">
        <v>13.0</v>
      </c>
      <c r="H332" s="237">
        <v>13.0</v>
      </c>
      <c r="I332" s="237">
        <v>0.0</v>
      </c>
      <c r="J332" s="237">
        <v>13.0</v>
      </c>
      <c r="K332" s="237">
        <v>13.0</v>
      </c>
      <c r="L332" s="237">
        <v>0.0</v>
      </c>
      <c r="M332" s="237">
        <v>30.0</v>
      </c>
      <c r="N332" s="237">
        <v>33.0</v>
      </c>
    </row>
    <row r="333">
      <c r="A333" s="236" t="s">
        <v>949</v>
      </c>
      <c r="B333" s="237">
        <v>6145.0</v>
      </c>
      <c r="C333" s="236" t="s">
        <v>949</v>
      </c>
      <c r="D333" s="236" t="s">
        <v>507</v>
      </c>
      <c r="E333" s="236" t="s">
        <v>507</v>
      </c>
      <c r="F333" s="236" t="s">
        <v>972</v>
      </c>
      <c r="G333" s="237">
        <v>8.0</v>
      </c>
      <c r="H333" s="237">
        <v>9.0</v>
      </c>
      <c r="I333" s="237">
        <v>-1.0</v>
      </c>
      <c r="J333" s="237">
        <v>8.0</v>
      </c>
      <c r="K333" s="237">
        <v>9.0</v>
      </c>
      <c r="L333" s="237">
        <v>-1.0</v>
      </c>
      <c r="M333" s="237">
        <v>20.0</v>
      </c>
      <c r="N333" s="237">
        <v>20.0</v>
      </c>
    </row>
    <row r="334">
      <c r="A334" s="236" t="s">
        <v>1122</v>
      </c>
      <c r="B334" s="237">
        <v>5540.0</v>
      </c>
      <c r="C334" s="236" t="s">
        <v>1122</v>
      </c>
      <c r="D334" s="236" t="s">
        <v>492</v>
      </c>
      <c r="E334" s="236" t="s">
        <v>930</v>
      </c>
      <c r="F334" s="236" t="s">
        <v>983</v>
      </c>
      <c r="G334" s="237">
        <v>3.0</v>
      </c>
      <c r="H334" s="237">
        <v>3.0</v>
      </c>
      <c r="I334" s="237">
        <v>0.0</v>
      </c>
      <c r="J334" s="237">
        <v>3.0</v>
      </c>
      <c r="K334" s="237">
        <v>3.0</v>
      </c>
      <c r="L334" s="237">
        <v>0.0</v>
      </c>
      <c r="M334" s="237">
        <v>14.0</v>
      </c>
      <c r="N334" s="237">
        <v>17.0</v>
      </c>
    </row>
    <row r="335">
      <c r="A335" s="236" t="s">
        <v>1123</v>
      </c>
      <c r="B335" s="237">
        <v>2271.0</v>
      </c>
      <c r="C335" s="236" t="s">
        <v>1123</v>
      </c>
      <c r="D335" s="236" t="s">
        <v>477</v>
      </c>
      <c r="E335" s="236" t="s">
        <v>478</v>
      </c>
      <c r="F335" s="236" t="s">
        <v>977</v>
      </c>
      <c r="G335" s="237">
        <v>1.0</v>
      </c>
      <c r="H335" s="237">
        <v>1.0</v>
      </c>
      <c r="I335" s="237">
        <v>0.0</v>
      </c>
      <c r="J335" s="237">
        <v>1.0</v>
      </c>
      <c r="K335" s="237">
        <v>1.0</v>
      </c>
      <c r="L335" s="237">
        <v>0.0</v>
      </c>
      <c r="M335" s="237">
        <v>1.0</v>
      </c>
      <c r="N335" s="237">
        <v>1.0</v>
      </c>
    </row>
    <row r="336">
      <c r="A336" s="236" t="s">
        <v>842</v>
      </c>
      <c r="B336" s="237">
        <v>4349.0</v>
      </c>
      <c r="C336" s="236" t="s">
        <v>842</v>
      </c>
      <c r="D336" s="236" t="s">
        <v>492</v>
      </c>
      <c r="E336" s="236" t="s">
        <v>930</v>
      </c>
      <c r="F336" s="236" t="s">
        <v>1033</v>
      </c>
      <c r="G336" s="237">
        <v>9.0</v>
      </c>
      <c r="H336" s="237">
        <v>9.0</v>
      </c>
      <c r="I336" s="237">
        <v>0.0</v>
      </c>
      <c r="J336" s="237">
        <v>10.0</v>
      </c>
      <c r="K336" s="237">
        <v>10.0</v>
      </c>
      <c r="L336" s="237">
        <v>0.0</v>
      </c>
      <c r="M336" s="237">
        <v>23.0</v>
      </c>
      <c r="N336" s="237">
        <v>28.0</v>
      </c>
    </row>
    <row r="337">
      <c r="A337" s="236" t="s">
        <v>1124</v>
      </c>
      <c r="B337" s="237">
        <v>6827.0</v>
      </c>
      <c r="C337" s="236" t="s">
        <v>1124</v>
      </c>
      <c r="D337" s="236" t="s">
        <v>507</v>
      </c>
      <c r="E337" s="236" t="s">
        <v>507</v>
      </c>
      <c r="F337" s="236" t="s">
        <v>972</v>
      </c>
      <c r="G337" s="237">
        <v>1.0</v>
      </c>
      <c r="H337" s="237">
        <v>1.0</v>
      </c>
      <c r="I337" s="237">
        <v>0.0</v>
      </c>
      <c r="J337" s="237">
        <v>1.0</v>
      </c>
      <c r="K337" s="237">
        <v>1.0</v>
      </c>
      <c r="L337" s="237">
        <v>0.0</v>
      </c>
      <c r="M337" s="237">
        <v>1.0</v>
      </c>
      <c r="N337" s="237">
        <v>1.0</v>
      </c>
    </row>
    <row r="338">
      <c r="A338" s="236" t="s">
        <v>1125</v>
      </c>
      <c r="B338" s="237">
        <v>5156.0</v>
      </c>
      <c r="C338" s="236" t="s">
        <v>1125</v>
      </c>
      <c r="D338" s="236" t="s">
        <v>480</v>
      </c>
      <c r="E338" s="236" t="s">
        <v>931</v>
      </c>
      <c r="F338" s="236" t="s">
        <v>972</v>
      </c>
      <c r="G338" s="237">
        <v>3.0</v>
      </c>
      <c r="H338" s="237">
        <v>3.0</v>
      </c>
      <c r="I338" s="237">
        <v>0.0</v>
      </c>
      <c r="J338" s="237">
        <v>3.0</v>
      </c>
      <c r="K338" s="237">
        <v>3.0</v>
      </c>
      <c r="L338" s="237">
        <v>0.0</v>
      </c>
      <c r="M338" s="237">
        <v>6.0</v>
      </c>
      <c r="N338" s="237">
        <v>6.0</v>
      </c>
    </row>
    <row r="339">
      <c r="A339" s="236" t="s">
        <v>1126</v>
      </c>
      <c r="B339" s="237">
        <v>4728.0</v>
      </c>
      <c r="C339" s="236" t="s">
        <v>1126</v>
      </c>
      <c r="D339" s="236" t="s">
        <v>507</v>
      </c>
      <c r="E339" s="236" t="s">
        <v>507</v>
      </c>
      <c r="F339" s="236" t="s">
        <v>991</v>
      </c>
      <c r="G339" s="237">
        <v>20.0</v>
      </c>
      <c r="H339" s="237">
        <v>20.0</v>
      </c>
      <c r="I339" s="237">
        <v>0.0</v>
      </c>
      <c r="J339" s="237">
        <v>20.0</v>
      </c>
      <c r="K339" s="237">
        <v>20.0</v>
      </c>
      <c r="L339" s="237">
        <v>0.0</v>
      </c>
      <c r="M339" s="237">
        <v>135.0</v>
      </c>
      <c r="N339" s="237">
        <v>135.0</v>
      </c>
    </row>
    <row r="340">
      <c r="A340" s="236" t="s">
        <v>1127</v>
      </c>
      <c r="B340" s="237">
        <v>6814.0</v>
      </c>
      <c r="C340" s="236" t="s">
        <v>1127</v>
      </c>
      <c r="D340" s="236" t="s">
        <v>480</v>
      </c>
      <c r="E340" s="236" t="s">
        <v>938</v>
      </c>
      <c r="F340" s="236" t="s">
        <v>1026</v>
      </c>
      <c r="G340" s="237">
        <v>4.0</v>
      </c>
      <c r="H340" s="237">
        <v>3.0</v>
      </c>
      <c r="I340" s="237">
        <v>1.0</v>
      </c>
      <c r="J340" s="237">
        <v>4.0</v>
      </c>
      <c r="K340" s="237">
        <v>3.0</v>
      </c>
      <c r="L340" s="237">
        <v>1.0</v>
      </c>
      <c r="M340" s="237">
        <v>11.0</v>
      </c>
      <c r="N340" s="237">
        <v>11.0</v>
      </c>
    </row>
    <row r="341">
      <c r="A341" s="236" t="s">
        <v>626</v>
      </c>
      <c r="B341" s="237">
        <v>6556.0</v>
      </c>
      <c r="C341" s="236" t="s">
        <v>626</v>
      </c>
      <c r="D341" s="236" t="s">
        <v>507</v>
      </c>
      <c r="E341" s="236" t="s">
        <v>507</v>
      </c>
      <c r="F341" s="236" t="s">
        <v>1000</v>
      </c>
      <c r="G341" s="237">
        <v>6.0</v>
      </c>
      <c r="H341" s="237">
        <v>7.0</v>
      </c>
      <c r="I341" s="237">
        <v>-1.0</v>
      </c>
      <c r="J341" s="237">
        <v>6.0</v>
      </c>
      <c r="K341" s="237">
        <v>7.0</v>
      </c>
      <c r="L341" s="237">
        <v>-1.0</v>
      </c>
      <c r="M341" s="237">
        <v>9.0</v>
      </c>
      <c r="N341" s="237">
        <v>9.0</v>
      </c>
    </row>
    <row r="342">
      <c r="A342" s="236" t="s">
        <v>1128</v>
      </c>
      <c r="B342" s="237">
        <v>7185.0</v>
      </c>
      <c r="C342" s="236" t="s">
        <v>1128</v>
      </c>
      <c r="D342" s="236" t="s">
        <v>477</v>
      </c>
      <c r="E342" s="236" t="s">
        <v>478</v>
      </c>
      <c r="F342" s="236" t="s">
        <v>993</v>
      </c>
      <c r="G342" s="237">
        <v>1.0</v>
      </c>
      <c r="H342" s="237">
        <v>1.0</v>
      </c>
      <c r="I342" s="237">
        <v>0.0</v>
      </c>
      <c r="J342" s="237">
        <v>1.0</v>
      </c>
      <c r="K342" s="237">
        <v>1.0</v>
      </c>
      <c r="L342" s="237">
        <v>0.0</v>
      </c>
      <c r="M342" s="237">
        <v>1.0</v>
      </c>
      <c r="N342" s="237">
        <v>1.0</v>
      </c>
    </row>
    <row r="343">
      <c r="A343" s="236" t="s">
        <v>388</v>
      </c>
      <c r="B343" s="237">
        <v>5336.0</v>
      </c>
      <c r="C343" s="236" t="s">
        <v>388</v>
      </c>
      <c r="D343" s="236" t="s">
        <v>507</v>
      </c>
      <c r="E343" s="236" t="s">
        <v>512</v>
      </c>
      <c r="F343" s="236" t="s">
        <v>977</v>
      </c>
      <c r="G343" s="237">
        <v>12.0</v>
      </c>
      <c r="H343" s="237">
        <v>12.0</v>
      </c>
      <c r="I343" s="237">
        <v>0.0</v>
      </c>
      <c r="J343" s="237">
        <v>12.0</v>
      </c>
      <c r="K343" s="237">
        <v>12.0</v>
      </c>
      <c r="L343" s="237">
        <v>0.0</v>
      </c>
      <c r="M343" s="237">
        <v>28.0</v>
      </c>
      <c r="N343" s="237">
        <v>25.0</v>
      </c>
    </row>
    <row r="344">
      <c r="A344" s="236" t="s">
        <v>1129</v>
      </c>
      <c r="B344" s="237">
        <v>5701.0</v>
      </c>
      <c r="C344" s="236" t="s">
        <v>1129</v>
      </c>
      <c r="D344" s="236" t="s">
        <v>480</v>
      </c>
      <c r="E344" s="236" t="s">
        <v>1022</v>
      </c>
      <c r="F344" s="236" t="s">
        <v>975</v>
      </c>
      <c r="G344" s="237">
        <v>4.0</v>
      </c>
      <c r="H344" s="237">
        <v>4.0</v>
      </c>
      <c r="I344" s="237">
        <v>0.0</v>
      </c>
      <c r="J344" s="237">
        <v>4.0</v>
      </c>
      <c r="K344" s="237">
        <v>4.0</v>
      </c>
      <c r="L344" s="237">
        <v>0.0</v>
      </c>
      <c r="M344" s="237">
        <v>10.0</v>
      </c>
      <c r="N344" s="237">
        <v>11.0</v>
      </c>
    </row>
    <row r="345">
      <c r="A345" s="236" t="s">
        <v>1130</v>
      </c>
      <c r="B345" s="237">
        <v>7154.0</v>
      </c>
      <c r="C345" s="236" t="s">
        <v>1130</v>
      </c>
      <c r="D345" s="236" t="s">
        <v>480</v>
      </c>
      <c r="E345" s="236" t="s">
        <v>481</v>
      </c>
      <c r="F345" s="236" t="s">
        <v>1005</v>
      </c>
      <c r="G345" s="237">
        <v>3.0</v>
      </c>
      <c r="H345" s="237">
        <v>3.0</v>
      </c>
      <c r="I345" s="237">
        <v>0.0</v>
      </c>
      <c r="J345" s="237">
        <v>3.0</v>
      </c>
      <c r="K345" s="237">
        <v>3.0</v>
      </c>
      <c r="L345" s="237">
        <v>0.0</v>
      </c>
      <c r="M345" s="237">
        <v>8.0</v>
      </c>
      <c r="N345" s="237">
        <v>8.0</v>
      </c>
    </row>
    <row r="346">
      <c r="A346" s="236" t="s">
        <v>73</v>
      </c>
      <c r="B346" s="237">
        <v>2765.0</v>
      </c>
      <c r="C346" s="236" t="s">
        <v>73</v>
      </c>
      <c r="D346" s="236" t="s">
        <v>492</v>
      </c>
      <c r="E346" s="236" t="s">
        <v>947</v>
      </c>
      <c r="F346" s="236" t="s">
        <v>1009</v>
      </c>
      <c r="G346" s="237">
        <v>15.0</v>
      </c>
      <c r="H346" s="237">
        <v>16.0</v>
      </c>
      <c r="I346" s="237">
        <v>-1.0</v>
      </c>
      <c r="J346" s="237">
        <v>14.0</v>
      </c>
      <c r="K346" s="237">
        <v>15.0</v>
      </c>
      <c r="L346" s="237">
        <v>-1.0</v>
      </c>
      <c r="M346" s="237">
        <v>67.0</v>
      </c>
      <c r="N346" s="237">
        <v>67.0</v>
      </c>
    </row>
    <row r="347">
      <c r="A347" s="236" t="s">
        <v>1131</v>
      </c>
      <c r="B347" s="237">
        <v>7271.0</v>
      </c>
      <c r="C347" s="236" t="s">
        <v>1131</v>
      </c>
      <c r="D347" s="236" t="s">
        <v>480</v>
      </c>
      <c r="E347" s="236" t="s">
        <v>481</v>
      </c>
      <c r="F347" s="236" t="s">
        <v>991</v>
      </c>
      <c r="G347" s="237">
        <v>2.0</v>
      </c>
      <c r="H347" s="237">
        <v>2.0</v>
      </c>
      <c r="I347" s="237">
        <v>0.0</v>
      </c>
      <c r="J347" s="237">
        <v>2.0</v>
      </c>
      <c r="K347" s="237">
        <v>2.0</v>
      </c>
      <c r="L347" s="237">
        <v>0.0</v>
      </c>
      <c r="M347" s="237">
        <v>5.0</v>
      </c>
      <c r="N347" s="237">
        <v>5.0</v>
      </c>
    </row>
    <row r="348">
      <c r="A348" s="236" t="s">
        <v>1132</v>
      </c>
      <c r="B348" s="237">
        <v>5515.0</v>
      </c>
      <c r="C348" s="236" t="s">
        <v>1132</v>
      </c>
      <c r="D348" s="236" t="s">
        <v>507</v>
      </c>
      <c r="E348" s="236" t="s">
        <v>507</v>
      </c>
      <c r="F348" s="236" t="s">
        <v>995</v>
      </c>
      <c r="G348" s="237">
        <v>6.0</v>
      </c>
      <c r="H348" s="237">
        <v>5.0</v>
      </c>
      <c r="I348" s="237">
        <v>1.0</v>
      </c>
      <c r="J348" s="237">
        <v>6.0</v>
      </c>
      <c r="K348" s="237">
        <v>5.0</v>
      </c>
      <c r="L348" s="237">
        <v>1.0</v>
      </c>
      <c r="M348" s="237">
        <v>3.0</v>
      </c>
      <c r="N348" s="237">
        <v>3.0</v>
      </c>
    </row>
    <row r="349">
      <c r="A349" s="236" t="s">
        <v>864</v>
      </c>
      <c r="B349" s="237">
        <v>6462.0</v>
      </c>
      <c r="C349" s="236" t="s">
        <v>864</v>
      </c>
      <c r="D349" s="236" t="s">
        <v>477</v>
      </c>
      <c r="E349" s="236" t="s">
        <v>478</v>
      </c>
      <c r="F349" s="236" t="s">
        <v>993</v>
      </c>
      <c r="G349" s="237">
        <v>5.0</v>
      </c>
      <c r="H349" s="237">
        <v>6.0</v>
      </c>
      <c r="I349" s="237">
        <v>-1.0</v>
      </c>
      <c r="J349" s="237">
        <v>5.0</v>
      </c>
      <c r="K349" s="237">
        <v>6.0</v>
      </c>
      <c r="L349" s="237">
        <v>-1.0</v>
      </c>
      <c r="M349" s="237">
        <v>15.0</v>
      </c>
      <c r="N349" s="237">
        <v>15.0</v>
      </c>
    </row>
    <row r="350">
      <c r="A350" s="236" t="s">
        <v>802</v>
      </c>
      <c r="B350" s="237">
        <v>5840.0</v>
      </c>
      <c r="C350" s="236" t="s">
        <v>802</v>
      </c>
      <c r="D350" s="236" t="s">
        <v>480</v>
      </c>
      <c r="E350" s="236" t="s">
        <v>931</v>
      </c>
      <c r="F350" s="236" t="s">
        <v>987</v>
      </c>
      <c r="G350" s="237">
        <v>10.0</v>
      </c>
      <c r="H350" s="237">
        <v>10.0</v>
      </c>
      <c r="I350" s="237">
        <v>0.0</v>
      </c>
      <c r="J350" s="237">
        <v>10.0</v>
      </c>
      <c r="K350" s="237">
        <v>10.0</v>
      </c>
      <c r="L350" s="237">
        <v>0.0</v>
      </c>
      <c r="M350" s="237">
        <v>21.0</v>
      </c>
      <c r="N350" s="237">
        <v>21.0</v>
      </c>
    </row>
    <row r="351">
      <c r="A351" s="236" t="s">
        <v>1133</v>
      </c>
      <c r="B351" s="237">
        <v>6538.0</v>
      </c>
      <c r="C351" s="236" t="s">
        <v>1133</v>
      </c>
      <c r="D351" s="236" t="s">
        <v>492</v>
      </c>
      <c r="E351" s="236" t="s">
        <v>930</v>
      </c>
      <c r="F351" s="236" t="s">
        <v>1026</v>
      </c>
      <c r="G351" s="237">
        <v>2.0</v>
      </c>
      <c r="H351" s="237">
        <v>2.0</v>
      </c>
      <c r="I351" s="237">
        <v>0.0</v>
      </c>
      <c r="J351" s="237">
        <v>2.0</v>
      </c>
      <c r="K351" s="237">
        <v>2.0</v>
      </c>
      <c r="L351" s="237">
        <v>0.0</v>
      </c>
      <c r="M351" s="237">
        <v>4.0</v>
      </c>
      <c r="N351" s="237">
        <v>4.0</v>
      </c>
    </row>
    <row r="352">
      <c r="A352" s="236" t="s">
        <v>1134</v>
      </c>
      <c r="B352" s="237">
        <v>6984.0</v>
      </c>
      <c r="C352" s="236" t="s">
        <v>1134</v>
      </c>
      <c r="D352" s="236" t="s">
        <v>492</v>
      </c>
      <c r="E352" s="236" t="s">
        <v>935</v>
      </c>
      <c r="F352" s="236" t="s">
        <v>985</v>
      </c>
      <c r="G352" s="237">
        <v>12.0</v>
      </c>
      <c r="H352" s="237">
        <v>13.0</v>
      </c>
      <c r="I352" s="237">
        <v>-1.0</v>
      </c>
      <c r="J352" s="237">
        <v>11.0</v>
      </c>
      <c r="K352" s="237">
        <v>12.0</v>
      </c>
      <c r="L352" s="237">
        <v>-1.0</v>
      </c>
      <c r="M352" s="237">
        <v>15.0</v>
      </c>
      <c r="N352" s="237">
        <v>15.0</v>
      </c>
    </row>
    <row r="353">
      <c r="A353" s="236" t="s">
        <v>425</v>
      </c>
      <c r="B353" s="237">
        <v>6314.0</v>
      </c>
      <c r="C353" s="236" t="s">
        <v>425</v>
      </c>
      <c r="D353" s="236" t="s">
        <v>507</v>
      </c>
      <c r="E353" s="236" t="s">
        <v>512</v>
      </c>
      <c r="F353" s="236" t="s">
        <v>976</v>
      </c>
      <c r="G353" s="237">
        <v>22.0</v>
      </c>
      <c r="H353" s="237">
        <v>22.0</v>
      </c>
      <c r="I353" s="237">
        <v>0.0</v>
      </c>
      <c r="J353" s="237">
        <v>22.0</v>
      </c>
      <c r="K353" s="237">
        <v>22.0</v>
      </c>
      <c r="L353" s="237">
        <v>0.0</v>
      </c>
      <c r="M353" s="237">
        <v>147.0</v>
      </c>
      <c r="N353" s="237">
        <v>147.0</v>
      </c>
    </row>
    <row r="354">
      <c r="A354" s="236" t="s">
        <v>1135</v>
      </c>
      <c r="B354" s="237">
        <v>6552.0</v>
      </c>
      <c r="C354" s="236" t="s">
        <v>1135</v>
      </c>
      <c r="D354" s="236" t="s">
        <v>507</v>
      </c>
      <c r="E354" s="236" t="s">
        <v>512</v>
      </c>
      <c r="F354" s="236" t="s">
        <v>983</v>
      </c>
      <c r="G354" s="237">
        <v>15.0</v>
      </c>
      <c r="H354" s="237">
        <v>15.0</v>
      </c>
      <c r="I354" s="237">
        <v>0.0</v>
      </c>
      <c r="J354" s="237">
        <v>15.0</v>
      </c>
      <c r="K354" s="237">
        <v>15.0</v>
      </c>
      <c r="L354" s="237">
        <v>0.0</v>
      </c>
      <c r="M354" s="237">
        <v>46.0</v>
      </c>
      <c r="N354" s="237">
        <v>46.0</v>
      </c>
    </row>
    <row r="355">
      <c r="A355" s="236" t="s">
        <v>1136</v>
      </c>
      <c r="B355" s="237">
        <v>7138.0</v>
      </c>
      <c r="C355" s="236" t="s">
        <v>1136</v>
      </c>
      <c r="D355" s="236" t="s">
        <v>492</v>
      </c>
      <c r="E355" s="236" t="s">
        <v>930</v>
      </c>
      <c r="F355" s="236" t="s">
        <v>985</v>
      </c>
      <c r="G355" s="237">
        <v>5.0</v>
      </c>
      <c r="H355" s="237">
        <v>5.0</v>
      </c>
      <c r="I355" s="237">
        <v>0.0</v>
      </c>
      <c r="J355" s="237">
        <v>6.0</v>
      </c>
      <c r="K355" s="237">
        <v>6.0</v>
      </c>
      <c r="L355" s="237">
        <v>0.0</v>
      </c>
      <c r="M355" s="237">
        <v>12.0</v>
      </c>
      <c r="N355" s="237">
        <v>15.0</v>
      </c>
    </row>
    <row r="356">
      <c r="A356" s="236" t="s">
        <v>705</v>
      </c>
      <c r="B356" s="237">
        <v>6218.0</v>
      </c>
      <c r="C356" s="236" t="s">
        <v>705</v>
      </c>
      <c r="D356" s="236" t="s">
        <v>492</v>
      </c>
      <c r="E356" s="236" t="s">
        <v>1137</v>
      </c>
      <c r="F356" s="236" t="s">
        <v>985</v>
      </c>
      <c r="G356" s="237">
        <v>12.0</v>
      </c>
      <c r="H356" s="237">
        <v>12.0</v>
      </c>
      <c r="I356" s="237">
        <v>0.0</v>
      </c>
      <c r="J356" s="237">
        <v>12.0</v>
      </c>
      <c r="K356" s="237">
        <v>12.0</v>
      </c>
      <c r="L356" s="237">
        <v>0.0</v>
      </c>
      <c r="M356" s="237">
        <v>38.0</v>
      </c>
      <c r="N356" s="237">
        <v>38.0</v>
      </c>
    </row>
    <row r="357">
      <c r="A357" s="236" t="s">
        <v>670</v>
      </c>
      <c r="B357" s="237">
        <v>2167.0</v>
      </c>
      <c r="C357" s="236" t="s">
        <v>670</v>
      </c>
      <c r="D357" s="236" t="s">
        <v>492</v>
      </c>
      <c r="E357" s="236" t="s">
        <v>935</v>
      </c>
      <c r="F357" s="236" t="s">
        <v>1009</v>
      </c>
      <c r="G357" s="237">
        <v>30.0</v>
      </c>
      <c r="H357" s="237">
        <v>30.0</v>
      </c>
      <c r="I357" s="237">
        <v>0.0</v>
      </c>
      <c r="J357" s="237">
        <v>29.0</v>
      </c>
      <c r="K357" s="237">
        <v>29.0</v>
      </c>
      <c r="L357" s="237">
        <v>0.0</v>
      </c>
      <c r="M357" s="237">
        <v>218.0</v>
      </c>
      <c r="N357" s="237">
        <v>218.0</v>
      </c>
    </row>
    <row r="358">
      <c r="A358" s="236" t="s">
        <v>457</v>
      </c>
      <c r="B358" s="237">
        <v>5750.0</v>
      </c>
      <c r="C358" s="236" t="s">
        <v>457</v>
      </c>
      <c r="D358" s="236" t="s">
        <v>480</v>
      </c>
      <c r="E358" s="236" t="s">
        <v>481</v>
      </c>
      <c r="F358" s="236" t="s">
        <v>1026</v>
      </c>
      <c r="G358" s="237">
        <v>5.0</v>
      </c>
      <c r="H358" s="237">
        <v>5.0</v>
      </c>
      <c r="I358" s="237">
        <v>0.0</v>
      </c>
      <c r="J358" s="237">
        <v>5.0</v>
      </c>
      <c r="K358" s="237">
        <v>5.0</v>
      </c>
      <c r="L358" s="237">
        <v>0.0</v>
      </c>
      <c r="M358" s="237">
        <v>13.0</v>
      </c>
      <c r="N358" s="237">
        <v>13.0</v>
      </c>
    </row>
    <row r="359">
      <c r="A359" s="236" t="s">
        <v>1138</v>
      </c>
      <c r="B359" s="237">
        <v>6977.0</v>
      </c>
      <c r="C359" s="236" t="s">
        <v>1138</v>
      </c>
      <c r="D359" s="236" t="s">
        <v>480</v>
      </c>
      <c r="E359" s="236" t="s">
        <v>481</v>
      </c>
      <c r="F359" s="236" t="s">
        <v>1026</v>
      </c>
      <c r="G359" s="237">
        <v>2.0</v>
      </c>
      <c r="H359" s="237">
        <v>2.0</v>
      </c>
      <c r="I359" s="237">
        <v>0.0</v>
      </c>
      <c r="J359" s="237">
        <v>2.0</v>
      </c>
      <c r="K359" s="237">
        <v>2.0</v>
      </c>
      <c r="L359" s="237">
        <v>0.0</v>
      </c>
      <c r="M359" s="237">
        <v>3.0</v>
      </c>
      <c r="N359" s="237">
        <v>3.0</v>
      </c>
    </row>
    <row r="360">
      <c r="A360" s="236" t="s">
        <v>1139</v>
      </c>
      <c r="B360" s="237">
        <v>6992.0</v>
      </c>
      <c r="C360" s="236" t="s">
        <v>1139</v>
      </c>
      <c r="D360" s="236" t="s">
        <v>480</v>
      </c>
      <c r="E360" s="236" t="s">
        <v>1019</v>
      </c>
      <c r="F360" s="236" t="s">
        <v>983</v>
      </c>
      <c r="G360" s="237">
        <v>2.0</v>
      </c>
      <c r="H360" s="237">
        <v>2.0</v>
      </c>
      <c r="I360" s="237">
        <v>0.0</v>
      </c>
      <c r="J360" s="237">
        <v>2.0</v>
      </c>
      <c r="K360" s="237">
        <v>2.0</v>
      </c>
      <c r="L360" s="237">
        <v>0.0</v>
      </c>
      <c r="M360" s="237">
        <v>4.0</v>
      </c>
      <c r="N360" s="237">
        <v>5.0</v>
      </c>
    </row>
    <row r="361">
      <c r="A361" s="236" t="s">
        <v>1140</v>
      </c>
      <c r="B361" s="237">
        <v>543.0</v>
      </c>
      <c r="C361" s="236" t="s">
        <v>1140</v>
      </c>
      <c r="D361" s="236" t="s">
        <v>477</v>
      </c>
      <c r="E361" s="236" t="s">
        <v>478</v>
      </c>
      <c r="F361" s="236" t="s">
        <v>993</v>
      </c>
      <c r="G361" s="237">
        <v>1.0</v>
      </c>
      <c r="H361" s="237">
        <v>1.0</v>
      </c>
      <c r="I361" s="237">
        <v>0.0</v>
      </c>
      <c r="J361" s="237">
        <v>1.0</v>
      </c>
      <c r="K361" s="237">
        <v>1.0</v>
      </c>
      <c r="L361" s="237">
        <v>0.0</v>
      </c>
      <c r="M361" s="237">
        <v>1.0</v>
      </c>
      <c r="N361" s="237">
        <v>1.0</v>
      </c>
    </row>
    <row r="362">
      <c r="A362" s="236" t="s">
        <v>191</v>
      </c>
      <c r="B362" s="237">
        <v>5320.0</v>
      </c>
      <c r="C362" s="236" t="s">
        <v>191</v>
      </c>
      <c r="D362" s="236" t="s">
        <v>477</v>
      </c>
      <c r="E362" s="236" t="s">
        <v>478</v>
      </c>
      <c r="F362" s="236" t="s">
        <v>972</v>
      </c>
      <c r="G362" s="237">
        <v>1.0</v>
      </c>
      <c r="H362" s="237">
        <v>1.0</v>
      </c>
      <c r="I362" s="237">
        <v>0.0</v>
      </c>
      <c r="J362" s="237">
        <v>1.0</v>
      </c>
      <c r="K362" s="237">
        <v>1.0</v>
      </c>
      <c r="L362" s="237">
        <v>0.0</v>
      </c>
      <c r="M362" s="237">
        <v>1.0</v>
      </c>
      <c r="N362" s="237">
        <v>1.0</v>
      </c>
    </row>
    <row r="363">
      <c r="A363" s="236" t="s">
        <v>1141</v>
      </c>
      <c r="B363" s="237">
        <v>6832.0</v>
      </c>
      <c r="C363" s="236" t="s">
        <v>1141</v>
      </c>
      <c r="D363" s="236" t="s">
        <v>480</v>
      </c>
      <c r="E363" s="236" t="s">
        <v>521</v>
      </c>
      <c r="F363" s="236" t="s">
        <v>975</v>
      </c>
      <c r="G363" s="237">
        <v>4.0</v>
      </c>
      <c r="H363" s="237">
        <v>3.0</v>
      </c>
      <c r="I363" s="237">
        <v>1.0</v>
      </c>
      <c r="J363" s="237">
        <v>3.0</v>
      </c>
      <c r="K363" s="237">
        <v>2.0</v>
      </c>
      <c r="L363" s="237">
        <v>1.0</v>
      </c>
      <c r="M363" s="237">
        <v>8.0</v>
      </c>
      <c r="N363" s="237">
        <v>7.0</v>
      </c>
    </row>
    <row r="364">
      <c r="A364" s="236" t="s">
        <v>451</v>
      </c>
      <c r="B364" s="237">
        <v>6925.0</v>
      </c>
      <c r="C364" s="236" t="s">
        <v>451</v>
      </c>
      <c r="D364" s="236" t="s">
        <v>480</v>
      </c>
      <c r="E364" s="236" t="s">
        <v>481</v>
      </c>
      <c r="F364" s="236" t="s">
        <v>993</v>
      </c>
      <c r="G364" s="237">
        <v>1.0</v>
      </c>
      <c r="H364" s="237">
        <v>1.0</v>
      </c>
      <c r="I364" s="237">
        <v>0.0</v>
      </c>
      <c r="J364" s="237">
        <v>1.0</v>
      </c>
      <c r="K364" s="237">
        <v>1.0</v>
      </c>
      <c r="L364" s="237">
        <v>0.0</v>
      </c>
      <c r="M364" s="237">
        <v>7.0</v>
      </c>
      <c r="N364" s="237">
        <v>7.0</v>
      </c>
    </row>
    <row r="365">
      <c r="A365" s="236" t="s">
        <v>635</v>
      </c>
      <c r="B365" s="237">
        <v>5449.0</v>
      </c>
      <c r="C365" s="236" t="s">
        <v>635</v>
      </c>
      <c r="D365" s="236" t="s">
        <v>480</v>
      </c>
      <c r="E365" s="236" t="s">
        <v>521</v>
      </c>
      <c r="F365" s="236" t="s">
        <v>1033</v>
      </c>
      <c r="G365" s="237">
        <v>5.0</v>
      </c>
      <c r="H365" s="237">
        <v>5.0</v>
      </c>
      <c r="I365" s="237">
        <v>0.0</v>
      </c>
      <c r="J365" s="237">
        <v>4.0</v>
      </c>
      <c r="K365" s="237">
        <v>4.0</v>
      </c>
      <c r="L365" s="237">
        <v>0.0</v>
      </c>
      <c r="M365" s="237">
        <v>11.0</v>
      </c>
      <c r="N365" s="237">
        <v>10.0</v>
      </c>
    </row>
    <row r="366">
      <c r="A366" s="236" t="s">
        <v>803</v>
      </c>
      <c r="B366" s="237">
        <v>2077.0</v>
      </c>
      <c r="C366" s="236" t="s">
        <v>803</v>
      </c>
      <c r="D366" s="236" t="s">
        <v>492</v>
      </c>
      <c r="E366" s="236" t="s">
        <v>934</v>
      </c>
      <c r="F366" s="236" t="s">
        <v>980</v>
      </c>
      <c r="G366" s="237">
        <v>11.0</v>
      </c>
      <c r="H366" s="237">
        <v>9.0</v>
      </c>
      <c r="I366" s="237">
        <v>2.0</v>
      </c>
      <c r="J366" s="237">
        <v>11.0</v>
      </c>
      <c r="K366" s="237">
        <v>9.0</v>
      </c>
      <c r="L366" s="237">
        <v>2.0</v>
      </c>
      <c r="M366" s="237">
        <v>28.0</v>
      </c>
      <c r="N366" s="237">
        <v>28.0</v>
      </c>
    </row>
    <row r="367">
      <c r="A367" s="236" t="s">
        <v>847</v>
      </c>
      <c r="B367" s="237">
        <v>327.0</v>
      </c>
      <c r="C367" s="236" t="s">
        <v>847</v>
      </c>
      <c r="D367" s="236" t="s">
        <v>480</v>
      </c>
      <c r="E367" s="236" t="s">
        <v>937</v>
      </c>
      <c r="F367" s="236" t="s">
        <v>1000</v>
      </c>
      <c r="G367" s="237">
        <v>4.0</v>
      </c>
      <c r="H367" s="237">
        <v>4.0</v>
      </c>
      <c r="I367" s="237">
        <v>0.0</v>
      </c>
      <c r="J367" s="237">
        <v>4.0</v>
      </c>
      <c r="K367" s="237">
        <v>4.0</v>
      </c>
      <c r="L367" s="237">
        <v>0.0</v>
      </c>
      <c r="M367" s="237">
        <v>7.0</v>
      </c>
      <c r="N367" s="237">
        <v>8.0</v>
      </c>
    </row>
    <row r="368">
      <c r="A368" s="236" t="s">
        <v>410</v>
      </c>
      <c r="B368" s="237">
        <v>5022.0</v>
      </c>
      <c r="C368" s="236" t="s">
        <v>410</v>
      </c>
      <c r="D368" s="236" t="s">
        <v>480</v>
      </c>
      <c r="E368" s="236" t="s">
        <v>481</v>
      </c>
      <c r="F368" s="236" t="s">
        <v>991</v>
      </c>
      <c r="G368" s="237">
        <v>9.0</v>
      </c>
      <c r="H368" s="237">
        <v>7.0</v>
      </c>
      <c r="I368" s="237">
        <v>2.0</v>
      </c>
      <c r="J368" s="237">
        <v>9.0</v>
      </c>
      <c r="K368" s="237">
        <v>7.0</v>
      </c>
      <c r="L368" s="237">
        <v>2.0</v>
      </c>
      <c r="M368" s="237">
        <v>21.0</v>
      </c>
      <c r="N368" s="237">
        <v>21.0</v>
      </c>
    </row>
    <row r="369">
      <c r="A369" s="236" t="s">
        <v>1142</v>
      </c>
      <c r="B369" s="237">
        <v>247.0</v>
      </c>
      <c r="C369" s="236" t="s">
        <v>1142</v>
      </c>
      <c r="D369" s="236" t="s">
        <v>507</v>
      </c>
      <c r="E369" s="236" t="s">
        <v>512</v>
      </c>
      <c r="F369" s="236" t="s">
        <v>975</v>
      </c>
      <c r="G369" s="237">
        <v>1.0</v>
      </c>
      <c r="H369" s="237">
        <v>1.0</v>
      </c>
      <c r="I369" s="237">
        <v>0.0</v>
      </c>
      <c r="J369" s="237">
        <v>1.0</v>
      </c>
      <c r="K369" s="237">
        <v>1.0</v>
      </c>
      <c r="L369" s="237">
        <v>0.0</v>
      </c>
      <c r="M369" s="237">
        <v>3.0</v>
      </c>
      <c r="N369" s="237">
        <v>3.0</v>
      </c>
    </row>
    <row r="370">
      <c r="A370" s="236" t="s">
        <v>865</v>
      </c>
      <c r="B370" s="237">
        <v>6481.0</v>
      </c>
      <c r="C370" s="236" t="s">
        <v>865</v>
      </c>
      <c r="D370" s="236" t="s">
        <v>492</v>
      </c>
      <c r="E370" s="236" t="s">
        <v>492</v>
      </c>
      <c r="F370" s="236" t="s">
        <v>995</v>
      </c>
      <c r="G370" s="237">
        <v>4.0</v>
      </c>
      <c r="H370" s="237">
        <v>4.0</v>
      </c>
      <c r="I370" s="237">
        <v>0.0</v>
      </c>
      <c r="J370" s="237">
        <v>4.0</v>
      </c>
      <c r="K370" s="237">
        <v>4.0</v>
      </c>
      <c r="L370" s="237">
        <v>0.0</v>
      </c>
      <c r="M370" s="237">
        <v>10.0</v>
      </c>
      <c r="N370" s="237">
        <v>10.0</v>
      </c>
    </row>
    <row r="371">
      <c r="A371" s="236" t="s">
        <v>671</v>
      </c>
      <c r="B371" s="237">
        <v>6875.0</v>
      </c>
      <c r="C371" s="236" t="s">
        <v>671</v>
      </c>
      <c r="D371" s="236" t="s">
        <v>492</v>
      </c>
      <c r="E371" s="236" t="s">
        <v>947</v>
      </c>
      <c r="F371" s="236" t="s">
        <v>974</v>
      </c>
      <c r="G371" s="237">
        <v>21.0</v>
      </c>
      <c r="H371" s="237">
        <v>20.0</v>
      </c>
      <c r="I371" s="237">
        <v>1.0</v>
      </c>
      <c r="J371" s="237">
        <v>21.0</v>
      </c>
      <c r="K371" s="237">
        <v>20.0</v>
      </c>
      <c r="L371" s="237">
        <v>1.0</v>
      </c>
      <c r="M371" s="237">
        <v>132.0</v>
      </c>
      <c r="N371" s="237">
        <v>132.0</v>
      </c>
    </row>
    <row r="372">
      <c r="A372" s="236" t="s">
        <v>1143</v>
      </c>
      <c r="B372" s="237">
        <v>6431.0</v>
      </c>
      <c r="C372" s="236" t="s">
        <v>1143</v>
      </c>
      <c r="D372" s="236" t="s">
        <v>480</v>
      </c>
      <c r="E372" s="236" t="s">
        <v>938</v>
      </c>
      <c r="F372" s="236" t="s">
        <v>1005</v>
      </c>
      <c r="G372" s="237">
        <v>1.0</v>
      </c>
      <c r="H372" s="237">
        <v>1.0</v>
      </c>
      <c r="I372" s="237">
        <v>0.0</v>
      </c>
      <c r="J372" s="237">
        <v>1.0</v>
      </c>
      <c r="K372" s="237">
        <v>1.0</v>
      </c>
      <c r="L372" s="237">
        <v>0.0</v>
      </c>
      <c r="M372" s="237">
        <v>5.0</v>
      </c>
      <c r="N372" s="237">
        <v>5.0</v>
      </c>
    </row>
    <row r="373">
      <c r="A373" s="236" t="s">
        <v>1144</v>
      </c>
      <c r="B373" s="237">
        <v>6426.0</v>
      </c>
      <c r="C373" s="236" t="s">
        <v>1144</v>
      </c>
      <c r="D373" s="236" t="s">
        <v>480</v>
      </c>
      <c r="E373" s="236" t="s">
        <v>938</v>
      </c>
      <c r="F373" s="236" t="s">
        <v>972</v>
      </c>
      <c r="G373" s="237">
        <v>4.0</v>
      </c>
      <c r="H373" s="237">
        <v>4.0</v>
      </c>
      <c r="I373" s="237">
        <v>0.0</v>
      </c>
      <c r="J373" s="237">
        <v>4.0</v>
      </c>
      <c r="K373" s="237">
        <v>4.0</v>
      </c>
      <c r="L373" s="237">
        <v>0.0</v>
      </c>
      <c r="M373" s="237">
        <v>9.0</v>
      </c>
      <c r="N373" s="237">
        <v>9.0</v>
      </c>
    </row>
    <row r="374">
      <c r="A374" s="236" t="s">
        <v>233</v>
      </c>
      <c r="B374" s="237">
        <v>2489.0</v>
      </c>
      <c r="C374" s="236" t="s">
        <v>233</v>
      </c>
      <c r="D374" s="236" t="s">
        <v>507</v>
      </c>
      <c r="E374" s="236" t="s">
        <v>507</v>
      </c>
      <c r="F374" s="236" t="s">
        <v>1000</v>
      </c>
      <c r="G374" s="237">
        <v>13.0</v>
      </c>
      <c r="H374" s="237">
        <v>13.0</v>
      </c>
      <c r="I374" s="237">
        <v>0.0</v>
      </c>
      <c r="J374" s="237">
        <v>13.0</v>
      </c>
      <c r="K374" s="237">
        <v>13.0</v>
      </c>
      <c r="L374" s="237">
        <v>0.0</v>
      </c>
      <c r="M374" s="237">
        <v>35.0</v>
      </c>
      <c r="N374" s="237">
        <v>35.0</v>
      </c>
    </row>
    <row r="375">
      <c r="A375" s="236" t="s">
        <v>281</v>
      </c>
      <c r="B375" s="237">
        <v>530.0</v>
      </c>
      <c r="C375" s="236" t="s">
        <v>281</v>
      </c>
      <c r="D375" s="236" t="s">
        <v>492</v>
      </c>
      <c r="E375" s="236" t="s">
        <v>934</v>
      </c>
      <c r="F375" s="236" t="s">
        <v>988</v>
      </c>
      <c r="G375" s="237">
        <v>10.0</v>
      </c>
      <c r="H375" s="237">
        <v>11.0</v>
      </c>
      <c r="I375" s="237">
        <v>-1.0</v>
      </c>
      <c r="J375" s="237">
        <v>10.0</v>
      </c>
      <c r="K375" s="237">
        <v>11.0</v>
      </c>
      <c r="L375" s="237">
        <v>-1.0</v>
      </c>
      <c r="M375" s="237">
        <v>20.0</v>
      </c>
      <c r="N375" s="237">
        <v>20.0</v>
      </c>
    </row>
    <row r="376">
      <c r="A376" s="236" t="s">
        <v>1145</v>
      </c>
      <c r="B376" s="237">
        <v>2728.0</v>
      </c>
      <c r="C376" s="236" t="s">
        <v>1145</v>
      </c>
      <c r="D376" s="236" t="s">
        <v>480</v>
      </c>
      <c r="E376" s="236" t="s">
        <v>931</v>
      </c>
      <c r="F376" s="236" t="s">
        <v>1000</v>
      </c>
      <c r="G376" s="237">
        <v>4.0</v>
      </c>
      <c r="H376" s="237">
        <v>3.0</v>
      </c>
      <c r="I376" s="237">
        <v>1.0</v>
      </c>
      <c r="J376" s="237">
        <v>4.0</v>
      </c>
      <c r="K376" s="237">
        <v>3.0</v>
      </c>
      <c r="L376" s="237">
        <v>1.0</v>
      </c>
      <c r="M376" s="237">
        <v>8.0</v>
      </c>
      <c r="N376" s="237">
        <v>8.0</v>
      </c>
    </row>
    <row r="377">
      <c r="A377" s="236" t="s">
        <v>1146</v>
      </c>
      <c r="B377" s="237">
        <v>7023.0</v>
      </c>
      <c r="C377" s="236" t="s">
        <v>1146</v>
      </c>
      <c r="D377" s="236" t="s">
        <v>507</v>
      </c>
      <c r="E377" s="236" t="s">
        <v>512</v>
      </c>
      <c r="F377" s="236" t="s">
        <v>985</v>
      </c>
      <c r="G377" s="237">
        <v>13.0</v>
      </c>
      <c r="H377" s="237">
        <v>13.0</v>
      </c>
      <c r="I377" s="237">
        <v>0.0</v>
      </c>
      <c r="J377" s="237">
        <v>12.0</v>
      </c>
      <c r="K377" s="237">
        <v>12.0</v>
      </c>
      <c r="L377" s="237">
        <v>0.0</v>
      </c>
      <c r="M377" s="237">
        <v>70.0</v>
      </c>
      <c r="N377" s="237">
        <v>67.0</v>
      </c>
    </row>
    <row r="378">
      <c r="A378" s="236" t="s">
        <v>1147</v>
      </c>
      <c r="B378" s="237">
        <v>7164.0</v>
      </c>
      <c r="C378" s="236" t="s">
        <v>1147</v>
      </c>
      <c r="D378" s="236" t="s">
        <v>480</v>
      </c>
      <c r="E378" s="236" t="s">
        <v>937</v>
      </c>
      <c r="F378" s="236" t="s">
        <v>998</v>
      </c>
      <c r="G378" s="237">
        <v>1.0</v>
      </c>
      <c r="H378" s="237">
        <v>1.0</v>
      </c>
      <c r="I378" s="237">
        <v>0.0</v>
      </c>
      <c r="J378" s="237">
        <v>1.0</v>
      </c>
      <c r="K378" s="237">
        <v>1.0</v>
      </c>
      <c r="L378" s="237">
        <v>0.0</v>
      </c>
      <c r="M378" s="237">
        <v>1.0</v>
      </c>
      <c r="N378" s="237">
        <v>1.0</v>
      </c>
    </row>
    <row r="379">
      <c r="A379" s="236" t="s">
        <v>1148</v>
      </c>
      <c r="B379" s="237">
        <v>511.0</v>
      </c>
      <c r="C379" s="236" t="s">
        <v>1148</v>
      </c>
      <c r="D379" s="236" t="s">
        <v>477</v>
      </c>
      <c r="E379" s="236" t="s">
        <v>478</v>
      </c>
      <c r="F379" s="236" t="s">
        <v>983</v>
      </c>
      <c r="G379" s="237">
        <v>1.0</v>
      </c>
      <c r="H379" s="237">
        <v>1.0</v>
      </c>
      <c r="I379" s="237">
        <v>0.0</v>
      </c>
      <c r="J379" s="237">
        <v>1.0</v>
      </c>
      <c r="K379" s="237">
        <v>1.0</v>
      </c>
      <c r="L379" s="237">
        <v>0.0</v>
      </c>
      <c r="M379" s="237">
        <v>1.0</v>
      </c>
      <c r="N379" s="237">
        <v>1.0</v>
      </c>
    </row>
    <row r="380">
      <c r="A380" s="236" t="s">
        <v>804</v>
      </c>
      <c r="B380" s="237">
        <v>218.0</v>
      </c>
      <c r="C380" s="236" t="s">
        <v>804</v>
      </c>
      <c r="D380" s="236" t="s">
        <v>477</v>
      </c>
      <c r="E380" s="236" t="s">
        <v>478</v>
      </c>
      <c r="F380" s="236" t="s">
        <v>976</v>
      </c>
      <c r="G380" s="237">
        <v>1.0</v>
      </c>
      <c r="H380" s="237">
        <v>1.0</v>
      </c>
      <c r="I380" s="237">
        <v>0.0</v>
      </c>
      <c r="J380" s="237">
        <v>1.0</v>
      </c>
      <c r="K380" s="237">
        <v>1.0</v>
      </c>
      <c r="L380" s="237">
        <v>0.0</v>
      </c>
      <c r="M380" s="237">
        <v>1.0</v>
      </c>
      <c r="N380" s="237">
        <v>1.0</v>
      </c>
    </row>
    <row r="381">
      <c r="A381" s="236" t="s">
        <v>1149</v>
      </c>
      <c r="B381" s="237">
        <v>6151.0</v>
      </c>
      <c r="C381" s="236" t="s">
        <v>1149</v>
      </c>
      <c r="D381" s="236" t="s">
        <v>492</v>
      </c>
      <c r="E381" s="236" t="s">
        <v>930</v>
      </c>
      <c r="F381" s="236" t="s">
        <v>974</v>
      </c>
      <c r="G381" s="237">
        <v>8.0</v>
      </c>
      <c r="H381" s="237">
        <v>8.0</v>
      </c>
      <c r="I381" s="237">
        <v>0.0</v>
      </c>
      <c r="J381" s="237">
        <v>9.0</v>
      </c>
      <c r="K381" s="237">
        <v>9.0</v>
      </c>
      <c r="L381" s="237">
        <v>0.0</v>
      </c>
      <c r="M381" s="237">
        <v>19.0</v>
      </c>
      <c r="N381" s="237">
        <v>21.0</v>
      </c>
    </row>
    <row r="382">
      <c r="A382" s="236" t="s">
        <v>1150</v>
      </c>
      <c r="B382" s="237">
        <v>7172.0</v>
      </c>
      <c r="C382" s="236" t="s">
        <v>1150</v>
      </c>
      <c r="D382" s="236" t="s">
        <v>477</v>
      </c>
      <c r="E382" s="236" t="s">
        <v>478</v>
      </c>
      <c r="F382" s="236" t="s">
        <v>1009</v>
      </c>
      <c r="G382" s="237">
        <v>1.0</v>
      </c>
      <c r="H382" s="237">
        <v>1.0</v>
      </c>
      <c r="I382" s="237">
        <v>0.0</v>
      </c>
      <c r="J382" s="237">
        <v>1.0</v>
      </c>
      <c r="K382" s="237">
        <v>1.0</v>
      </c>
      <c r="L382" s="237">
        <v>0.0</v>
      </c>
      <c r="M382" s="237">
        <v>1.0</v>
      </c>
      <c r="N382" s="237">
        <v>1.0</v>
      </c>
    </row>
    <row r="383">
      <c r="A383" s="236" t="s">
        <v>801</v>
      </c>
      <c r="B383" s="237">
        <v>770.0</v>
      </c>
      <c r="C383" s="236" t="s">
        <v>801</v>
      </c>
      <c r="D383" s="236" t="s">
        <v>480</v>
      </c>
      <c r="E383" s="236" t="s">
        <v>931</v>
      </c>
      <c r="F383" s="236" t="s">
        <v>995</v>
      </c>
      <c r="G383" s="237">
        <v>6.0</v>
      </c>
      <c r="H383" s="237">
        <v>5.0</v>
      </c>
      <c r="I383" s="237">
        <v>1.0</v>
      </c>
      <c r="J383" s="237">
        <v>6.0</v>
      </c>
      <c r="K383" s="237">
        <v>5.0</v>
      </c>
      <c r="L383" s="237">
        <v>1.0</v>
      </c>
      <c r="M383" s="237">
        <v>13.0</v>
      </c>
      <c r="N383" s="237">
        <v>13.0</v>
      </c>
    </row>
    <row r="384">
      <c r="A384" s="236" t="s">
        <v>1151</v>
      </c>
      <c r="B384" s="237">
        <v>7145.0</v>
      </c>
      <c r="C384" s="236" t="s">
        <v>1151</v>
      </c>
      <c r="D384" s="236" t="s">
        <v>492</v>
      </c>
      <c r="E384" s="236" t="s">
        <v>1152</v>
      </c>
      <c r="F384" s="236" t="s">
        <v>977</v>
      </c>
      <c r="G384" s="237">
        <v>6.0</v>
      </c>
      <c r="H384" s="237">
        <v>6.0</v>
      </c>
      <c r="I384" s="237">
        <v>0.0</v>
      </c>
      <c r="J384" s="237">
        <v>7.0</v>
      </c>
      <c r="K384" s="237">
        <v>7.0</v>
      </c>
      <c r="L384" s="237">
        <v>0.0</v>
      </c>
      <c r="M384" s="237">
        <v>9.0</v>
      </c>
      <c r="N384" s="237">
        <v>11.0</v>
      </c>
    </row>
    <row r="385">
      <c r="A385" s="236" t="s">
        <v>767</v>
      </c>
      <c r="B385" s="237">
        <v>4359.0</v>
      </c>
      <c r="C385" s="236" t="s">
        <v>767</v>
      </c>
      <c r="D385" s="236" t="s">
        <v>507</v>
      </c>
      <c r="E385" s="236" t="s">
        <v>512</v>
      </c>
      <c r="F385" s="236" t="s">
        <v>1033</v>
      </c>
      <c r="G385" s="237">
        <v>17.0</v>
      </c>
      <c r="H385" s="237">
        <v>17.0</v>
      </c>
      <c r="I385" s="237">
        <v>0.0</v>
      </c>
      <c r="J385" s="237">
        <v>17.0</v>
      </c>
      <c r="K385" s="237">
        <v>17.0</v>
      </c>
      <c r="L385" s="237">
        <v>0.0</v>
      </c>
      <c r="M385" s="237">
        <v>80.0</v>
      </c>
      <c r="N385" s="237">
        <v>77.0</v>
      </c>
    </row>
    <row r="386">
      <c r="A386" s="236" t="s">
        <v>1153</v>
      </c>
      <c r="B386" s="237">
        <v>7156.0</v>
      </c>
      <c r="C386" s="236" t="s">
        <v>1153</v>
      </c>
      <c r="D386" s="236" t="s">
        <v>480</v>
      </c>
      <c r="E386" s="236" t="s">
        <v>931</v>
      </c>
      <c r="F386" s="236" t="s">
        <v>1005</v>
      </c>
      <c r="G386" s="237">
        <v>2.0</v>
      </c>
      <c r="H386" s="237">
        <v>2.0</v>
      </c>
      <c r="I386" s="237">
        <v>0.0</v>
      </c>
      <c r="J386" s="237">
        <v>2.0</v>
      </c>
      <c r="K386" s="237">
        <v>2.0</v>
      </c>
      <c r="L386" s="237">
        <v>0.0</v>
      </c>
      <c r="M386" s="237">
        <v>4.0</v>
      </c>
      <c r="N386" s="237">
        <v>4.0</v>
      </c>
    </row>
    <row r="387">
      <c r="A387" s="236" t="s">
        <v>1154</v>
      </c>
      <c r="B387" s="237">
        <v>1842.0</v>
      </c>
      <c r="C387" s="236" t="s">
        <v>1154</v>
      </c>
      <c r="D387" s="236" t="s">
        <v>507</v>
      </c>
      <c r="E387" s="236" t="s">
        <v>507</v>
      </c>
      <c r="F387" s="236" t="s">
        <v>1005</v>
      </c>
      <c r="G387" s="237">
        <v>4.0</v>
      </c>
      <c r="H387" s="237">
        <v>5.0</v>
      </c>
      <c r="I387" s="237">
        <v>-1.0</v>
      </c>
      <c r="J387" s="237">
        <v>4.0</v>
      </c>
      <c r="K387" s="237">
        <v>5.0</v>
      </c>
      <c r="L387" s="237">
        <v>-1.0</v>
      </c>
      <c r="M387" s="237">
        <v>9.0</v>
      </c>
      <c r="N387" s="237">
        <v>9.0</v>
      </c>
    </row>
    <row r="388">
      <c r="A388" s="236" t="s">
        <v>764</v>
      </c>
      <c r="B388" s="237">
        <v>6549.0</v>
      </c>
      <c r="C388" s="236" t="s">
        <v>764</v>
      </c>
      <c r="D388" s="236" t="s">
        <v>492</v>
      </c>
      <c r="E388" s="236" t="s">
        <v>935</v>
      </c>
      <c r="F388" s="236" t="s">
        <v>998</v>
      </c>
      <c r="G388" s="237">
        <v>10.0</v>
      </c>
      <c r="H388" s="237">
        <v>10.0</v>
      </c>
      <c r="I388" s="237">
        <v>0.0</v>
      </c>
      <c r="J388" s="237">
        <v>9.0</v>
      </c>
      <c r="K388" s="237">
        <v>9.0</v>
      </c>
      <c r="L388" s="237">
        <v>0.0</v>
      </c>
      <c r="M388" s="237">
        <v>20.0</v>
      </c>
      <c r="N388" s="237">
        <v>18.0</v>
      </c>
    </row>
    <row r="389">
      <c r="A389" s="236" t="s">
        <v>672</v>
      </c>
      <c r="B389" s="237">
        <v>6633.0</v>
      </c>
      <c r="C389" s="236" t="s">
        <v>672</v>
      </c>
      <c r="D389" s="236" t="s">
        <v>492</v>
      </c>
      <c r="E389" s="236" t="s">
        <v>930</v>
      </c>
      <c r="F389" s="236" t="s">
        <v>998</v>
      </c>
      <c r="G389" s="237">
        <v>6.0</v>
      </c>
      <c r="H389" s="237">
        <v>6.0</v>
      </c>
      <c r="I389" s="237">
        <v>0.0</v>
      </c>
      <c r="J389" s="237">
        <v>6.0</v>
      </c>
      <c r="K389" s="237">
        <v>7.0</v>
      </c>
      <c r="L389" s="237">
        <v>-1.0</v>
      </c>
      <c r="M389" s="237">
        <v>12.0</v>
      </c>
      <c r="N389" s="237">
        <v>13.0</v>
      </c>
    </row>
    <row r="390">
      <c r="A390" s="236" t="s">
        <v>740</v>
      </c>
      <c r="B390" s="237">
        <v>2038.0</v>
      </c>
      <c r="C390" s="236" t="s">
        <v>740</v>
      </c>
      <c r="D390" s="236" t="s">
        <v>507</v>
      </c>
      <c r="E390" s="236" t="s">
        <v>512</v>
      </c>
      <c r="F390" s="236" t="s">
        <v>1005</v>
      </c>
      <c r="G390" s="237">
        <v>16.0</v>
      </c>
      <c r="H390" s="237">
        <v>16.0</v>
      </c>
      <c r="I390" s="237">
        <v>0.0</v>
      </c>
      <c r="J390" s="237">
        <v>16.0</v>
      </c>
      <c r="K390" s="237">
        <v>16.0</v>
      </c>
      <c r="L390" s="237">
        <v>0.0</v>
      </c>
      <c r="M390" s="237">
        <v>82.0</v>
      </c>
      <c r="N390" s="237">
        <v>79.0</v>
      </c>
    </row>
    <row r="391">
      <c r="A391" s="236" t="s">
        <v>805</v>
      </c>
      <c r="B391" s="237">
        <v>1930.0</v>
      </c>
      <c r="C391" s="236" t="s">
        <v>805</v>
      </c>
      <c r="D391" s="236" t="s">
        <v>477</v>
      </c>
      <c r="E391" s="236" t="s">
        <v>478</v>
      </c>
      <c r="F391" s="236" t="s">
        <v>976</v>
      </c>
      <c r="G391" s="237">
        <v>1.0</v>
      </c>
      <c r="H391" s="237">
        <v>1.0</v>
      </c>
      <c r="I391" s="237">
        <v>0.0</v>
      </c>
      <c r="J391" s="237">
        <v>1.0</v>
      </c>
      <c r="K391" s="237">
        <v>1.0</v>
      </c>
      <c r="L391" s="237">
        <v>0.0</v>
      </c>
      <c r="M391" s="237">
        <v>1.0</v>
      </c>
      <c r="N391" s="237">
        <v>1.0</v>
      </c>
    </row>
    <row r="392">
      <c r="A392" s="236" t="s">
        <v>1155</v>
      </c>
      <c r="B392" s="237">
        <v>7198.0</v>
      </c>
      <c r="C392" s="236" t="s">
        <v>1155</v>
      </c>
      <c r="D392" s="236" t="s">
        <v>492</v>
      </c>
      <c r="E392" s="236" t="s">
        <v>492</v>
      </c>
      <c r="F392" s="236" t="s">
        <v>993</v>
      </c>
      <c r="G392" s="237">
        <v>6.0</v>
      </c>
      <c r="H392" s="237">
        <v>6.0</v>
      </c>
      <c r="I392" s="237">
        <v>0.0</v>
      </c>
      <c r="J392" s="237">
        <v>6.0</v>
      </c>
      <c r="K392" s="237">
        <v>6.0</v>
      </c>
      <c r="L392" s="237">
        <v>0.0</v>
      </c>
      <c r="M392" s="237">
        <v>12.0</v>
      </c>
      <c r="N392" s="237">
        <v>12.0</v>
      </c>
    </row>
    <row r="393">
      <c r="A393" s="236" t="s">
        <v>189</v>
      </c>
      <c r="B393" s="237">
        <v>6190.0</v>
      </c>
      <c r="C393" s="236" t="s">
        <v>189</v>
      </c>
      <c r="D393" s="236" t="s">
        <v>492</v>
      </c>
      <c r="E393" s="236" t="s">
        <v>492</v>
      </c>
      <c r="F393" s="236" t="s">
        <v>988</v>
      </c>
      <c r="G393" s="237">
        <v>6.0</v>
      </c>
      <c r="H393" s="237">
        <v>7.0</v>
      </c>
      <c r="I393" s="237">
        <v>-1.0</v>
      </c>
      <c r="J393" s="237">
        <v>6.0</v>
      </c>
      <c r="K393" s="237">
        <v>7.0</v>
      </c>
      <c r="L393" s="237">
        <v>-1.0</v>
      </c>
      <c r="M393" s="237">
        <v>15.0</v>
      </c>
      <c r="N393" s="237">
        <v>15.0</v>
      </c>
    </row>
    <row r="394">
      <c r="A394" s="236" t="s">
        <v>829</v>
      </c>
      <c r="B394" s="237">
        <v>5298.0</v>
      </c>
      <c r="C394" s="236" t="s">
        <v>829</v>
      </c>
      <c r="D394" s="236" t="s">
        <v>492</v>
      </c>
      <c r="E394" s="236" t="s">
        <v>930</v>
      </c>
      <c r="F394" s="236" t="s">
        <v>1009</v>
      </c>
      <c r="G394" s="237">
        <v>7.0</v>
      </c>
      <c r="H394" s="237">
        <v>8.0</v>
      </c>
      <c r="I394" s="237">
        <v>-1.0</v>
      </c>
      <c r="J394" s="237">
        <v>8.0</v>
      </c>
      <c r="K394" s="237">
        <v>9.0</v>
      </c>
      <c r="L394" s="237">
        <v>-1.0</v>
      </c>
      <c r="M394" s="237">
        <v>22.0</v>
      </c>
      <c r="N394" s="237">
        <v>24.0</v>
      </c>
    </row>
    <row r="395">
      <c r="A395" s="236" t="s">
        <v>887</v>
      </c>
      <c r="B395" s="237">
        <v>536.0</v>
      </c>
      <c r="C395" s="236" t="s">
        <v>887</v>
      </c>
      <c r="D395" s="236" t="s">
        <v>492</v>
      </c>
      <c r="E395" s="236" t="s">
        <v>563</v>
      </c>
      <c r="F395" s="236" t="s">
        <v>987</v>
      </c>
      <c r="G395" s="237">
        <v>16.0</v>
      </c>
      <c r="H395" s="237">
        <v>15.0</v>
      </c>
      <c r="I395" s="237">
        <v>1.0</v>
      </c>
      <c r="J395" s="237">
        <v>15.0</v>
      </c>
      <c r="K395" s="237">
        <v>14.0</v>
      </c>
      <c r="L395" s="237">
        <v>1.0</v>
      </c>
      <c r="M395" s="237">
        <v>65.0</v>
      </c>
      <c r="N395" s="237">
        <v>65.0</v>
      </c>
    </row>
    <row r="396">
      <c r="A396" s="236" t="s">
        <v>706</v>
      </c>
      <c r="B396" s="237">
        <v>5603.0</v>
      </c>
      <c r="C396" s="236" t="s">
        <v>706</v>
      </c>
      <c r="D396" s="236" t="s">
        <v>480</v>
      </c>
      <c r="E396" s="236" t="s">
        <v>481</v>
      </c>
      <c r="F396" s="236" t="s">
        <v>1033</v>
      </c>
      <c r="G396" s="237">
        <v>5.0</v>
      </c>
      <c r="H396" s="237">
        <v>5.0</v>
      </c>
      <c r="I396" s="237">
        <v>0.0</v>
      </c>
      <c r="J396" s="237">
        <v>5.0</v>
      </c>
      <c r="K396" s="237">
        <v>5.0</v>
      </c>
      <c r="L396" s="237">
        <v>0.0</v>
      </c>
      <c r="M396" s="237">
        <v>16.0</v>
      </c>
      <c r="N396" s="237">
        <v>16.0</v>
      </c>
    </row>
    <row r="397">
      <c r="A397" s="236" t="s">
        <v>1156</v>
      </c>
      <c r="B397" s="237">
        <v>6210.0</v>
      </c>
      <c r="C397" s="236" t="s">
        <v>1156</v>
      </c>
      <c r="D397" s="236" t="s">
        <v>477</v>
      </c>
      <c r="E397" s="236" t="s">
        <v>478</v>
      </c>
      <c r="F397" s="236" t="s">
        <v>972</v>
      </c>
      <c r="G397" s="237">
        <v>1.0</v>
      </c>
      <c r="H397" s="237">
        <v>1.0</v>
      </c>
      <c r="I397" s="237">
        <v>0.0</v>
      </c>
      <c r="J397" s="237">
        <v>1.0</v>
      </c>
      <c r="K397" s="237">
        <v>1.0</v>
      </c>
      <c r="L397" s="237">
        <v>0.0</v>
      </c>
      <c r="M397" s="237">
        <v>1.0</v>
      </c>
      <c r="N397" s="237">
        <v>1.0</v>
      </c>
    </row>
    <row r="398">
      <c r="A398" s="236" t="s">
        <v>346</v>
      </c>
      <c r="B398" s="237">
        <v>6066.0</v>
      </c>
      <c r="C398" s="236" t="s">
        <v>346</v>
      </c>
      <c r="D398" s="236" t="s">
        <v>480</v>
      </c>
      <c r="E398" s="236" t="s">
        <v>937</v>
      </c>
      <c r="F398" s="236" t="s">
        <v>974</v>
      </c>
      <c r="G398" s="237">
        <v>4.0</v>
      </c>
      <c r="H398" s="237">
        <v>5.0</v>
      </c>
      <c r="I398" s="237">
        <v>-1.0</v>
      </c>
      <c r="J398" s="237">
        <v>6.0</v>
      </c>
      <c r="K398" s="237">
        <v>6.0</v>
      </c>
      <c r="L398" s="237">
        <v>0.0</v>
      </c>
      <c r="M398" s="237">
        <v>10.0</v>
      </c>
      <c r="N398" s="237">
        <v>12.0</v>
      </c>
    </row>
    <row r="399">
      <c r="A399" s="236" t="s">
        <v>643</v>
      </c>
      <c r="B399" s="237">
        <v>6424.0</v>
      </c>
      <c r="C399" s="236" t="s">
        <v>643</v>
      </c>
      <c r="D399" s="236" t="s">
        <v>492</v>
      </c>
      <c r="E399" s="236" t="s">
        <v>930</v>
      </c>
      <c r="F399" s="236" t="s">
        <v>975</v>
      </c>
      <c r="G399" s="237">
        <v>4.0</v>
      </c>
      <c r="H399" s="237">
        <v>3.0</v>
      </c>
      <c r="I399" s="237">
        <v>1.0</v>
      </c>
      <c r="J399" s="237">
        <v>4.0</v>
      </c>
      <c r="K399" s="237">
        <v>3.0</v>
      </c>
      <c r="L399" s="237">
        <v>1.0</v>
      </c>
      <c r="M399" s="237">
        <v>11.0</v>
      </c>
      <c r="N399" s="237">
        <v>16.0</v>
      </c>
    </row>
    <row r="400">
      <c r="A400" s="236" t="s">
        <v>347</v>
      </c>
      <c r="B400" s="237">
        <v>2814.0</v>
      </c>
      <c r="C400" s="236" t="s">
        <v>347</v>
      </c>
      <c r="D400" s="236" t="s">
        <v>477</v>
      </c>
      <c r="E400" s="236" t="s">
        <v>478</v>
      </c>
      <c r="F400" s="236" t="s">
        <v>1000</v>
      </c>
      <c r="G400" s="237">
        <v>12.0</v>
      </c>
      <c r="H400" s="237">
        <v>12.0</v>
      </c>
      <c r="I400" s="237">
        <v>0.0</v>
      </c>
      <c r="J400" s="237">
        <v>12.0</v>
      </c>
      <c r="K400" s="237">
        <v>12.0</v>
      </c>
      <c r="L400" s="237">
        <v>0.0</v>
      </c>
      <c r="M400" s="237">
        <v>55.0</v>
      </c>
      <c r="N400" s="237">
        <v>55.0</v>
      </c>
    </row>
    <row r="401">
      <c r="A401" s="236" t="s">
        <v>458</v>
      </c>
      <c r="B401" s="237">
        <v>7012.0</v>
      </c>
      <c r="C401" s="236" t="s">
        <v>458</v>
      </c>
      <c r="D401" s="236" t="s">
        <v>480</v>
      </c>
      <c r="E401" s="236" t="s">
        <v>481</v>
      </c>
      <c r="F401" s="236" t="s">
        <v>1000</v>
      </c>
      <c r="G401" s="237">
        <v>4.0</v>
      </c>
      <c r="H401" s="237">
        <v>3.0</v>
      </c>
      <c r="I401" s="237">
        <v>1.0</v>
      </c>
      <c r="J401" s="237">
        <v>4.0</v>
      </c>
      <c r="K401" s="237">
        <v>3.0</v>
      </c>
      <c r="L401" s="237">
        <v>1.0</v>
      </c>
      <c r="M401" s="237">
        <v>5.0</v>
      </c>
      <c r="N401" s="237">
        <v>5.0</v>
      </c>
    </row>
    <row r="402">
      <c r="A402" s="236" t="s">
        <v>125</v>
      </c>
      <c r="B402" s="237">
        <v>2423.0</v>
      </c>
      <c r="C402" s="236" t="s">
        <v>125</v>
      </c>
      <c r="D402" s="236" t="s">
        <v>492</v>
      </c>
      <c r="E402" s="236" t="s">
        <v>947</v>
      </c>
      <c r="F402" s="236" t="s">
        <v>991</v>
      </c>
      <c r="G402" s="237">
        <v>28.0</v>
      </c>
      <c r="H402" s="237">
        <v>28.0</v>
      </c>
      <c r="I402" s="237">
        <v>0.0</v>
      </c>
      <c r="J402" s="237">
        <v>28.0</v>
      </c>
      <c r="K402" s="237">
        <v>28.0</v>
      </c>
      <c r="L402" s="237">
        <v>0.0</v>
      </c>
      <c r="M402" s="237">
        <v>218.0</v>
      </c>
      <c r="N402" s="237">
        <v>218.0</v>
      </c>
    </row>
    <row r="403">
      <c r="A403" s="236" t="s">
        <v>945</v>
      </c>
      <c r="B403" s="237">
        <v>2379.0</v>
      </c>
      <c r="C403" s="236" t="s">
        <v>945</v>
      </c>
      <c r="D403" s="236" t="s">
        <v>492</v>
      </c>
      <c r="E403" s="236" t="s">
        <v>934</v>
      </c>
      <c r="F403" s="236" t="s">
        <v>991</v>
      </c>
      <c r="G403" s="237">
        <v>23.0</v>
      </c>
      <c r="H403" s="237">
        <v>23.0</v>
      </c>
      <c r="I403" s="237">
        <v>0.0</v>
      </c>
      <c r="J403" s="237">
        <v>23.0</v>
      </c>
      <c r="K403" s="237">
        <v>23.0</v>
      </c>
      <c r="L403" s="237">
        <v>0.0</v>
      </c>
      <c r="M403" s="237">
        <v>145.0</v>
      </c>
      <c r="N403" s="237">
        <v>145.0</v>
      </c>
    </row>
    <row r="404">
      <c r="A404" s="236" t="s">
        <v>1157</v>
      </c>
      <c r="B404" s="237">
        <v>3.0</v>
      </c>
      <c r="C404" s="236" t="s">
        <v>1157</v>
      </c>
      <c r="D404" s="236" t="s">
        <v>477</v>
      </c>
      <c r="E404" s="236" t="s">
        <v>478</v>
      </c>
      <c r="F404" s="236" t="s">
        <v>975</v>
      </c>
      <c r="G404" s="237">
        <v>1.0</v>
      </c>
      <c r="H404" s="237">
        <v>1.0</v>
      </c>
      <c r="I404" s="237">
        <v>0.0</v>
      </c>
      <c r="J404" s="237">
        <v>1.0</v>
      </c>
      <c r="K404" s="237">
        <v>1.0</v>
      </c>
      <c r="L404" s="237">
        <v>0.0</v>
      </c>
      <c r="M404" s="237">
        <v>1.0</v>
      </c>
      <c r="N404" s="237">
        <v>1.0</v>
      </c>
    </row>
    <row r="405">
      <c r="A405" s="236" t="s">
        <v>1158</v>
      </c>
      <c r="B405" s="237">
        <v>6222.0</v>
      </c>
      <c r="C405" s="236" t="s">
        <v>1158</v>
      </c>
      <c r="D405" s="236" t="s">
        <v>492</v>
      </c>
      <c r="E405" s="236" t="s">
        <v>934</v>
      </c>
      <c r="F405" s="236" t="s">
        <v>998</v>
      </c>
      <c r="G405" s="237">
        <v>3.0</v>
      </c>
      <c r="H405" s="237">
        <v>3.0</v>
      </c>
      <c r="I405" s="237">
        <v>0.0</v>
      </c>
      <c r="J405" s="237">
        <v>3.0</v>
      </c>
      <c r="K405" s="237">
        <v>3.0</v>
      </c>
      <c r="L405" s="237">
        <v>0.0</v>
      </c>
      <c r="M405" s="237">
        <v>7.0</v>
      </c>
      <c r="N405" s="237">
        <v>7.0</v>
      </c>
    </row>
    <row r="406">
      <c r="A406" s="236" t="s">
        <v>673</v>
      </c>
      <c r="B406" s="237">
        <v>6394.0</v>
      </c>
      <c r="C406" s="236" t="s">
        <v>673</v>
      </c>
      <c r="D406" s="236" t="s">
        <v>492</v>
      </c>
      <c r="E406" s="236" t="s">
        <v>930</v>
      </c>
      <c r="F406" s="236" t="s">
        <v>998</v>
      </c>
      <c r="G406" s="237">
        <v>7.0</v>
      </c>
      <c r="H406" s="237">
        <v>6.0</v>
      </c>
      <c r="I406" s="237">
        <v>1.0</v>
      </c>
      <c r="J406" s="237">
        <v>7.0</v>
      </c>
      <c r="K406" s="237">
        <v>7.0</v>
      </c>
      <c r="L406" s="237">
        <v>0.0</v>
      </c>
      <c r="M406" s="237">
        <v>11.0</v>
      </c>
      <c r="N406" s="237">
        <v>12.0</v>
      </c>
    </row>
    <row r="407">
      <c r="A407" s="236" t="s">
        <v>1159</v>
      </c>
      <c r="B407" s="237">
        <v>6869.0</v>
      </c>
      <c r="C407" s="236" t="s">
        <v>1159</v>
      </c>
      <c r="D407" s="236" t="s">
        <v>480</v>
      </c>
      <c r="E407" s="236" t="s">
        <v>481</v>
      </c>
      <c r="F407" s="236" t="s">
        <v>974</v>
      </c>
      <c r="G407" s="237">
        <v>5.0</v>
      </c>
      <c r="H407" s="237">
        <v>4.0</v>
      </c>
      <c r="I407" s="237">
        <v>1.0</v>
      </c>
      <c r="J407" s="237">
        <v>5.0</v>
      </c>
      <c r="K407" s="237">
        <v>4.0</v>
      </c>
      <c r="L407" s="237">
        <v>1.0</v>
      </c>
      <c r="M407" s="237">
        <v>13.0</v>
      </c>
      <c r="N407" s="237">
        <v>13.0</v>
      </c>
    </row>
    <row r="408">
      <c r="A408" s="236" t="s">
        <v>853</v>
      </c>
      <c r="B408" s="237">
        <v>4378.0</v>
      </c>
      <c r="C408" s="236" t="s">
        <v>853</v>
      </c>
      <c r="D408" s="236" t="s">
        <v>480</v>
      </c>
      <c r="E408" s="236" t="s">
        <v>1022</v>
      </c>
      <c r="F408" s="236" t="s">
        <v>1033</v>
      </c>
      <c r="G408" s="237">
        <v>8.0</v>
      </c>
      <c r="H408" s="237">
        <v>7.0</v>
      </c>
      <c r="I408" s="237">
        <v>1.0</v>
      </c>
      <c r="J408" s="237">
        <v>8.0</v>
      </c>
      <c r="K408" s="237">
        <v>7.0</v>
      </c>
      <c r="L408" s="237">
        <v>1.0</v>
      </c>
      <c r="M408" s="237">
        <v>16.0</v>
      </c>
      <c r="N408" s="237">
        <v>17.0</v>
      </c>
    </row>
    <row r="409">
      <c r="A409" s="236" t="s">
        <v>628</v>
      </c>
      <c r="B409" s="237">
        <v>2722.0</v>
      </c>
      <c r="C409" s="236" t="s">
        <v>628</v>
      </c>
      <c r="D409" s="236" t="s">
        <v>477</v>
      </c>
      <c r="E409" s="236" t="s">
        <v>478</v>
      </c>
      <c r="F409" s="236" t="s">
        <v>1009</v>
      </c>
      <c r="G409" s="237">
        <v>3.0</v>
      </c>
      <c r="H409" s="237">
        <v>3.0</v>
      </c>
      <c r="I409" s="237">
        <v>0.0</v>
      </c>
      <c r="J409" s="237">
        <v>3.0</v>
      </c>
      <c r="K409" s="237">
        <v>3.0</v>
      </c>
      <c r="L409" s="237">
        <v>0.0</v>
      </c>
      <c r="M409" s="237">
        <v>5.0</v>
      </c>
      <c r="N409" s="237">
        <v>5.0</v>
      </c>
    </row>
    <row r="410">
      <c r="A410" s="236" t="s">
        <v>654</v>
      </c>
      <c r="B410" s="237">
        <v>6986.0</v>
      </c>
      <c r="C410" s="236" t="s">
        <v>654</v>
      </c>
      <c r="D410" s="236" t="s">
        <v>480</v>
      </c>
      <c r="E410" s="236" t="s">
        <v>1019</v>
      </c>
      <c r="F410" s="236" t="s">
        <v>988</v>
      </c>
      <c r="G410" s="237">
        <v>4.0</v>
      </c>
      <c r="H410" s="237">
        <v>5.0</v>
      </c>
      <c r="I410" s="237">
        <v>-1.0</v>
      </c>
      <c r="J410" s="237">
        <v>6.0</v>
      </c>
      <c r="K410" s="237">
        <v>6.0</v>
      </c>
      <c r="L410" s="237">
        <v>0.0</v>
      </c>
      <c r="M410" s="237">
        <v>13.0</v>
      </c>
      <c r="N410" s="237">
        <v>16.0</v>
      </c>
    </row>
    <row r="411">
      <c r="A411" s="236" t="s">
        <v>79</v>
      </c>
      <c r="B411" s="237">
        <v>5453.0</v>
      </c>
      <c r="C411" s="236" t="s">
        <v>79</v>
      </c>
      <c r="D411" s="236" t="s">
        <v>492</v>
      </c>
      <c r="E411" s="236" t="s">
        <v>930</v>
      </c>
      <c r="F411" s="236" t="s">
        <v>991</v>
      </c>
      <c r="G411" s="237">
        <v>10.0</v>
      </c>
      <c r="H411" s="237">
        <v>10.0</v>
      </c>
      <c r="I411" s="237">
        <v>0.0</v>
      </c>
      <c r="J411" s="237">
        <v>11.0</v>
      </c>
      <c r="K411" s="237">
        <v>11.0</v>
      </c>
      <c r="L411" s="237">
        <v>0.0</v>
      </c>
      <c r="M411" s="237">
        <v>22.0</v>
      </c>
      <c r="N411" s="237">
        <v>27.0</v>
      </c>
    </row>
    <row r="412">
      <c r="A412" s="236" t="s">
        <v>854</v>
      </c>
      <c r="B412" s="237">
        <v>6804.0</v>
      </c>
      <c r="C412" s="236" t="s">
        <v>854</v>
      </c>
      <c r="D412" s="236" t="s">
        <v>492</v>
      </c>
      <c r="E412" s="236" t="s">
        <v>930</v>
      </c>
      <c r="F412" s="236" t="s">
        <v>1033</v>
      </c>
      <c r="G412" s="237">
        <v>4.0</v>
      </c>
      <c r="H412" s="237">
        <v>4.0</v>
      </c>
      <c r="I412" s="237">
        <v>0.0</v>
      </c>
      <c r="J412" s="237">
        <v>4.0</v>
      </c>
      <c r="K412" s="237">
        <v>4.0</v>
      </c>
      <c r="L412" s="237">
        <v>0.0</v>
      </c>
      <c r="M412" s="237">
        <v>8.0</v>
      </c>
      <c r="N412" s="237">
        <v>9.0</v>
      </c>
    </row>
    <row r="413">
      <c r="A413" s="236" t="s">
        <v>1160</v>
      </c>
      <c r="B413" s="237">
        <v>5338.0</v>
      </c>
      <c r="C413" s="236" t="s">
        <v>1160</v>
      </c>
      <c r="D413" s="236" t="s">
        <v>477</v>
      </c>
      <c r="E413" s="236" t="s">
        <v>478</v>
      </c>
      <c r="F413" s="236" t="s">
        <v>985</v>
      </c>
      <c r="G413" s="237">
        <v>1.0</v>
      </c>
      <c r="H413" s="237">
        <v>1.0</v>
      </c>
      <c r="I413" s="237">
        <v>0.0</v>
      </c>
      <c r="J413" s="237">
        <v>1.0</v>
      </c>
      <c r="K413" s="237">
        <v>1.0</v>
      </c>
      <c r="L413" s="237">
        <v>0.0</v>
      </c>
      <c r="M413" s="237">
        <v>1.0</v>
      </c>
      <c r="N413" s="237">
        <v>1.0</v>
      </c>
    </row>
    <row r="414">
      <c r="A414" s="236" t="s">
        <v>1161</v>
      </c>
      <c r="B414" s="237">
        <v>7129.0</v>
      </c>
      <c r="C414" s="236" t="s">
        <v>1161</v>
      </c>
      <c r="D414" s="236" t="s">
        <v>507</v>
      </c>
      <c r="E414" s="236" t="s">
        <v>935</v>
      </c>
      <c r="F414" s="236" t="s">
        <v>974</v>
      </c>
      <c r="G414" s="237">
        <v>6.0</v>
      </c>
      <c r="H414" s="237">
        <v>5.0</v>
      </c>
      <c r="I414" s="237">
        <v>1.0</v>
      </c>
      <c r="J414" s="237">
        <v>6.0</v>
      </c>
      <c r="K414" s="237">
        <v>5.0</v>
      </c>
      <c r="L414" s="237">
        <v>1.0</v>
      </c>
      <c r="M414" s="237">
        <v>18.0</v>
      </c>
      <c r="N414" s="237">
        <v>21.0</v>
      </c>
    </row>
    <row r="415">
      <c r="A415" s="236" t="s">
        <v>1162</v>
      </c>
      <c r="B415" s="237">
        <v>7268.0</v>
      </c>
      <c r="C415" s="236" t="s">
        <v>1162</v>
      </c>
      <c r="D415" s="236" t="s">
        <v>480</v>
      </c>
      <c r="E415" s="236" t="s">
        <v>1022</v>
      </c>
      <c r="F415" s="236" t="s">
        <v>975</v>
      </c>
      <c r="G415" s="237">
        <v>1.0</v>
      </c>
      <c r="H415" s="237">
        <v>1.0</v>
      </c>
      <c r="I415" s="237">
        <v>0.0</v>
      </c>
      <c r="J415" s="237">
        <v>1.0</v>
      </c>
      <c r="K415" s="237">
        <v>1.0</v>
      </c>
      <c r="L415" s="237">
        <v>0.0</v>
      </c>
      <c r="M415" s="237">
        <v>1.0</v>
      </c>
      <c r="N415" s="237">
        <v>1.0</v>
      </c>
    </row>
    <row r="416">
      <c r="A416" s="236" t="s">
        <v>1163</v>
      </c>
      <c r="B416" s="237">
        <v>2076.0</v>
      </c>
      <c r="C416" s="236" t="s">
        <v>1163</v>
      </c>
      <c r="D416" s="236" t="s">
        <v>492</v>
      </c>
      <c r="E416" s="236" t="s">
        <v>930</v>
      </c>
      <c r="F416" s="236" t="s">
        <v>975</v>
      </c>
      <c r="G416" s="237">
        <v>1.0</v>
      </c>
      <c r="H416" s="237">
        <v>1.0</v>
      </c>
      <c r="I416" s="237">
        <v>0.0</v>
      </c>
      <c r="J416" s="237">
        <v>1.0</v>
      </c>
      <c r="K416" s="237">
        <v>1.0</v>
      </c>
      <c r="L416" s="237">
        <v>0.0</v>
      </c>
      <c r="M416" s="237">
        <v>1.0</v>
      </c>
      <c r="N416" s="237">
        <v>1.0</v>
      </c>
    </row>
    <row r="417">
      <c r="A417" s="236" t="s">
        <v>1164</v>
      </c>
      <c r="B417" s="237">
        <v>2279.0</v>
      </c>
      <c r="C417" s="236" t="s">
        <v>1164</v>
      </c>
      <c r="D417" s="236" t="s">
        <v>480</v>
      </c>
      <c r="E417" s="236" t="s">
        <v>481</v>
      </c>
      <c r="F417" s="236" t="s">
        <v>1005</v>
      </c>
      <c r="G417" s="237">
        <v>4.0</v>
      </c>
      <c r="H417" s="237">
        <v>4.0</v>
      </c>
      <c r="I417" s="237">
        <v>0.0</v>
      </c>
      <c r="J417" s="237">
        <v>4.0</v>
      </c>
      <c r="K417" s="237">
        <v>4.0</v>
      </c>
      <c r="L417" s="237">
        <v>0.0</v>
      </c>
      <c r="M417" s="237">
        <v>9.0</v>
      </c>
      <c r="N417" s="237">
        <v>9.0</v>
      </c>
    </row>
    <row r="418">
      <c r="A418" s="236" t="s">
        <v>868</v>
      </c>
      <c r="B418" s="237">
        <v>460.0</v>
      </c>
      <c r="C418" s="236" t="s">
        <v>868</v>
      </c>
      <c r="D418" s="236" t="s">
        <v>480</v>
      </c>
      <c r="E418" s="236" t="s">
        <v>481</v>
      </c>
      <c r="F418" s="236" t="s">
        <v>1000</v>
      </c>
      <c r="G418" s="237">
        <v>7.0</v>
      </c>
      <c r="H418" s="237">
        <v>8.0</v>
      </c>
      <c r="I418" s="237">
        <v>-1.0</v>
      </c>
      <c r="J418" s="237">
        <v>7.0</v>
      </c>
      <c r="K418" s="237">
        <v>8.0</v>
      </c>
      <c r="L418" s="237">
        <v>-1.0</v>
      </c>
      <c r="M418" s="237">
        <v>22.0</v>
      </c>
      <c r="N418" s="237">
        <v>22.0</v>
      </c>
    </row>
    <row r="419">
      <c r="A419" s="236" t="s">
        <v>418</v>
      </c>
      <c r="B419" s="237">
        <v>2297.0</v>
      </c>
      <c r="C419" s="236" t="s">
        <v>418</v>
      </c>
      <c r="D419" s="236" t="s">
        <v>477</v>
      </c>
      <c r="E419" s="236" t="s">
        <v>478</v>
      </c>
      <c r="F419" s="236" t="s">
        <v>980</v>
      </c>
      <c r="G419" s="237">
        <v>1.0</v>
      </c>
      <c r="H419" s="237">
        <v>1.0</v>
      </c>
      <c r="I419" s="237">
        <v>0.0</v>
      </c>
      <c r="J419" s="237">
        <v>1.0</v>
      </c>
      <c r="K419" s="237">
        <v>1.0</v>
      </c>
      <c r="L419" s="237">
        <v>0.0</v>
      </c>
      <c r="M419" s="237">
        <v>1.0</v>
      </c>
      <c r="N419" s="237">
        <v>1.0</v>
      </c>
    </row>
    <row r="420">
      <c r="A420" s="236" t="s">
        <v>174</v>
      </c>
      <c r="B420" s="237">
        <v>6803.0</v>
      </c>
      <c r="C420" s="236" t="s">
        <v>174</v>
      </c>
      <c r="D420" s="236" t="s">
        <v>480</v>
      </c>
      <c r="E420" s="236" t="s">
        <v>931</v>
      </c>
      <c r="F420" s="236" t="s">
        <v>976</v>
      </c>
      <c r="G420" s="237">
        <v>1.0</v>
      </c>
      <c r="H420" s="237">
        <v>1.0</v>
      </c>
      <c r="I420" s="237">
        <v>0.0</v>
      </c>
      <c r="J420" s="237">
        <v>1.0</v>
      </c>
      <c r="K420" s="237">
        <v>1.0</v>
      </c>
      <c r="L420" s="237">
        <v>0.0</v>
      </c>
      <c r="M420" s="237">
        <v>4.0</v>
      </c>
      <c r="N420" s="237">
        <v>4.0</v>
      </c>
    </row>
    <row r="421">
      <c r="A421" s="236" t="s">
        <v>637</v>
      </c>
      <c r="B421" s="237">
        <v>4459.0</v>
      </c>
      <c r="C421" s="236" t="s">
        <v>637</v>
      </c>
      <c r="D421" s="236" t="s">
        <v>492</v>
      </c>
      <c r="E421" s="236" t="s">
        <v>930</v>
      </c>
      <c r="F421" s="236" t="s">
        <v>1000</v>
      </c>
      <c r="G421" s="237">
        <v>8.0</v>
      </c>
      <c r="H421" s="237">
        <v>8.0</v>
      </c>
      <c r="I421" s="237">
        <v>0.0</v>
      </c>
      <c r="J421" s="237">
        <v>9.0</v>
      </c>
      <c r="K421" s="237">
        <v>9.0</v>
      </c>
      <c r="L421" s="237">
        <v>0.0</v>
      </c>
      <c r="M421" s="237">
        <v>22.0</v>
      </c>
      <c r="N421" s="237">
        <v>24.0</v>
      </c>
    </row>
    <row r="422">
      <c r="A422" s="236" t="s">
        <v>1165</v>
      </c>
      <c r="B422" s="237">
        <v>6844.0</v>
      </c>
      <c r="C422" s="236" t="s">
        <v>1165</v>
      </c>
      <c r="D422" s="236" t="s">
        <v>492</v>
      </c>
      <c r="E422" s="236" t="s">
        <v>1057</v>
      </c>
      <c r="F422" s="236" t="s">
        <v>1009</v>
      </c>
      <c r="G422" s="237">
        <v>14.0</v>
      </c>
      <c r="H422" s="237">
        <v>14.0</v>
      </c>
      <c r="I422" s="237">
        <v>0.0</v>
      </c>
      <c r="J422" s="237">
        <v>14.0</v>
      </c>
      <c r="K422" s="237">
        <v>14.0</v>
      </c>
      <c r="L422" s="237">
        <v>0.0</v>
      </c>
      <c r="M422" s="237">
        <v>49.0</v>
      </c>
      <c r="N422" s="237">
        <v>49.0</v>
      </c>
    </row>
    <row r="423">
      <c r="A423" s="236" t="s">
        <v>816</v>
      </c>
      <c r="B423" s="237">
        <v>4409.0</v>
      </c>
      <c r="C423" s="236" t="s">
        <v>816</v>
      </c>
      <c r="D423" s="236" t="s">
        <v>480</v>
      </c>
      <c r="E423" s="236" t="s">
        <v>481</v>
      </c>
      <c r="F423" s="236" t="s">
        <v>987</v>
      </c>
      <c r="G423" s="237">
        <v>11.0</v>
      </c>
      <c r="H423" s="237">
        <v>11.0</v>
      </c>
      <c r="I423" s="237">
        <v>0.0</v>
      </c>
      <c r="J423" s="237">
        <v>11.0</v>
      </c>
      <c r="K423" s="237">
        <v>11.0</v>
      </c>
      <c r="L423" s="237">
        <v>0.0</v>
      </c>
      <c r="M423" s="237">
        <v>32.0</v>
      </c>
      <c r="N423" s="237">
        <v>32.0</v>
      </c>
    </row>
    <row r="424">
      <c r="A424" s="236" t="s">
        <v>1166</v>
      </c>
      <c r="B424" s="237">
        <v>294.0</v>
      </c>
      <c r="C424" s="236" t="s">
        <v>1166</v>
      </c>
      <c r="D424" s="236" t="s">
        <v>480</v>
      </c>
      <c r="E424" s="236" t="s">
        <v>481</v>
      </c>
      <c r="F424" s="236" t="s">
        <v>976</v>
      </c>
      <c r="G424" s="237">
        <v>3.0</v>
      </c>
      <c r="H424" s="237">
        <v>3.0</v>
      </c>
      <c r="I424" s="237">
        <v>0.0</v>
      </c>
      <c r="J424" s="237">
        <v>3.0</v>
      </c>
      <c r="K424" s="237">
        <v>3.0</v>
      </c>
      <c r="L424" s="237">
        <v>0.0</v>
      </c>
      <c r="M424" s="237">
        <v>5.0</v>
      </c>
      <c r="N424" s="237">
        <v>5.0</v>
      </c>
    </row>
    <row r="425">
      <c r="A425" s="236" t="s">
        <v>1167</v>
      </c>
      <c r="B425" s="237">
        <v>6900.0</v>
      </c>
      <c r="C425" s="236" t="s">
        <v>1167</v>
      </c>
      <c r="D425" s="236" t="s">
        <v>480</v>
      </c>
      <c r="E425" s="236" t="s">
        <v>521</v>
      </c>
      <c r="F425" s="236" t="s">
        <v>993</v>
      </c>
      <c r="G425" s="237">
        <v>3.0</v>
      </c>
      <c r="H425" s="237">
        <v>3.0</v>
      </c>
      <c r="I425" s="237">
        <v>0.0</v>
      </c>
      <c r="J425" s="237">
        <v>2.0</v>
      </c>
      <c r="K425" s="237">
        <v>2.0</v>
      </c>
      <c r="L425" s="237">
        <v>0.0</v>
      </c>
      <c r="M425" s="237">
        <v>6.0</v>
      </c>
      <c r="N425" s="237">
        <v>4.0</v>
      </c>
    </row>
    <row r="426">
      <c r="A426" s="236" t="s">
        <v>806</v>
      </c>
      <c r="B426" s="237">
        <v>791.0</v>
      </c>
      <c r="C426" s="236" t="s">
        <v>806</v>
      </c>
      <c r="D426" s="236" t="s">
        <v>480</v>
      </c>
      <c r="E426" s="236" t="s">
        <v>944</v>
      </c>
      <c r="F426" s="236" t="s">
        <v>1026</v>
      </c>
      <c r="G426" s="237">
        <v>4.0</v>
      </c>
      <c r="H426" s="237">
        <v>5.0</v>
      </c>
      <c r="I426" s="237">
        <v>-1.0</v>
      </c>
      <c r="J426" s="237">
        <v>4.0</v>
      </c>
      <c r="K426" s="237">
        <v>5.0</v>
      </c>
      <c r="L426" s="237">
        <v>-1.0</v>
      </c>
      <c r="M426" s="237">
        <v>11.0</v>
      </c>
      <c r="N426" s="237">
        <v>13.0</v>
      </c>
    </row>
    <row r="427">
      <c r="A427" s="236" t="s">
        <v>1168</v>
      </c>
      <c r="B427" s="237">
        <v>5788.0</v>
      </c>
      <c r="C427" s="236" t="s">
        <v>1168</v>
      </c>
      <c r="D427" s="236" t="s">
        <v>492</v>
      </c>
      <c r="E427" s="236" t="s">
        <v>543</v>
      </c>
      <c r="F427" s="236" t="s">
        <v>1033</v>
      </c>
      <c r="G427" s="237">
        <v>2.0</v>
      </c>
      <c r="H427" s="237">
        <v>2.0</v>
      </c>
      <c r="I427" s="237">
        <v>0.0</v>
      </c>
      <c r="J427" s="237">
        <v>2.0</v>
      </c>
      <c r="K427" s="237">
        <v>2.0</v>
      </c>
      <c r="L427" s="237">
        <v>0.0</v>
      </c>
      <c r="M427" s="237">
        <v>4.0</v>
      </c>
      <c r="N427" s="237">
        <v>4.0</v>
      </c>
    </row>
    <row r="428">
      <c r="A428" s="236" t="s">
        <v>869</v>
      </c>
      <c r="B428" s="237">
        <v>4892.0</v>
      </c>
      <c r="C428" s="236" t="s">
        <v>869</v>
      </c>
      <c r="D428" s="236" t="s">
        <v>492</v>
      </c>
      <c r="E428" s="236" t="s">
        <v>1089</v>
      </c>
      <c r="F428" s="236" t="s">
        <v>991</v>
      </c>
      <c r="G428" s="237">
        <v>12.0</v>
      </c>
      <c r="H428" s="237">
        <v>12.0</v>
      </c>
      <c r="I428" s="237">
        <v>0.0</v>
      </c>
      <c r="J428" s="237">
        <v>14.0</v>
      </c>
      <c r="K428" s="237">
        <v>14.0</v>
      </c>
      <c r="L428" s="237">
        <v>0.0</v>
      </c>
      <c r="M428" s="237">
        <v>40.0</v>
      </c>
      <c r="N428" s="237">
        <v>43.0</v>
      </c>
    </row>
    <row r="429">
      <c r="A429" s="236" t="s">
        <v>1169</v>
      </c>
      <c r="B429" s="237">
        <v>7246.0</v>
      </c>
      <c r="C429" s="236" t="s">
        <v>1169</v>
      </c>
      <c r="D429" s="236" t="s">
        <v>492</v>
      </c>
      <c r="E429" s="236" t="s">
        <v>492</v>
      </c>
      <c r="F429" s="236" t="s">
        <v>998</v>
      </c>
      <c r="G429" s="237">
        <v>3.0</v>
      </c>
      <c r="H429" s="237">
        <v>3.0</v>
      </c>
      <c r="I429" s="237">
        <v>0.0</v>
      </c>
      <c r="J429" s="237">
        <v>3.0</v>
      </c>
      <c r="K429" s="237">
        <v>3.0</v>
      </c>
      <c r="L429" s="237">
        <v>0.0</v>
      </c>
      <c r="M429" s="237">
        <v>8.0</v>
      </c>
      <c r="N429" s="237">
        <v>8.0</v>
      </c>
    </row>
    <row r="430">
      <c r="A430" s="236" t="s">
        <v>387</v>
      </c>
      <c r="B430" s="237">
        <v>5119.0</v>
      </c>
      <c r="C430" s="236" t="s">
        <v>387</v>
      </c>
      <c r="D430" s="236" t="s">
        <v>492</v>
      </c>
      <c r="E430" s="236" t="s">
        <v>543</v>
      </c>
      <c r="F430" s="236" t="s">
        <v>980</v>
      </c>
      <c r="G430" s="237">
        <v>11.0</v>
      </c>
      <c r="H430" s="237">
        <v>12.0</v>
      </c>
      <c r="I430" s="237">
        <v>-1.0</v>
      </c>
      <c r="J430" s="237">
        <v>10.0</v>
      </c>
      <c r="K430" s="237">
        <v>11.0</v>
      </c>
      <c r="L430" s="237">
        <v>-1.0</v>
      </c>
      <c r="M430" s="237">
        <v>25.0</v>
      </c>
      <c r="N430" s="237">
        <v>22.0</v>
      </c>
    </row>
    <row r="431">
      <c r="A431" s="236" t="s">
        <v>81</v>
      </c>
      <c r="B431" s="237">
        <v>6523.0</v>
      </c>
      <c r="C431" s="236" t="s">
        <v>81</v>
      </c>
      <c r="D431" s="236" t="s">
        <v>477</v>
      </c>
      <c r="E431" s="236" t="s">
        <v>478</v>
      </c>
      <c r="F431" s="236" t="s">
        <v>998</v>
      </c>
      <c r="G431" s="237">
        <v>1.0</v>
      </c>
      <c r="H431" s="237">
        <v>1.0</v>
      </c>
      <c r="I431" s="237">
        <v>0.0</v>
      </c>
      <c r="J431" s="237">
        <v>1.0</v>
      </c>
      <c r="K431" s="237">
        <v>1.0</v>
      </c>
      <c r="L431" s="237">
        <v>0.0</v>
      </c>
      <c r="M431" s="237">
        <v>1.0</v>
      </c>
      <c r="N431" s="237">
        <v>1.0</v>
      </c>
    </row>
    <row r="432">
      <c r="A432" s="236" t="s">
        <v>889</v>
      </c>
      <c r="B432" s="237">
        <v>479.0</v>
      </c>
      <c r="C432" s="236" t="s">
        <v>889</v>
      </c>
      <c r="D432" s="236" t="s">
        <v>507</v>
      </c>
      <c r="E432" s="236" t="s">
        <v>512</v>
      </c>
      <c r="F432" s="236" t="s">
        <v>995</v>
      </c>
      <c r="G432" s="237">
        <v>8.0</v>
      </c>
      <c r="H432" s="237">
        <v>7.0</v>
      </c>
      <c r="I432" s="237">
        <v>1.0</v>
      </c>
      <c r="J432" s="237">
        <v>7.0</v>
      </c>
      <c r="K432" s="237">
        <v>6.0</v>
      </c>
      <c r="L432" s="237">
        <v>1.0</v>
      </c>
      <c r="M432" s="237">
        <v>35.0</v>
      </c>
      <c r="N432" s="237">
        <v>32.0</v>
      </c>
    </row>
    <row r="433">
      <c r="A433" s="236" t="s">
        <v>1170</v>
      </c>
      <c r="B433" s="237">
        <v>7177.0</v>
      </c>
      <c r="C433" s="236" t="s">
        <v>1170</v>
      </c>
      <c r="D433" s="236" t="s">
        <v>492</v>
      </c>
      <c r="E433" s="236" t="s">
        <v>492</v>
      </c>
      <c r="F433" s="236" t="s">
        <v>983</v>
      </c>
      <c r="G433" s="237">
        <v>2.0</v>
      </c>
      <c r="H433" s="237">
        <v>2.0</v>
      </c>
      <c r="I433" s="237">
        <v>0.0</v>
      </c>
      <c r="J433" s="237">
        <v>2.0</v>
      </c>
      <c r="K433" s="237">
        <v>2.0</v>
      </c>
      <c r="L433" s="237">
        <v>0.0</v>
      </c>
      <c r="M433" s="237">
        <v>2.0</v>
      </c>
      <c r="N433" s="237">
        <v>2.0</v>
      </c>
    </row>
    <row r="434">
      <c r="A434" s="236" t="s">
        <v>1171</v>
      </c>
      <c r="B434" s="237">
        <v>6528.0</v>
      </c>
      <c r="C434" s="236" t="s">
        <v>1171</v>
      </c>
      <c r="D434" s="236" t="s">
        <v>492</v>
      </c>
      <c r="E434" s="236" t="s">
        <v>1057</v>
      </c>
      <c r="F434" s="236" t="s">
        <v>995</v>
      </c>
      <c r="G434" s="237">
        <v>4.0</v>
      </c>
      <c r="H434" s="237">
        <v>4.0</v>
      </c>
      <c r="I434" s="237">
        <v>0.0</v>
      </c>
      <c r="J434" s="237">
        <v>4.0</v>
      </c>
      <c r="K434" s="237">
        <v>4.0</v>
      </c>
      <c r="L434" s="237">
        <v>0.0</v>
      </c>
      <c r="M434" s="237">
        <v>8.0</v>
      </c>
      <c r="N434" s="237">
        <v>8.0</v>
      </c>
    </row>
    <row r="435">
      <c r="A435" s="236" t="s">
        <v>657</v>
      </c>
      <c r="B435" s="237">
        <v>6159.0</v>
      </c>
      <c r="C435" s="236" t="s">
        <v>657</v>
      </c>
      <c r="D435" s="236" t="s">
        <v>507</v>
      </c>
      <c r="E435" s="236" t="s">
        <v>507</v>
      </c>
      <c r="F435" s="236" t="s">
        <v>983</v>
      </c>
      <c r="G435" s="237">
        <v>7.0</v>
      </c>
      <c r="H435" s="237">
        <v>8.0</v>
      </c>
      <c r="I435" s="237">
        <v>-1.0</v>
      </c>
      <c r="J435" s="237">
        <v>7.0</v>
      </c>
      <c r="K435" s="237">
        <v>8.0</v>
      </c>
      <c r="L435" s="237">
        <v>-1.0</v>
      </c>
      <c r="M435" s="237">
        <v>21.0</v>
      </c>
      <c r="N435" s="237">
        <v>21.0</v>
      </c>
    </row>
    <row r="436">
      <c r="A436" s="236" t="s">
        <v>1172</v>
      </c>
      <c r="B436" s="237">
        <v>2127.0</v>
      </c>
      <c r="C436" s="236" t="s">
        <v>1172</v>
      </c>
      <c r="D436" s="236" t="s">
        <v>477</v>
      </c>
      <c r="E436" s="236" t="s">
        <v>478</v>
      </c>
      <c r="F436" s="236" t="s">
        <v>1005</v>
      </c>
      <c r="G436" s="237">
        <v>1.0</v>
      </c>
      <c r="H436" s="237">
        <v>1.0</v>
      </c>
      <c r="I436" s="237">
        <v>0.0</v>
      </c>
      <c r="J436" s="237">
        <v>1.0</v>
      </c>
      <c r="K436" s="237">
        <v>1.0</v>
      </c>
      <c r="L436" s="237">
        <v>0.0</v>
      </c>
      <c r="M436" s="237">
        <v>1.0</v>
      </c>
      <c r="N436" s="237">
        <v>1.0</v>
      </c>
    </row>
    <row r="437">
      <c r="A437" s="236" t="s">
        <v>1173</v>
      </c>
      <c r="B437" s="237">
        <v>6842.0</v>
      </c>
      <c r="C437" s="236" t="s">
        <v>1173</v>
      </c>
      <c r="D437" s="236" t="s">
        <v>477</v>
      </c>
      <c r="E437" s="236" t="s">
        <v>478</v>
      </c>
      <c r="F437" s="236" t="s">
        <v>993</v>
      </c>
      <c r="G437" s="237">
        <v>5.0</v>
      </c>
      <c r="H437" s="237">
        <v>4.0</v>
      </c>
      <c r="I437" s="237">
        <v>1.0</v>
      </c>
      <c r="J437" s="237">
        <v>5.0</v>
      </c>
      <c r="K437" s="237">
        <v>4.0</v>
      </c>
      <c r="L437" s="237">
        <v>1.0</v>
      </c>
      <c r="M437" s="237">
        <v>11.0</v>
      </c>
      <c r="N437" s="237">
        <v>11.0</v>
      </c>
    </row>
    <row r="438">
      <c r="A438" s="236" t="s">
        <v>269</v>
      </c>
      <c r="B438" s="237">
        <v>5526.0</v>
      </c>
      <c r="C438" s="236" t="s">
        <v>269</v>
      </c>
      <c r="D438" s="236" t="s">
        <v>480</v>
      </c>
      <c r="E438" s="236" t="s">
        <v>481</v>
      </c>
      <c r="F438" s="236" t="s">
        <v>980</v>
      </c>
      <c r="G438" s="237">
        <v>8.0</v>
      </c>
      <c r="H438" s="237">
        <v>8.0</v>
      </c>
      <c r="I438" s="237">
        <v>0.0</v>
      </c>
      <c r="J438" s="237">
        <v>8.0</v>
      </c>
      <c r="K438" s="237">
        <v>8.0</v>
      </c>
      <c r="L438" s="237">
        <v>0.0</v>
      </c>
      <c r="M438" s="237">
        <v>24.0</v>
      </c>
      <c r="N438" s="237">
        <v>24.0</v>
      </c>
    </row>
    <row r="439">
      <c r="A439" s="236" t="s">
        <v>452</v>
      </c>
      <c r="B439" s="237">
        <v>2137.0</v>
      </c>
      <c r="C439" s="236" t="s">
        <v>452</v>
      </c>
      <c r="D439" s="236" t="s">
        <v>507</v>
      </c>
      <c r="E439" s="236" t="s">
        <v>512</v>
      </c>
      <c r="F439" s="236" t="s">
        <v>980</v>
      </c>
      <c r="G439" s="237">
        <v>20.0</v>
      </c>
      <c r="H439" s="237">
        <v>19.0</v>
      </c>
      <c r="I439" s="237">
        <v>1.0</v>
      </c>
      <c r="J439" s="237">
        <v>20.0</v>
      </c>
      <c r="K439" s="237">
        <v>19.0</v>
      </c>
      <c r="L439" s="237">
        <v>1.0</v>
      </c>
      <c r="M439" s="237">
        <v>119.0</v>
      </c>
      <c r="N439" s="237">
        <v>119.0</v>
      </c>
    </row>
    <row r="440">
      <c r="A440" s="236" t="s">
        <v>1174</v>
      </c>
      <c r="B440" s="237">
        <v>6041.0</v>
      </c>
      <c r="C440" s="236" t="s">
        <v>1174</v>
      </c>
      <c r="D440" s="236" t="s">
        <v>480</v>
      </c>
      <c r="E440" s="236" t="s">
        <v>481</v>
      </c>
      <c r="F440" s="236" t="s">
        <v>972</v>
      </c>
      <c r="G440" s="237">
        <v>3.0</v>
      </c>
      <c r="H440" s="237">
        <v>3.0</v>
      </c>
      <c r="I440" s="237">
        <v>0.0</v>
      </c>
      <c r="J440" s="237">
        <v>3.0</v>
      </c>
      <c r="K440" s="237">
        <v>3.0</v>
      </c>
      <c r="L440" s="237">
        <v>0.0</v>
      </c>
      <c r="M440" s="237">
        <v>5.0</v>
      </c>
      <c r="N440" s="237">
        <v>5.0</v>
      </c>
    </row>
    <row r="441">
      <c r="A441" s="236" t="s">
        <v>651</v>
      </c>
      <c r="B441" s="237">
        <v>574.0</v>
      </c>
      <c r="C441" s="236" t="s">
        <v>651</v>
      </c>
      <c r="D441" s="236" t="s">
        <v>477</v>
      </c>
      <c r="E441" s="236" t="s">
        <v>478</v>
      </c>
      <c r="F441" s="236" t="s">
        <v>977</v>
      </c>
      <c r="G441" s="237">
        <v>3.0</v>
      </c>
      <c r="H441" s="237">
        <v>3.0</v>
      </c>
      <c r="I441" s="237">
        <v>0.0</v>
      </c>
      <c r="J441" s="237">
        <v>3.0</v>
      </c>
      <c r="K441" s="237">
        <v>3.0</v>
      </c>
      <c r="L441" s="237">
        <v>0.0</v>
      </c>
      <c r="M441" s="237">
        <v>3.0</v>
      </c>
      <c r="N441" s="237">
        <v>3.0</v>
      </c>
    </row>
    <row r="442">
      <c r="A442" s="236" t="s">
        <v>1175</v>
      </c>
      <c r="B442" s="237">
        <v>2861.0</v>
      </c>
      <c r="C442" s="236" t="s">
        <v>1175</v>
      </c>
      <c r="D442" s="236" t="s">
        <v>477</v>
      </c>
      <c r="E442" s="236" t="s">
        <v>478</v>
      </c>
      <c r="F442" s="236" t="s">
        <v>977</v>
      </c>
      <c r="G442" s="237">
        <v>4.0</v>
      </c>
      <c r="H442" s="237">
        <v>3.0</v>
      </c>
      <c r="I442" s="237">
        <v>1.0</v>
      </c>
      <c r="J442" s="237">
        <v>4.0</v>
      </c>
      <c r="K442" s="237">
        <v>3.0</v>
      </c>
      <c r="L442" s="237">
        <v>1.0</v>
      </c>
      <c r="M442" s="237">
        <v>12.0</v>
      </c>
      <c r="N442" s="237">
        <v>12.0</v>
      </c>
    </row>
    <row r="443">
      <c r="A443" s="236" t="s">
        <v>851</v>
      </c>
      <c r="B443" s="237">
        <v>6458.0</v>
      </c>
      <c r="C443" s="236" t="s">
        <v>851</v>
      </c>
      <c r="D443" s="236" t="s">
        <v>492</v>
      </c>
      <c r="E443" s="236" t="s">
        <v>492</v>
      </c>
      <c r="F443" s="236" t="s">
        <v>983</v>
      </c>
      <c r="G443" s="237">
        <v>6.0</v>
      </c>
      <c r="H443" s="237">
        <v>5.0</v>
      </c>
      <c r="I443" s="237">
        <v>1.0</v>
      </c>
      <c r="J443" s="237">
        <v>6.0</v>
      </c>
      <c r="K443" s="237">
        <v>5.0</v>
      </c>
      <c r="L443" s="237">
        <v>1.0</v>
      </c>
      <c r="M443" s="237">
        <v>12.0</v>
      </c>
      <c r="N443" s="237">
        <v>12.0</v>
      </c>
    </row>
    <row r="444">
      <c r="A444" s="236" t="s">
        <v>707</v>
      </c>
      <c r="B444" s="237">
        <v>4284.0</v>
      </c>
      <c r="C444" s="236" t="s">
        <v>707</v>
      </c>
      <c r="D444" s="236" t="s">
        <v>492</v>
      </c>
      <c r="E444" s="236" t="s">
        <v>930</v>
      </c>
      <c r="F444" s="236" t="s">
        <v>974</v>
      </c>
      <c r="G444" s="237">
        <v>4.0</v>
      </c>
      <c r="H444" s="237">
        <v>4.0</v>
      </c>
      <c r="I444" s="237">
        <v>0.0</v>
      </c>
      <c r="J444" s="237">
        <v>4.0</v>
      </c>
      <c r="K444" s="237">
        <v>4.0</v>
      </c>
      <c r="L444" s="237">
        <v>0.0</v>
      </c>
      <c r="M444" s="237">
        <v>8.0</v>
      </c>
      <c r="N444" s="237">
        <v>8.0</v>
      </c>
    </row>
    <row r="445">
      <c r="A445" s="236" t="s">
        <v>1176</v>
      </c>
      <c r="B445" s="237">
        <v>2847.0</v>
      </c>
      <c r="C445" s="236" t="s">
        <v>1176</v>
      </c>
      <c r="D445" s="236" t="s">
        <v>480</v>
      </c>
      <c r="E445" s="236" t="s">
        <v>944</v>
      </c>
      <c r="F445" s="236" t="s">
        <v>995</v>
      </c>
      <c r="G445" s="237">
        <v>1.0</v>
      </c>
      <c r="H445" s="237">
        <v>1.0</v>
      </c>
      <c r="I445" s="237">
        <v>0.0</v>
      </c>
      <c r="J445" s="237">
        <v>1.0</v>
      </c>
      <c r="K445" s="237">
        <v>1.0</v>
      </c>
      <c r="L445" s="237">
        <v>0.0</v>
      </c>
      <c r="M445" s="237">
        <v>1.0</v>
      </c>
      <c r="N445" s="237">
        <v>1.0</v>
      </c>
    </row>
    <row r="446">
      <c r="A446" s="236" t="s">
        <v>1177</v>
      </c>
      <c r="B446" s="237">
        <v>7240.0</v>
      </c>
      <c r="C446" s="236" t="s">
        <v>1177</v>
      </c>
      <c r="D446" s="236" t="s">
        <v>480</v>
      </c>
      <c r="E446" s="236" t="s">
        <v>481</v>
      </c>
      <c r="F446" s="236" t="s">
        <v>998</v>
      </c>
      <c r="G446" s="237">
        <v>4.0</v>
      </c>
      <c r="H446" s="237">
        <v>5.0</v>
      </c>
      <c r="I446" s="237">
        <v>-1.0</v>
      </c>
      <c r="J446" s="237">
        <v>4.0</v>
      </c>
      <c r="K446" s="237">
        <v>5.0</v>
      </c>
      <c r="L446" s="237">
        <v>-1.0</v>
      </c>
      <c r="M446" s="237">
        <v>11.0</v>
      </c>
      <c r="N446" s="237">
        <v>11.0</v>
      </c>
    </row>
    <row r="447">
      <c r="A447" s="236" t="s">
        <v>1178</v>
      </c>
      <c r="B447" s="237">
        <v>6991.0</v>
      </c>
      <c r="C447" s="236" t="s">
        <v>1178</v>
      </c>
      <c r="D447" s="236" t="s">
        <v>477</v>
      </c>
      <c r="E447" s="236" t="s">
        <v>478</v>
      </c>
      <c r="F447" s="236" t="s">
        <v>1026</v>
      </c>
      <c r="G447" s="237">
        <v>1.0</v>
      </c>
      <c r="H447" s="237">
        <v>1.0</v>
      </c>
      <c r="I447" s="237">
        <v>0.0</v>
      </c>
      <c r="J447" s="237">
        <v>1.0</v>
      </c>
      <c r="K447" s="237">
        <v>1.0</v>
      </c>
      <c r="L447" s="237">
        <v>0.0</v>
      </c>
      <c r="M447" s="237">
        <v>1.0</v>
      </c>
      <c r="N447" s="237">
        <v>1.0</v>
      </c>
    </row>
    <row r="448">
      <c r="A448" s="236" t="s">
        <v>1179</v>
      </c>
      <c r="B448" s="237">
        <v>2211.0</v>
      </c>
      <c r="C448" s="236" t="s">
        <v>1179</v>
      </c>
      <c r="D448" s="236" t="s">
        <v>477</v>
      </c>
      <c r="E448" s="236" t="s">
        <v>478</v>
      </c>
      <c r="F448" s="236" t="s">
        <v>995</v>
      </c>
      <c r="G448" s="237">
        <v>1.0</v>
      </c>
      <c r="H448" s="237">
        <v>1.0</v>
      </c>
      <c r="I448" s="237">
        <v>0.0</v>
      </c>
      <c r="J448" s="237">
        <v>1.0</v>
      </c>
      <c r="K448" s="237">
        <v>1.0</v>
      </c>
      <c r="L448" s="237">
        <v>0.0</v>
      </c>
      <c r="M448" s="237">
        <v>1.0</v>
      </c>
      <c r="N448" s="237">
        <v>1.0</v>
      </c>
    </row>
    <row r="449">
      <c r="A449" s="236" t="s">
        <v>1180</v>
      </c>
      <c r="B449" s="237">
        <v>2061.0</v>
      </c>
      <c r="C449" s="236" t="s">
        <v>1180</v>
      </c>
      <c r="D449" s="236" t="s">
        <v>507</v>
      </c>
      <c r="E449" s="236" t="s">
        <v>512</v>
      </c>
      <c r="F449" s="236" t="s">
        <v>972</v>
      </c>
      <c r="G449" s="237">
        <v>8.0</v>
      </c>
      <c r="H449" s="237">
        <v>8.0</v>
      </c>
      <c r="I449" s="237">
        <v>0.0</v>
      </c>
      <c r="J449" s="237">
        <v>7.0</v>
      </c>
      <c r="K449" s="237">
        <v>7.0</v>
      </c>
      <c r="L449" s="237">
        <v>0.0</v>
      </c>
      <c r="M449" s="237">
        <v>27.0</v>
      </c>
      <c r="N449" s="237">
        <v>24.0</v>
      </c>
    </row>
    <row r="450">
      <c r="A450" s="236" t="s">
        <v>1181</v>
      </c>
      <c r="B450" s="237">
        <v>7159.0</v>
      </c>
      <c r="C450" s="236" t="s">
        <v>1181</v>
      </c>
      <c r="D450" s="236" t="s">
        <v>507</v>
      </c>
      <c r="E450" s="236" t="s">
        <v>512</v>
      </c>
      <c r="F450" s="236" t="s">
        <v>1005</v>
      </c>
      <c r="G450" s="237">
        <v>1.0</v>
      </c>
      <c r="H450" s="237">
        <v>1.0</v>
      </c>
      <c r="I450" s="237">
        <v>0.0</v>
      </c>
      <c r="J450" s="237">
        <v>1.0</v>
      </c>
      <c r="K450" s="237">
        <v>1.0</v>
      </c>
      <c r="L450" s="237">
        <v>0.0</v>
      </c>
      <c r="M450" s="237">
        <v>1.0</v>
      </c>
      <c r="N450" s="237">
        <v>1.0</v>
      </c>
    </row>
    <row r="451">
      <c r="A451" s="236" t="s">
        <v>604</v>
      </c>
      <c r="B451" s="237">
        <v>133.0</v>
      </c>
      <c r="C451" s="236" t="s">
        <v>604</v>
      </c>
      <c r="D451" s="236" t="s">
        <v>477</v>
      </c>
      <c r="E451" s="236" t="s">
        <v>478</v>
      </c>
      <c r="F451" s="236" t="s">
        <v>1009</v>
      </c>
      <c r="G451" s="237">
        <v>11.0</v>
      </c>
      <c r="H451" s="237">
        <v>10.0</v>
      </c>
      <c r="I451" s="237">
        <v>1.0</v>
      </c>
      <c r="J451" s="237">
        <v>11.0</v>
      </c>
      <c r="K451" s="237">
        <v>10.0</v>
      </c>
      <c r="L451" s="237">
        <v>1.0</v>
      </c>
      <c r="M451" s="237">
        <v>50.0</v>
      </c>
      <c r="N451" s="237">
        <v>50.0</v>
      </c>
    </row>
    <row r="452">
      <c r="A452" s="236" t="s">
        <v>1182</v>
      </c>
      <c r="B452" s="237">
        <v>7011.0</v>
      </c>
      <c r="C452" s="236" t="s">
        <v>1182</v>
      </c>
      <c r="D452" s="236" t="s">
        <v>480</v>
      </c>
      <c r="E452" s="236" t="s">
        <v>481</v>
      </c>
      <c r="F452" s="236" t="s">
        <v>983</v>
      </c>
      <c r="G452" s="237">
        <v>2.0</v>
      </c>
      <c r="H452" s="237">
        <v>2.0</v>
      </c>
      <c r="I452" s="237">
        <v>0.0</v>
      </c>
      <c r="J452" s="237">
        <v>2.0</v>
      </c>
      <c r="K452" s="237">
        <v>2.0</v>
      </c>
      <c r="L452" s="237">
        <v>0.0</v>
      </c>
      <c r="M452" s="237">
        <v>5.0</v>
      </c>
      <c r="N452" s="237">
        <v>5.0</v>
      </c>
    </row>
    <row r="453">
      <c r="A453" s="236" t="s">
        <v>276</v>
      </c>
      <c r="B453" s="237">
        <v>7014.0</v>
      </c>
      <c r="C453" s="236" t="s">
        <v>276</v>
      </c>
      <c r="D453" s="236" t="s">
        <v>480</v>
      </c>
      <c r="E453" s="236" t="s">
        <v>937</v>
      </c>
      <c r="F453" s="236" t="s">
        <v>974</v>
      </c>
      <c r="G453" s="237">
        <v>2.0</v>
      </c>
      <c r="H453" s="237">
        <v>2.0</v>
      </c>
      <c r="I453" s="237">
        <v>0.0</v>
      </c>
      <c r="J453" s="237">
        <v>2.0</v>
      </c>
      <c r="K453" s="237">
        <v>2.0</v>
      </c>
      <c r="L453" s="237">
        <v>0.0</v>
      </c>
      <c r="M453" s="237">
        <v>5.0</v>
      </c>
      <c r="N453" s="237">
        <v>6.0</v>
      </c>
    </row>
    <row r="454">
      <c r="A454" s="236" t="s">
        <v>675</v>
      </c>
      <c r="B454" s="237">
        <v>5319.0</v>
      </c>
      <c r="C454" s="236" t="s">
        <v>675</v>
      </c>
      <c r="D454" s="236" t="s">
        <v>492</v>
      </c>
      <c r="E454" s="236" t="s">
        <v>492</v>
      </c>
      <c r="F454" s="236" t="s">
        <v>1033</v>
      </c>
      <c r="G454" s="237">
        <v>11.0</v>
      </c>
      <c r="H454" s="237">
        <v>12.0</v>
      </c>
      <c r="I454" s="237">
        <v>-1.0</v>
      </c>
      <c r="J454" s="237">
        <v>11.0</v>
      </c>
      <c r="K454" s="237">
        <v>12.0</v>
      </c>
      <c r="L454" s="237">
        <v>-1.0</v>
      </c>
      <c r="M454" s="237">
        <v>34.0</v>
      </c>
      <c r="N454" s="237">
        <v>34.0</v>
      </c>
    </row>
    <row r="455">
      <c r="A455" s="236" t="s">
        <v>676</v>
      </c>
      <c r="B455" s="237">
        <v>6956.0</v>
      </c>
      <c r="C455" s="236" t="s">
        <v>676</v>
      </c>
      <c r="D455" s="236" t="s">
        <v>480</v>
      </c>
      <c r="E455" s="236" t="s">
        <v>481</v>
      </c>
      <c r="F455" s="236" t="s">
        <v>993</v>
      </c>
      <c r="G455" s="237">
        <v>11.0</v>
      </c>
      <c r="H455" s="237">
        <v>11.0</v>
      </c>
      <c r="I455" s="237">
        <v>0.0</v>
      </c>
      <c r="J455" s="237">
        <v>11.0</v>
      </c>
      <c r="K455" s="237">
        <v>11.0</v>
      </c>
      <c r="L455" s="237">
        <v>0.0</v>
      </c>
      <c r="M455" s="237">
        <v>40.0</v>
      </c>
      <c r="N455" s="237">
        <v>40.0</v>
      </c>
    </row>
    <row r="456">
      <c r="A456" s="236" t="s">
        <v>1183</v>
      </c>
      <c r="B456" s="237">
        <v>219.0</v>
      </c>
      <c r="C456" s="236" t="s">
        <v>1183</v>
      </c>
      <c r="D456" s="236" t="s">
        <v>477</v>
      </c>
      <c r="E456" s="236" t="s">
        <v>478</v>
      </c>
      <c r="F456" s="236" t="s">
        <v>1026</v>
      </c>
      <c r="G456" s="237">
        <v>1.0</v>
      </c>
      <c r="H456" s="237">
        <v>1.0</v>
      </c>
      <c r="I456" s="237">
        <v>0.0</v>
      </c>
      <c r="J456" s="237">
        <v>1.0</v>
      </c>
      <c r="K456" s="237">
        <v>1.0</v>
      </c>
      <c r="L456" s="237">
        <v>0.0</v>
      </c>
      <c r="M456" s="237">
        <v>1.0</v>
      </c>
      <c r="N456" s="237">
        <v>1.0</v>
      </c>
    </row>
    <row r="457">
      <c r="A457" s="236" t="s">
        <v>382</v>
      </c>
      <c r="B457" s="237">
        <v>2428.0</v>
      </c>
      <c r="C457" s="236" t="s">
        <v>382</v>
      </c>
      <c r="D457" s="236" t="s">
        <v>477</v>
      </c>
      <c r="E457" s="236" t="s">
        <v>478</v>
      </c>
      <c r="F457" s="236" t="s">
        <v>973</v>
      </c>
      <c r="G457" s="237">
        <v>16.0</v>
      </c>
      <c r="H457" s="237">
        <v>16.0</v>
      </c>
      <c r="I457" s="237">
        <v>0.0</v>
      </c>
      <c r="J457" s="237">
        <v>16.0</v>
      </c>
      <c r="K457" s="237">
        <v>16.0</v>
      </c>
      <c r="L457" s="237">
        <v>0.0</v>
      </c>
      <c r="M457" s="237">
        <v>86.0</v>
      </c>
      <c r="N457" s="237">
        <v>86.0</v>
      </c>
    </row>
    <row r="458">
      <c r="A458" s="236" t="s">
        <v>1184</v>
      </c>
      <c r="B458" s="237">
        <v>7209.0</v>
      </c>
      <c r="C458" s="236" t="s">
        <v>1184</v>
      </c>
      <c r="D458" s="236" t="s">
        <v>492</v>
      </c>
      <c r="E458" s="236" t="s">
        <v>492</v>
      </c>
      <c r="F458" s="236" t="s">
        <v>985</v>
      </c>
      <c r="G458" s="237">
        <v>6.0</v>
      </c>
      <c r="H458" s="237">
        <v>6.0</v>
      </c>
      <c r="I458" s="237">
        <v>0.0</v>
      </c>
      <c r="J458" s="237">
        <v>6.0</v>
      </c>
      <c r="K458" s="237">
        <v>6.0</v>
      </c>
      <c r="L458" s="237">
        <v>0.0</v>
      </c>
      <c r="M458" s="237">
        <v>13.0</v>
      </c>
      <c r="N458" s="237">
        <v>13.0</v>
      </c>
    </row>
    <row r="459">
      <c r="A459" s="236" t="s">
        <v>1185</v>
      </c>
      <c r="B459" s="237">
        <v>2839.0</v>
      </c>
      <c r="C459" s="236" t="s">
        <v>1185</v>
      </c>
      <c r="D459" s="236" t="s">
        <v>492</v>
      </c>
      <c r="E459" s="236" t="s">
        <v>935</v>
      </c>
      <c r="F459" s="236" t="s">
        <v>998</v>
      </c>
      <c r="G459" s="237">
        <v>10.0</v>
      </c>
      <c r="H459" s="237">
        <v>11.0</v>
      </c>
      <c r="I459" s="237">
        <v>-1.0</v>
      </c>
      <c r="J459" s="237">
        <v>9.0</v>
      </c>
      <c r="K459" s="237">
        <v>10.0</v>
      </c>
      <c r="L459" s="237">
        <v>-1.0</v>
      </c>
      <c r="M459" s="237">
        <v>22.0</v>
      </c>
      <c r="N459" s="237">
        <v>22.0</v>
      </c>
    </row>
    <row r="460">
      <c r="A460" s="236" t="s">
        <v>1186</v>
      </c>
      <c r="B460" s="237">
        <v>5734.0</v>
      </c>
      <c r="C460" s="236" t="s">
        <v>1186</v>
      </c>
      <c r="D460" s="236" t="s">
        <v>507</v>
      </c>
      <c r="E460" s="236" t="s">
        <v>507</v>
      </c>
      <c r="F460" s="236" t="s">
        <v>988</v>
      </c>
      <c r="G460" s="237">
        <v>20.0</v>
      </c>
      <c r="H460" s="237">
        <v>20.0</v>
      </c>
      <c r="I460" s="237">
        <v>0.0</v>
      </c>
      <c r="J460" s="237">
        <v>21.0</v>
      </c>
      <c r="K460" s="237">
        <v>21.0</v>
      </c>
      <c r="L460" s="237">
        <v>0.0</v>
      </c>
      <c r="M460" s="237">
        <v>153.0</v>
      </c>
      <c r="N460" s="237">
        <v>153.0</v>
      </c>
    </row>
    <row r="461">
      <c r="A461" s="236" t="s">
        <v>678</v>
      </c>
      <c r="B461" s="237">
        <v>1852.0</v>
      </c>
      <c r="C461" s="236" t="s">
        <v>678</v>
      </c>
      <c r="D461" s="236" t="s">
        <v>480</v>
      </c>
      <c r="E461" s="236" t="s">
        <v>931</v>
      </c>
      <c r="F461" s="236" t="s">
        <v>987</v>
      </c>
      <c r="G461" s="237">
        <v>7.0</v>
      </c>
      <c r="H461" s="237">
        <v>7.0</v>
      </c>
      <c r="I461" s="237">
        <v>0.0</v>
      </c>
      <c r="J461" s="237">
        <v>7.0</v>
      </c>
      <c r="K461" s="237">
        <v>7.0</v>
      </c>
      <c r="L461" s="237">
        <v>0.0</v>
      </c>
      <c r="M461" s="237">
        <v>10.0</v>
      </c>
      <c r="N461" s="237">
        <v>18.0</v>
      </c>
    </row>
    <row r="462">
      <c r="A462" s="236" t="s">
        <v>760</v>
      </c>
      <c r="B462" s="237">
        <v>4.0</v>
      </c>
      <c r="C462" s="236" t="s">
        <v>760</v>
      </c>
      <c r="D462" s="236" t="s">
        <v>477</v>
      </c>
      <c r="E462" s="236" t="s">
        <v>478</v>
      </c>
      <c r="F462" s="236" t="s">
        <v>980</v>
      </c>
      <c r="G462" s="237">
        <v>1.0</v>
      </c>
      <c r="H462" s="237">
        <v>1.0</v>
      </c>
      <c r="I462" s="237">
        <v>0.0</v>
      </c>
      <c r="J462" s="237">
        <v>1.0</v>
      </c>
      <c r="K462" s="237">
        <v>1.0</v>
      </c>
      <c r="L462" s="237">
        <v>0.0</v>
      </c>
      <c r="M462" s="237">
        <v>1.0</v>
      </c>
      <c r="N462" s="237">
        <v>1.0</v>
      </c>
    </row>
    <row r="463">
      <c r="A463" s="236" t="s">
        <v>1187</v>
      </c>
      <c r="B463" s="237">
        <v>7135.0</v>
      </c>
      <c r="C463" s="236" t="s">
        <v>1187</v>
      </c>
      <c r="D463" s="236" t="s">
        <v>492</v>
      </c>
      <c r="E463" s="236" t="s">
        <v>934</v>
      </c>
      <c r="F463" s="236" t="s">
        <v>1026</v>
      </c>
      <c r="G463" s="237">
        <v>8.0</v>
      </c>
      <c r="H463" s="237">
        <v>8.0</v>
      </c>
      <c r="I463" s="237">
        <v>0.0</v>
      </c>
      <c r="J463" s="237">
        <v>8.0</v>
      </c>
      <c r="K463" s="237">
        <v>8.0</v>
      </c>
      <c r="L463" s="237">
        <v>0.0</v>
      </c>
      <c r="M463" s="237">
        <v>26.0</v>
      </c>
      <c r="N463" s="237">
        <v>26.0</v>
      </c>
    </row>
    <row r="464">
      <c r="A464" s="236" t="s">
        <v>1188</v>
      </c>
      <c r="B464" s="237">
        <v>5561.0</v>
      </c>
      <c r="C464" s="236" t="s">
        <v>1188</v>
      </c>
      <c r="D464" s="236" t="s">
        <v>492</v>
      </c>
      <c r="E464" s="236" t="s">
        <v>1057</v>
      </c>
      <c r="F464" s="236" t="s">
        <v>977</v>
      </c>
      <c r="G464" s="237">
        <v>11.0</v>
      </c>
      <c r="H464" s="237">
        <v>11.0</v>
      </c>
      <c r="I464" s="237">
        <v>0.0</v>
      </c>
      <c r="J464" s="237">
        <v>11.0</v>
      </c>
      <c r="K464" s="237">
        <v>11.0</v>
      </c>
      <c r="L464" s="237">
        <v>0.0</v>
      </c>
      <c r="M464" s="237">
        <v>35.0</v>
      </c>
      <c r="N464" s="237">
        <v>35.0</v>
      </c>
    </row>
    <row r="465">
      <c r="A465" s="236" t="s">
        <v>1189</v>
      </c>
      <c r="B465" s="237">
        <v>7252.0</v>
      </c>
      <c r="C465" s="236" t="s">
        <v>1189</v>
      </c>
      <c r="D465" s="236" t="s">
        <v>507</v>
      </c>
      <c r="E465" s="236" t="s">
        <v>512</v>
      </c>
      <c r="F465" s="236" t="s">
        <v>998</v>
      </c>
      <c r="G465" s="237">
        <v>13.0</v>
      </c>
      <c r="H465" s="237">
        <v>13.0</v>
      </c>
      <c r="I465" s="237">
        <v>0.0</v>
      </c>
      <c r="J465" s="237">
        <v>13.0</v>
      </c>
      <c r="K465" s="237">
        <v>13.0</v>
      </c>
      <c r="L465" s="237">
        <v>0.0</v>
      </c>
      <c r="M465" s="237">
        <v>31.0</v>
      </c>
      <c r="N465" s="237">
        <v>31.0</v>
      </c>
    </row>
    <row r="466">
      <c r="A466" s="236" t="s">
        <v>1190</v>
      </c>
      <c r="B466" s="237">
        <v>7070.0</v>
      </c>
      <c r="C466" s="236" t="s">
        <v>1190</v>
      </c>
      <c r="D466" s="236" t="s">
        <v>492</v>
      </c>
      <c r="E466" s="236" t="s">
        <v>492</v>
      </c>
      <c r="F466" s="236" t="s">
        <v>973</v>
      </c>
      <c r="G466" s="237">
        <v>9.0</v>
      </c>
      <c r="H466" s="237">
        <v>9.0</v>
      </c>
      <c r="I466" s="237">
        <v>0.0</v>
      </c>
      <c r="J466" s="237">
        <v>9.0</v>
      </c>
      <c r="K466" s="237">
        <v>9.0</v>
      </c>
      <c r="L466" s="237">
        <v>0.0</v>
      </c>
      <c r="M466" s="237">
        <v>26.0</v>
      </c>
      <c r="N466" s="237">
        <v>26.0</v>
      </c>
    </row>
    <row r="467">
      <c r="A467" s="236" t="s">
        <v>1191</v>
      </c>
      <c r="B467" s="237">
        <v>6024.0</v>
      </c>
      <c r="C467" s="236" t="s">
        <v>1191</v>
      </c>
      <c r="D467" s="236" t="s">
        <v>492</v>
      </c>
      <c r="E467" s="236" t="s">
        <v>930</v>
      </c>
      <c r="F467" s="236" t="s">
        <v>1009</v>
      </c>
      <c r="G467" s="237">
        <v>4.0</v>
      </c>
      <c r="H467" s="237">
        <v>4.0</v>
      </c>
      <c r="I467" s="237">
        <v>0.0</v>
      </c>
      <c r="J467" s="237">
        <v>4.0</v>
      </c>
      <c r="K467" s="237">
        <v>4.0</v>
      </c>
      <c r="L467" s="237">
        <v>0.0</v>
      </c>
      <c r="M467" s="237">
        <v>10.0</v>
      </c>
      <c r="N467" s="237">
        <v>11.0</v>
      </c>
    </row>
    <row r="468">
      <c r="A468" s="236" t="s">
        <v>1192</v>
      </c>
      <c r="B468" s="237">
        <v>5918.0</v>
      </c>
      <c r="C468" s="236" t="s">
        <v>1192</v>
      </c>
      <c r="D468" s="236" t="s">
        <v>507</v>
      </c>
      <c r="E468" s="236" t="s">
        <v>507</v>
      </c>
      <c r="F468" s="236" t="s">
        <v>980</v>
      </c>
      <c r="G468" s="237">
        <v>8.0</v>
      </c>
      <c r="H468" s="237">
        <v>9.0</v>
      </c>
      <c r="I468" s="237">
        <v>-1.0</v>
      </c>
      <c r="J468" s="237">
        <v>8.0</v>
      </c>
      <c r="K468" s="237">
        <v>9.0</v>
      </c>
      <c r="L468" s="237">
        <v>-1.0</v>
      </c>
      <c r="M468" s="237">
        <v>20.0</v>
      </c>
      <c r="N468" s="237">
        <v>20.0</v>
      </c>
    </row>
    <row r="469">
      <c r="A469" s="236" t="s">
        <v>616</v>
      </c>
      <c r="B469" s="237">
        <v>6486.0</v>
      </c>
      <c r="C469" s="236" t="s">
        <v>616</v>
      </c>
      <c r="D469" s="236" t="s">
        <v>492</v>
      </c>
      <c r="E469" s="236" t="s">
        <v>1057</v>
      </c>
      <c r="F469" s="236" t="s">
        <v>983</v>
      </c>
      <c r="G469" s="237">
        <v>8.0</v>
      </c>
      <c r="H469" s="237">
        <v>9.0</v>
      </c>
      <c r="I469" s="237">
        <v>-1.0</v>
      </c>
      <c r="J469" s="237">
        <v>8.0</v>
      </c>
      <c r="K469" s="237">
        <v>9.0</v>
      </c>
      <c r="L469" s="237">
        <v>-1.0</v>
      </c>
      <c r="M469" s="237">
        <v>14.0</v>
      </c>
      <c r="N469" s="237">
        <v>14.0</v>
      </c>
    </row>
    <row r="470">
      <c r="A470" s="236" t="s">
        <v>708</v>
      </c>
      <c r="B470" s="237">
        <v>6641.0</v>
      </c>
      <c r="C470" s="236" t="s">
        <v>708</v>
      </c>
      <c r="D470" s="236" t="s">
        <v>477</v>
      </c>
      <c r="E470" s="236" t="s">
        <v>478</v>
      </c>
      <c r="F470" s="236" t="s">
        <v>985</v>
      </c>
      <c r="G470" s="237">
        <v>7.0</v>
      </c>
      <c r="H470" s="237">
        <v>7.0</v>
      </c>
      <c r="I470" s="237">
        <v>0.0</v>
      </c>
      <c r="J470" s="237">
        <v>7.0</v>
      </c>
      <c r="K470" s="237">
        <v>7.0</v>
      </c>
      <c r="L470" s="237">
        <v>0.0</v>
      </c>
      <c r="M470" s="237">
        <v>14.0</v>
      </c>
      <c r="N470" s="237">
        <v>14.0</v>
      </c>
    </row>
    <row r="471">
      <c r="A471" s="236" t="s">
        <v>890</v>
      </c>
      <c r="B471" s="237">
        <v>5841.0</v>
      </c>
      <c r="C471" s="236" t="s">
        <v>890</v>
      </c>
      <c r="D471" s="236" t="s">
        <v>477</v>
      </c>
      <c r="E471" s="236" t="s">
        <v>478</v>
      </c>
      <c r="F471" s="236" t="s">
        <v>988</v>
      </c>
      <c r="G471" s="237">
        <v>16.0</v>
      </c>
      <c r="H471" s="237">
        <v>15.0</v>
      </c>
      <c r="I471" s="237">
        <v>1.0</v>
      </c>
      <c r="J471" s="237">
        <v>16.0</v>
      </c>
      <c r="K471" s="237">
        <v>15.0</v>
      </c>
      <c r="L471" s="237">
        <v>1.0</v>
      </c>
      <c r="M471" s="237">
        <v>85.0</v>
      </c>
      <c r="N471" s="237">
        <v>85.0</v>
      </c>
    </row>
    <row r="472">
      <c r="A472" s="236" t="s">
        <v>891</v>
      </c>
      <c r="B472" s="237">
        <v>4890.0</v>
      </c>
      <c r="C472" s="236" t="s">
        <v>891</v>
      </c>
      <c r="D472" s="236" t="s">
        <v>492</v>
      </c>
      <c r="E472" s="236" t="s">
        <v>930</v>
      </c>
      <c r="F472" s="236" t="s">
        <v>972</v>
      </c>
      <c r="G472" s="237">
        <v>5.0</v>
      </c>
      <c r="H472" s="237">
        <v>5.0</v>
      </c>
      <c r="I472" s="237">
        <v>0.0</v>
      </c>
      <c r="J472" s="237">
        <v>5.0</v>
      </c>
      <c r="K472" s="237">
        <v>5.0</v>
      </c>
      <c r="L472" s="237">
        <v>0.0</v>
      </c>
      <c r="M472" s="237">
        <v>11.0</v>
      </c>
      <c r="N472" s="237">
        <v>14.0</v>
      </c>
    </row>
    <row r="473">
      <c r="A473" s="236" t="s">
        <v>177</v>
      </c>
      <c r="B473" s="237">
        <v>5620.0</v>
      </c>
      <c r="C473" s="236" t="s">
        <v>177</v>
      </c>
      <c r="D473" s="236" t="s">
        <v>480</v>
      </c>
      <c r="E473" s="236" t="s">
        <v>931</v>
      </c>
      <c r="F473" s="236" t="s">
        <v>1000</v>
      </c>
      <c r="G473" s="237">
        <v>12.0</v>
      </c>
      <c r="H473" s="237">
        <v>12.0</v>
      </c>
      <c r="I473" s="237">
        <v>0.0</v>
      </c>
      <c r="J473" s="237">
        <v>12.0</v>
      </c>
      <c r="K473" s="237">
        <v>12.0</v>
      </c>
      <c r="L473" s="237">
        <v>0.0</v>
      </c>
      <c r="M473" s="237">
        <v>43.0</v>
      </c>
      <c r="N473" s="237">
        <v>43.0</v>
      </c>
    </row>
    <row r="474">
      <c r="A474" s="236" t="s">
        <v>709</v>
      </c>
      <c r="B474" s="237">
        <v>2815.0</v>
      </c>
      <c r="C474" s="236" t="s">
        <v>709</v>
      </c>
      <c r="D474" s="236" t="s">
        <v>477</v>
      </c>
      <c r="E474" s="236" t="s">
        <v>478</v>
      </c>
      <c r="F474" s="236" t="s">
        <v>991</v>
      </c>
      <c r="G474" s="237">
        <v>1.0</v>
      </c>
      <c r="H474" s="237">
        <v>1.0</v>
      </c>
      <c r="I474" s="237">
        <v>0.0</v>
      </c>
      <c r="J474" s="237">
        <v>1.0</v>
      </c>
      <c r="K474" s="237">
        <v>1.0</v>
      </c>
      <c r="L474" s="237">
        <v>0.0</v>
      </c>
      <c r="M474" s="237">
        <v>1.0</v>
      </c>
      <c r="N474" s="237">
        <v>1.0</v>
      </c>
    </row>
    <row r="475">
      <c r="A475" s="236" t="s">
        <v>649</v>
      </c>
      <c r="B475" s="237">
        <v>5812.0</v>
      </c>
      <c r="C475" s="236" t="s">
        <v>649</v>
      </c>
      <c r="D475" s="236" t="s">
        <v>480</v>
      </c>
      <c r="E475" s="236" t="s">
        <v>944</v>
      </c>
      <c r="F475" s="236" t="s">
        <v>995</v>
      </c>
      <c r="G475" s="237">
        <v>5.0</v>
      </c>
      <c r="H475" s="237">
        <v>2.0</v>
      </c>
      <c r="I475" s="237">
        <v>3.0</v>
      </c>
      <c r="J475" s="237">
        <v>5.0</v>
      </c>
      <c r="K475" s="237">
        <v>2.0</v>
      </c>
      <c r="L475" s="237">
        <v>3.0</v>
      </c>
      <c r="M475" s="237">
        <v>13.0</v>
      </c>
      <c r="N475" s="237">
        <v>13.0</v>
      </c>
    </row>
    <row r="476">
      <c r="A476" s="236" t="s">
        <v>1193</v>
      </c>
      <c r="B476" s="237">
        <v>6634.0</v>
      </c>
      <c r="C476" s="236" t="s">
        <v>1193</v>
      </c>
      <c r="D476" s="236" t="s">
        <v>492</v>
      </c>
      <c r="E476" s="236" t="s">
        <v>563</v>
      </c>
      <c r="F476" s="236" t="s">
        <v>998</v>
      </c>
      <c r="G476" s="237">
        <v>9.0</v>
      </c>
      <c r="H476" s="237">
        <v>9.0</v>
      </c>
      <c r="I476" s="237">
        <v>0.0</v>
      </c>
      <c r="J476" s="237">
        <v>8.0</v>
      </c>
      <c r="K476" s="237">
        <v>8.0</v>
      </c>
      <c r="L476" s="237">
        <v>0.0</v>
      </c>
      <c r="M476" s="237">
        <v>19.0</v>
      </c>
      <c r="N476" s="237">
        <v>17.0</v>
      </c>
    </row>
    <row r="477">
      <c r="A477" s="236" t="s">
        <v>1194</v>
      </c>
      <c r="B477" s="237">
        <v>4404.0</v>
      </c>
      <c r="C477" s="236" t="s">
        <v>1194</v>
      </c>
      <c r="D477" s="236" t="s">
        <v>492</v>
      </c>
      <c r="E477" s="236" t="s">
        <v>934</v>
      </c>
      <c r="F477" s="236" t="s">
        <v>1026</v>
      </c>
      <c r="G477" s="237">
        <v>5.0</v>
      </c>
      <c r="H477" s="237">
        <v>5.0</v>
      </c>
      <c r="I477" s="237">
        <v>0.0</v>
      </c>
      <c r="J477" s="237">
        <v>5.0</v>
      </c>
      <c r="K477" s="237">
        <v>5.0</v>
      </c>
      <c r="L477" s="237">
        <v>0.0</v>
      </c>
      <c r="M477" s="237">
        <v>12.0</v>
      </c>
      <c r="N477" s="237">
        <v>12.0</v>
      </c>
    </row>
    <row r="478">
      <c r="A478" s="236" t="s">
        <v>1195</v>
      </c>
      <c r="B478" s="237">
        <v>5844.0</v>
      </c>
      <c r="C478" s="236" t="s">
        <v>1195</v>
      </c>
      <c r="D478" s="236" t="s">
        <v>492</v>
      </c>
      <c r="E478" s="236" t="s">
        <v>934</v>
      </c>
      <c r="F478" s="236" t="s">
        <v>1005</v>
      </c>
      <c r="G478" s="237">
        <v>7.0</v>
      </c>
      <c r="H478" s="237">
        <v>8.0</v>
      </c>
      <c r="I478" s="237">
        <v>-1.0</v>
      </c>
      <c r="J478" s="237">
        <v>7.0</v>
      </c>
      <c r="K478" s="237">
        <v>8.0</v>
      </c>
      <c r="L478" s="237">
        <v>-1.0</v>
      </c>
      <c r="M478" s="237">
        <v>22.0</v>
      </c>
      <c r="N478" s="237">
        <v>22.0</v>
      </c>
    </row>
    <row r="479">
      <c r="A479" s="236" t="s">
        <v>273</v>
      </c>
      <c r="B479" s="237">
        <v>4871.0</v>
      </c>
      <c r="C479" s="236" t="s">
        <v>273</v>
      </c>
      <c r="D479" s="236" t="s">
        <v>507</v>
      </c>
      <c r="E479" s="236" t="s">
        <v>512</v>
      </c>
      <c r="F479" s="236" t="s">
        <v>973</v>
      </c>
      <c r="G479" s="237">
        <v>31.0</v>
      </c>
      <c r="H479" s="237">
        <v>29.0</v>
      </c>
      <c r="I479" s="237">
        <v>2.0</v>
      </c>
      <c r="J479" s="237">
        <v>31.0</v>
      </c>
      <c r="K479" s="237">
        <v>29.0</v>
      </c>
      <c r="L479" s="237">
        <v>2.0</v>
      </c>
      <c r="M479" s="237">
        <v>337.0</v>
      </c>
      <c r="N479" s="237">
        <v>337.0</v>
      </c>
    </row>
    <row r="480">
      <c r="A480" s="236" t="s">
        <v>317</v>
      </c>
      <c r="B480" s="237">
        <v>5562.0</v>
      </c>
      <c r="C480" s="236" t="s">
        <v>317</v>
      </c>
      <c r="D480" s="236" t="s">
        <v>492</v>
      </c>
      <c r="E480" s="236" t="s">
        <v>930</v>
      </c>
      <c r="F480" s="236" t="s">
        <v>976</v>
      </c>
      <c r="G480" s="237">
        <v>16.0</v>
      </c>
      <c r="H480" s="237">
        <v>16.0</v>
      </c>
      <c r="I480" s="237">
        <v>0.0</v>
      </c>
      <c r="J480" s="237">
        <v>17.0</v>
      </c>
      <c r="K480" s="237">
        <v>17.0</v>
      </c>
      <c r="L480" s="237">
        <v>0.0</v>
      </c>
      <c r="M480" s="237">
        <v>57.0</v>
      </c>
      <c r="N480" s="237">
        <v>67.0</v>
      </c>
    </row>
    <row r="481">
      <c r="A481" s="236" t="s">
        <v>1196</v>
      </c>
      <c r="B481" s="237">
        <v>6989.0</v>
      </c>
      <c r="C481" s="236" t="s">
        <v>1196</v>
      </c>
      <c r="D481" s="236" t="s">
        <v>480</v>
      </c>
      <c r="E481" s="236" t="s">
        <v>481</v>
      </c>
      <c r="F481" s="236" t="s">
        <v>998</v>
      </c>
      <c r="G481" s="237">
        <v>2.0</v>
      </c>
      <c r="H481" s="237">
        <v>1.0</v>
      </c>
      <c r="I481" s="237">
        <v>1.0</v>
      </c>
      <c r="J481" s="237">
        <v>2.0</v>
      </c>
      <c r="K481" s="237">
        <v>1.0</v>
      </c>
      <c r="L481" s="237">
        <v>1.0</v>
      </c>
      <c r="M481" s="237">
        <v>2.0</v>
      </c>
      <c r="N481" s="237">
        <v>2.0</v>
      </c>
    </row>
    <row r="482">
      <c r="A482" s="236" t="s">
        <v>769</v>
      </c>
      <c r="B482" s="237">
        <v>4751.0</v>
      </c>
      <c r="C482" s="236" t="s">
        <v>769</v>
      </c>
      <c r="D482" s="236" t="s">
        <v>480</v>
      </c>
      <c r="E482" s="236" t="s">
        <v>481</v>
      </c>
      <c r="F482" s="236" t="s">
        <v>991</v>
      </c>
      <c r="G482" s="237">
        <v>8.0</v>
      </c>
      <c r="H482" s="237">
        <v>8.0</v>
      </c>
      <c r="I482" s="237">
        <v>0.0</v>
      </c>
      <c r="J482" s="237">
        <v>8.0</v>
      </c>
      <c r="K482" s="237">
        <v>8.0</v>
      </c>
      <c r="L482" s="237">
        <v>0.0</v>
      </c>
      <c r="M482" s="237">
        <v>25.0</v>
      </c>
      <c r="N482" s="237">
        <v>25.0</v>
      </c>
    </row>
    <row r="483">
      <c r="A483" s="236" t="s">
        <v>1197</v>
      </c>
      <c r="B483" s="237">
        <v>7236.0</v>
      </c>
      <c r="C483" s="236" t="s">
        <v>1197</v>
      </c>
      <c r="D483" s="236" t="s">
        <v>477</v>
      </c>
      <c r="E483" s="236" t="s">
        <v>478</v>
      </c>
      <c r="F483" s="236" t="s">
        <v>983</v>
      </c>
      <c r="G483" s="237">
        <v>1.0</v>
      </c>
      <c r="H483" s="237">
        <v>1.0</v>
      </c>
      <c r="I483" s="237">
        <v>0.0</v>
      </c>
      <c r="J483" s="237">
        <v>1.0</v>
      </c>
      <c r="K483" s="237">
        <v>1.0</v>
      </c>
      <c r="L483" s="237">
        <v>0.0</v>
      </c>
      <c r="M483" s="237">
        <v>1.0</v>
      </c>
      <c r="N483" s="237">
        <v>1.0</v>
      </c>
    </row>
    <row r="484">
      <c r="A484" s="236" t="s">
        <v>236</v>
      </c>
      <c r="B484" s="237">
        <v>6813.0</v>
      </c>
      <c r="C484" s="236" t="s">
        <v>236</v>
      </c>
      <c r="D484" s="236" t="s">
        <v>477</v>
      </c>
      <c r="E484" s="236" t="s">
        <v>478</v>
      </c>
      <c r="F484" s="236" t="s">
        <v>991</v>
      </c>
      <c r="G484" s="237">
        <v>1.0</v>
      </c>
      <c r="H484" s="237">
        <v>1.0</v>
      </c>
      <c r="I484" s="237">
        <v>0.0</v>
      </c>
      <c r="J484" s="237">
        <v>1.0</v>
      </c>
      <c r="K484" s="237">
        <v>1.0</v>
      </c>
      <c r="L484" s="237">
        <v>0.0</v>
      </c>
      <c r="M484" s="237">
        <v>1.0</v>
      </c>
      <c r="N484" s="237">
        <v>1.0</v>
      </c>
    </row>
    <row r="485">
      <c r="A485" s="236" t="s">
        <v>1198</v>
      </c>
      <c r="B485" s="237">
        <v>7146.0</v>
      </c>
      <c r="C485" s="236" t="s">
        <v>1198</v>
      </c>
      <c r="D485" s="236" t="s">
        <v>492</v>
      </c>
      <c r="E485" s="236" t="s">
        <v>1152</v>
      </c>
      <c r="F485" s="236" t="s">
        <v>977</v>
      </c>
      <c r="G485" s="237">
        <v>7.0</v>
      </c>
      <c r="H485" s="237">
        <v>6.0</v>
      </c>
      <c r="I485" s="237">
        <v>1.0</v>
      </c>
      <c r="J485" s="237">
        <v>8.0</v>
      </c>
      <c r="K485" s="237">
        <v>7.0</v>
      </c>
      <c r="L485" s="237">
        <v>1.0</v>
      </c>
      <c r="M485" s="237">
        <v>23.0</v>
      </c>
      <c r="N485" s="237">
        <v>26.0</v>
      </c>
    </row>
    <row r="486">
      <c r="A486" s="236" t="s">
        <v>1199</v>
      </c>
      <c r="B486" s="237">
        <v>5318.0</v>
      </c>
      <c r="C486" s="236" t="s">
        <v>1199</v>
      </c>
      <c r="D486" s="236" t="s">
        <v>492</v>
      </c>
      <c r="E486" s="236" t="s">
        <v>1057</v>
      </c>
      <c r="F486" s="236" t="s">
        <v>977</v>
      </c>
      <c r="G486" s="237">
        <v>12.0</v>
      </c>
      <c r="H486" s="237">
        <v>12.0</v>
      </c>
      <c r="I486" s="237">
        <v>0.0</v>
      </c>
      <c r="J486" s="237">
        <v>12.0</v>
      </c>
      <c r="K486" s="237">
        <v>12.0</v>
      </c>
      <c r="L486" s="237">
        <v>0.0</v>
      </c>
      <c r="M486" s="237">
        <v>41.0</v>
      </c>
      <c r="N486" s="237">
        <v>41.0</v>
      </c>
    </row>
    <row r="487">
      <c r="A487" s="236" t="s">
        <v>1200</v>
      </c>
      <c r="B487" s="237">
        <v>7235.0</v>
      </c>
      <c r="C487" s="236" t="s">
        <v>1200</v>
      </c>
      <c r="D487" s="236" t="s">
        <v>480</v>
      </c>
      <c r="E487" s="236" t="s">
        <v>481</v>
      </c>
      <c r="F487" s="236" t="s">
        <v>985</v>
      </c>
      <c r="G487" s="237">
        <v>6.0</v>
      </c>
      <c r="H487" s="237">
        <v>6.0</v>
      </c>
      <c r="I487" s="237">
        <v>0.0</v>
      </c>
      <c r="J487" s="237">
        <v>6.0</v>
      </c>
      <c r="K487" s="237">
        <v>6.0</v>
      </c>
      <c r="L487" s="237">
        <v>0.0</v>
      </c>
      <c r="M487" s="237">
        <v>13.0</v>
      </c>
      <c r="N487" s="237">
        <v>13.0</v>
      </c>
    </row>
    <row r="488">
      <c r="A488" s="236" t="s">
        <v>1201</v>
      </c>
      <c r="B488" s="237">
        <v>5168.0</v>
      </c>
      <c r="C488" s="236" t="s">
        <v>1201</v>
      </c>
      <c r="D488" s="236" t="s">
        <v>480</v>
      </c>
      <c r="E488" s="236" t="s">
        <v>931</v>
      </c>
      <c r="F488" s="236" t="s">
        <v>988</v>
      </c>
      <c r="G488" s="237">
        <v>4.0</v>
      </c>
      <c r="H488" s="237">
        <v>4.0</v>
      </c>
      <c r="I488" s="237">
        <v>0.0</v>
      </c>
      <c r="J488" s="237">
        <v>4.0</v>
      </c>
      <c r="K488" s="237">
        <v>4.0</v>
      </c>
      <c r="L488" s="237">
        <v>0.0</v>
      </c>
      <c r="M488" s="237">
        <v>8.0</v>
      </c>
      <c r="N488" s="237">
        <v>8.0</v>
      </c>
    </row>
    <row r="489">
      <c r="A489" s="236" t="s">
        <v>830</v>
      </c>
      <c r="B489" s="237">
        <v>4867.0</v>
      </c>
      <c r="C489" s="236" t="s">
        <v>830</v>
      </c>
      <c r="D489" s="236" t="s">
        <v>477</v>
      </c>
      <c r="E489" s="236" t="s">
        <v>478</v>
      </c>
      <c r="F489" s="236" t="s">
        <v>1005</v>
      </c>
      <c r="G489" s="237">
        <v>6.0</v>
      </c>
      <c r="H489" s="237">
        <v>7.0</v>
      </c>
      <c r="I489" s="237">
        <v>-1.0</v>
      </c>
      <c r="J489" s="237">
        <v>6.0</v>
      </c>
      <c r="K489" s="237">
        <v>7.0</v>
      </c>
      <c r="L489" s="237">
        <v>-1.0</v>
      </c>
      <c r="M489" s="237">
        <v>7.0</v>
      </c>
      <c r="N489" s="237">
        <v>7.0</v>
      </c>
    </row>
    <row r="490">
      <c r="A490" s="236" t="s">
        <v>1202</v>
      </c>
      <c r="B490" s="237">
        <v>6894.0</v>
      </c>
      <c r="C490" s="236" t="s">
        <v>1202</v>
      </c>
      <c r="D490" s="236" t="s">
        <v>480</v>
      </c>
      <c r="E490" s="236" t="s">
        <v>481</v>
      </c>
      <c r="F490" s="236" t="s">
        <v>983</v>
      </c>
      <c r="G490" s="237">
        <v>5.0</v>
      </c>
      <c r="H490" s="237">
        <v>5.0</v>
      </c>
      <c r="I490" s="237">
        <v>0.0</v>
      </c>
      <c r="J490" s="237">
        <v>5.0</v>
      </c>
      <c r="K490" s="237">
        <v>5.0</v>
      </c>
      <c r="L490" s="237">
        <v>0.0</v>
      </c>
      <c r="M490" s="237">
        <v>10.0</v>
      </c>
      <c r="N490" s="237">
        <v>10.0</v>
      </c>
    </row>
    <row r="491">
      <c r="A491" s="236" t="s">
        <v>653</v>
      </c>
      <c r="B491" s="237">
        <v>5307.0</v>
      </c>
      <c r="C491" s="236" t="s">
        <v>653</v>
      </c>
      <c r="D491" s="236" t="s">
        <v>480</v>
      </c>
      <c r="E491" s="236" t="s">
        <v>481</v>
      </c>
      <c r="F491" s="236" t="s">
        <v>985</v>
      </c>
      <c r="G491" s="237">
        <v>4.0</v>
      </c>
      <c r="H491" s="237">
        <v>4.0</v>
      </c>
      <c r="I491" s="237">
        <v>0.0</v>
      </c>
      <c r="J491" s="237">
        <v>4.0</v>
      </c>
      <c r="K491" s="237">
        <v>4.0</v>
      </c>
      <c r="L491" s="237">
        <v>0.0</v>
      </c>
      <c r="M491" s="237">
        <v>11.0</v>
      </c>
      <c r="N491" s="237">
        <v>11.0</v>
      </c>
    </row>
    <row r="492">
      <c r="A492" s="236" t="s">
        <v>1203</v>
      </c>
      <c r="B492" s="237">
        <v>6957.0</v>
      </c>
      <c r="C492" s="236" t="s">
        <v>1203</v>
      </c>
      <c r="D492" s="236" t="s">
        <v>480</v>
      </c>
      <c r="E492" s="236" t="s">
        <v>481</v>
      </c>
      <c r="F492" s="236" t="s">
        <v>983</v>
      </c>
      <c r="G492" s="237">
        <v>4.0</v>
      </c>
      <c r="H492" s="237">
        <v>4.0</v>
      </c>
      <c r="I492" s="237">
        <v>0.0</v>
      </c>
      <c r="J492" s="237">
        <v>4.0</v>
      </c>
      <c r="K492" s="237">
        <v>4.0</v>
      </c>
      <c r="L492" s="237">
        <v>0.0</v>
      </c>
      <c r="M492" s="237">
        <v>9.0</v>
      </c>
      <c r="N492" s="237">
        <v>9.0</v>
      </c>
    </row>
    <row r="493">
      <c r="A493" s="236" t="s">
        <v>742</v>
      </c>
      <c r="B493" s="237">
        <v>5862.0</v>
      </c>
      <c r="C493" s="236" t="s">
        <v>742</v>
      </c>
      <c r="D493" s="236" t="s">
        <v>480</v>
      </c>
      <c r="E493" s="236" t="s">
        <v>931</v>
      </c>
      <c r="F493" s="236" t="s">
        <v>985</v>
      </c>
      <c r="G493" s="237">
        <v>10.0</v>
      </c>
      <c r="H493" s="237">
        <v>10.0</v>
      </c>
      <c r="I493" s="237">
        <v>0.0</v>
      </c>
      <c r="J493" s="237">
        <v>10.0</v>
      </c>
      <c r="K493" s="237">
        <v>10.0</v>
      </c>
      <c r="L493" s="237">
        <v>0.0</v>
      </c>
      <c r="M493" s="237">
        <v>27.0</v>
      </c>
      <c r="N493" s="237">
        <v>27.0</v>
      </c>
    </row>
    <row r="494">
      <c r="A494" s="236" t="s">
        <v>899</v>
      </c>
      <c r="B494" s="237">
        <v>6867.0</v>
      </c>
      <c r="C494" s="236" t="s">
        <v>899</v>
      </c>
      <c r="D494" s="236" t="s">
        <v>480</v>
      </c>
      <c r="E494" s="236" t="s">
        <v>931</v>
      </c>
      <c r="F494" s="236" t="s">
        <v>974</v>
      </c>
      <c r="G494" s="237">
        <v>6.0</v>
      </c>
      <c r="H494" s="237">
        <v>6.0</v>
      </c>
      <c r="I494" s="237">
        <v>0.0</v>
      </c>
      <c r="J494" s="237">
        <v>6.0</v>
      </c>
      <c r="K494" s="237">
        <v>6.0</v>
      </c>
      <c r="L494" s="237">
        <v>0.0</v>
      </c>
      <c r="M494" s="237">
        <v>13.0</v>
      </c>
      <c r="N494" s="237">
        <v>13.0</v>
      </c>
    </row>
    <row r="495">
      <c r="A495" s="236" t="s">
        <v>1204</v>
      </c>
      <c r="B495" s="237">
        <v>2274.0</v>
      </c>
      <c r="C495" s="236" t="s">
        <v>1204</v>
      </c>
      <c r="D495" s="236" t="s">
        <v>492</v>
      </c>
      <c r="E495" s="236" t="s">
        <v>934</v>
      </c>
      <c r="F495" s="236" t="s">
        <v>995</v>
      </c>
      <c r="G495" s="237">
        <v>6.0</v>
      </c>
      <c r="H495" s="237">
        <v>7.0</v>
      </c>
      <c r="I495" s="237">
        <v>-1.0</v>
      </c>
      <c r="J495" s="237">
        <v>6.0</v>
      </c>
      <c r="K495" s="237">
        <v>7.0</v>
      </c>
      <c r="L495" s="237">
        <v>-1.0</v>
      </c>
      <c r="M495" s="237">
        <v>3.0</v>
      </c>
      <c r="N495" s="237">
        <v>3.0</v>
      </c>
    </row>
    <row r="496">
      <c r="A496" s="236" t="s">
        <v>1205</v>
      </c>
      <c r="B496" s="237">
        <v>6896.0</v>
      </c>
      <c r="C496" s="236" t="s">
        <v>1205</v>
      </c>
      <c r="D496" s="236" t="s">
        <v>480</v>
      </c>
      <c r="E496" s="236" t="s">
        <v>938</v>
      </c>
      <c r="F496" s="236" t="s">
        <v>974</v>
      </c>
      <c r="G496" s="237">
        <v>4.0</v>
      </c>
      <c r="H496" s="237">
        <v>4.0</v>
      </c>
      <c r="I496" s="237">
        <v>0.0</v>
      </c>
      <c r="J496" s="237">
        <v>4.0</v>
      </c>
      <c r="K496" s="237">
        <v>4.0</v>
      </c>
      <c r="L496" s="237">
        <v>0.0</v>
      </c>
      <c r="M496" s="237">
        <v>8.0</v>
      </c>
      <c r="N496" s="237">
        <v>8.0</v>
      </c>
    </row>
    <row r="497">
      <c r="A497" s="236" t="s">
        <v>1206</v>
      </c>
      <c r="B497" s="237">
        <v>7133.0</v>
      </c>
      <c r="C497" s="236" t="s">
        <v>1206</v>
      </c>
      <c r="D497" s="236" t="s">
        <v>492</v>
      </c>
      <c r="E497" s="236" t="s">
        <v>1057</v>
      </c>
      <c r="F497" s="236" t="s">
        <v>995</v>
      </c>
      <c r="G497" s="237">
        <v>13.0</v>
      </c>
      <c r="H497" s="237">
        <v>12.0</v>
      </c>
      <c r="I497" s="237">
        <v>1.0</v>
      </c>
      <c r="J497" s="237">
        <v>13.0</v>
      </c>
      <c r="K497" s="237">
        <v>12.0</v>
      </c>
      <c r="L497" s="237">
        <v>1.0</v>
      </c>
      <c r="M497" s="237">
        <v>36.0</v>
      </c>
      <c r="N497" s="237">
        <v>36.0</v>
      </c>
    </row>
    <row r="498">
      <c r="A498" s="236" t="s">
        <v>1207</v>
      </c>
      <c r="B498" s="237">
        <v>2499.0</v>
      </c>
      <c r="C498" s="236" t="s">
        <v>1207</v>
      </c>
      <c r="D498" s="236" t="s">
        <v>507</v>
      </c>
      <c r="E498" s="236" t="s">
        <v>512</v>
      </c>
      <c r="F498" s="236" t="s">
        <v>995</v>
      </c>
      <c r="G498" s="237">
        <v>15.0</v>
      </c>
      <c r="H498" s="237">
        <v>15.0</v>
      </c>
      <c r="I498" s="237">
        <v>0.0</v>
      </c>
      <c r="J498" s="237">
        <v>15.0</v>
      </c>
      <c r="K498" s="237">
        <v>15.0</v>
      </c>
      <c r="L498" s="237">
        <v>0.0</v>
      </c>
      <c r="M498" s="237">
        <v>55.0</v>
      </c>
      <c r="N498" s="237">
        <v>55.0</v>
      </c>
    </row>
    <row r="499">
      <c r="A499" s="236" t="s">
        <v>770</v>
      </c>
      <c r="B499" s="237">
        <v>5514.0</v>
      </c>
      <c r="C499" s="236" t="s">
        <v>770</v>
      </c>
      <c r="D499" s="236" t="s">
        <v>480</v>
      </c>
      <c r="E499" s="236" t="s">
        <v>1022</v>
      </c>
      <c r="F499" s="236" t="s">
        <v>1026</v>
      </c>
      <c r="G499" s="237">
        <v>10.0</v>
      </c>
      <c r="H499" s="237">
        <v>9.0</v>
      </c>
      <c r="I499" s="237">
        <v>1.0</v>
      </c>
      <c r="J499" s="237">
        <v>11.0</v>
      </c>
      <c r="K499" s="237">
        <v>10.0</v>
      </c>
      <c r="L499" s="237">
        <v>1.0</v>
      </c>
      <c r="M499" s="237">
        <v>20.0</v>
      </c>
      <c r="N499" s="237">
        <v>23.0</v>
      </c>
    </row>
    <row r="500">
      <c r="A500" s="236" t="s">
        <v>1208</v>
      </c>
      <c r="B500" s="237">
        <v>6125.0</v>
      </c>
      <c r="C500" s="236" t="s">
        <v>1208</v>
      </c>
      <c r="D500" s="236" t="s">
        <v>477</v>
      </c>
      <c r="E500" s="236" t="s">
        <v>478</v>
      </c>
      <c r="F500" s="236" t="s">
        <v>988</v>
      </c>
      <c r="G500" s="237">
        <v>1.0</v>
      </c>
      <c r="H500" s="237">
        <v>1.0</v>
      </c>
      <c r="I500" s="237">
        <v>0.0</v>
      </c>
      <c r="J500" s="237">
        <v>1.0</v>
      </c>
      <c r="K500" s="237">
        <v>1.0</v>
      </c>
      <c r="L500" s="237">
        <v>0.0</v>
      </c>
      <c r="M500" s="237">
        <v>1.0</v>
      </c>
      <c r="N500" s="237">
        <v>1.0</v>
      </c>
    </row>
    <row r="501">
      <c r="A501" s="236" t="s">
        <v>1209</v>
      </c>
      <c r="B501" s="237">
        <v>449.0</v>
      </c>
      <c r="C501" s="236" t="s">
        <v>1209</v>
      </c>
      <c r="D501" s="236" t="s">
        <v>492</v>
      </c>
      <c r="E501" s="236" t="s">
        <v>947</v>
      </c>
      <c r="F501" s="236" t="s">
        <v>995</v>
      </c>
      <c r="G501" s="237">
        <v>11.0</v>
      </c>
      <c r="H501" s="237">
        <v>10.0</v>
      </c>
      <c r="I501" s="237">
        <v>1.0</v>
      </c>
      <c r="J501" s="237">
        <v>11.0</v>
      </c>
      <c r="K501" s="237">
        <v>10.0</v>
      </c>
      <c r="L501" s="237">
        <v>1.0</v>
      </c>
      <c r="M501" s="237">
        <v>24.0</v>
      </c>
      <c r="N501" s="237">
        <v>24.0</v>
      </c>
    </row>
    <row r="502">
      <c r="A502" s="236" t="s">
        <v>771</v>
      </c>
      <c r="B502" s="237">
        <v>181.0</v>
      </c>
      <c r="C502" s="236" t="s">
        <v>771</v>
      </c>
      <c r="D502" s="236" t="s">
        <v>492</v>
      </c>
      <c r="E502" s="236" t="s">
        <v>930</v>
      </c>
      <c r="F502" s="236" t="s">
        <v>1000</v>
      </c>
      <c r="G502" s="237">
        <v>6.0</v>
      </c>
      <c r="H502" s="237">
        <v>6.0</v>
      </c>
      <c r="I502" s="237">
        <v>0.0</v>
      </c>
      <c r="J502" s="237">
        <v>6.0</v>
      </c>
      <c r="K502" s="237">
        <v>6.0</v>
      </c>
      <c r="L502" s="237">
        <v>0.0</v>
      </c>
      <c r="M502" s="237">
        <v>14.0</v>
      </c>
      <c r="N502" s="237">
        <v>15.0</v>
      </c>
    </row>
    <row r="503">
      <c r="A503" s="236" t="s">
        <v>1210</v>
      </c>
      <c r="B503" s="237">
        <v>6990.0</v>
      </c>
      <c r="C503" s="236" t="s">
        <v>1210</v>
      </c>
      <c r="D503" s="236" t="s">
        <v>480</v>
      </c>
      <c r="E503" s="236" t="s">
        <v>938</v>
      </c>
      <c r="F503" s="236" t="s">
        <v>998</v>
      </c>
      <c r="G503" s="237">
        <v>2.0</v>
      </c>
      <c r="H503" s="237">
        <v>1.0</v>
      </c>
      <c r="I503" s="237">
        <v>1.0</v>
      </c>
      <c r="J503" s="237">
        <v>2.0</v>
      </c>
      <c r="K503" s="237">
        <v>1.0</v>
      </c>
      <c r="L503" s="237">
        <v>1.0</v>
      </c>
      <c r="M503" s="237">
        <v>8.0</v>
      </c>
      <c r="N503" s="237">
        <v>8.0</v>
      </c>
    </row>
    <row r="504">
      <c r="A504" s="236" t="s">
        <v>384</v>
      </c>
      <c r="B504" s="237">
        <v>6980.0</v>
      </c>
      <c r="C504" s="236" t="s">
        <v>384</v>
      </c>
      <c r="D504" s="236" t="s">
        <v>492</v>
      </c>
      <c r="E504" s="236" t="s">
        <v>563</v>
      </c>
      <c r="F504" s="236" t="s">
        <v>1026</v>
      </c>
      <c r="G504" s="237">
        <v>3.0</v>
      </c>
      <c r="H504" s="237">
        <v>3.0</v>
      </c>
      <c r="I504" s="237">
        <v>0.0</v>
      </c>
      <c r="J504" s="237">
        <v>3.0</v>
      </c>
      <c r="K504" s="237">
        <v>3.0</v>
      </c>
      <c r="L504" s="237">
        <v>0.0</v>
      </c>
      <c r="M504" s="237">
        <v>10.0</v>
      </c>
      <c r="N504" s="237">
        <v>10.0</v>
      </c>
    </row>
    <row r="505">
      <c r="A505" s="236" t="s">
        <v>140</v>
      </c>
      <c r="B505" s="237">
        <v>7223.0</v>
      </c>
      <c r="C505" s="236" t="s">
        <v>140</v>
      </c>
      <c r="D505" s="236" t="s">
        <v>492</v>
      </c>
      <c r="E505" s="236" t="s">
        <v>1057</v>
      </c>
      <c r="F505" s="236" t="s">
        <v>987</v>
      </c>
      <c r="G505" s="237">
        <v>1.0</v>
      </c>
      <c r="H505" s="237">
        <v>1.0</v>
      </c>
      <c r="I505" s="237">
        <v>0.0</v>
      </c>
      <c r="J505" s="237">
        <v>1.0</v>
      </c>
      <c r="K505" s="237">
        <v>1.0</v>
      </c>
      <c r="L505" s="237">
        <v>0.0</v>
      </c>
      <c r="M505" s="237">
        <v>1.0</v>
      </c>
      <c r="N505" s="237">
        <v>1.0</v>
      </c>
    </row>
    <row r="506">
      <c r="A506" s="236" t="s">
        <v>1211</v>
      </c>
      <c r="B506" s="237">
        <v>2809.0</v>
      </c>
      <c r="C506" s="236" t="s">
        <v>1211</v>
      </c>
      <c r="D506" s="236" t="s">
        <v>477</v>
      </c>
      <c r="E506" s="236" t="s">
        <v>478</v>
      </c>
      <c r="F506" s="236" t="s">
        <v>974</v>
      </c>
      <c r="G506" s="237">
        <v>1.0</v>
      </c>
      <c r="H506" s="237">
        <v>1.0</v>
      </c>
      <c r="I506" s="237">
        <v>0.0</v>
      </c>
      <c r="J506" s="237">
        <v>1.0</v>
      </c>
      <c r="K506" s="237">
        <v>1.0</v>
      </c>
      <c r="L506" s="237">
        <v>0.0</v>
      </c>
      <c r="M506" s="237">
        <v>1.0</v>
      </c>
      <c r="N506" s="237">
        <v>1.0</v>
      </c>
    </row>
    <row r="507">
      <c r="A507" s="236" t="s">
        <v>652</v>
      </c>
      <c r="B507" s="237">
        <v>5718.0</v>
      </c>
      <c r="C507" s="236" t="s">
        <v>652</v>
      </c>
      <c r="D507" s="236" t="s">
        <v>480</v>
      </c>
      <c r="E507" s="236" t="s">
        <v>481</v>
      </c>
      <c r="F507" s="236" t="s">
        <v>1033</v>
      </c>
      <c r="G507" s="237">
        <v>4.0</v>
      </c>
      <c r="H507" s="237">
        <v>4.0</v>
      </c>
      <c r="I507" s="237">
        <v>0.0</v>
      </c>
      <c r="J507" s="237">
        <v>4.0</v>
      </c>
      <c r="K507" s="237">
        <v>4.0</v>
      </c>
      <c r="L507" s="237">
        <v>0.0</v>
      </c>
      <c r="M507" s="237">
        <v>9.0</v>
      </c>
      <c r="N507" s="237">
        <v>9.0</v>
      </c>
    </row>
    <row r="508">
      <c r="A508" s="236" t="s">
        <v>1212</v>
      </c>
      <c r="B508" s="237">
        <v>7068.0</v>
      </c>
      <c r="C508" s="236" t="s">
        <v>1212</v>
      </c>
      <c r="D508" s="236" t="s">
        <v>480</v>
      </c>
      <c r="E508" s="236" t="s">
        <v>481</v>
      </c>
      <c r="F508" s="236" t="s">
        <v>1009</v>
      </c>
      <c r="G508" s="237">
        <v>8.0</v>
      </c>
      <c r="H508" s="237">
        <v>8.0</v>
      </c>
      <c r="I508" s="237">
        <v>0.0</v>
      </c>
      <c r="J508" s="237">
        <v>8.0</v>
      </c>
      <c r="K508" s="237">
        <v>8.0</v>
      </c>
      <c r="L508" s="237">
        <v>0.0</v>
      </c>
      <c r="M508" s="237">
        <v>18.0</v>
      </c>
      <c r="N508" s="237">
        <v>18.0</v>
      </c>
    </row>
    <row r="509">
      <c r="A509" s="236" t="s">
        <v>232</v>
      </c>
      <c r="B509" s="237">
        <v>6164.0</v>
      </c>
      <c r="C509" s="236" t="s">
        <v>232</v>
      </c>
      <c r="D509" s="236" t="s">
        <v>507</v>
      </c>
      <c r="E509" s="236" t="s">
        <v>512</v>
      </c>
      <c r="F509" s="236" t="s">
        <v>1026</v>
      </c>
      <c r="G509" s="237">
        <v>11.0</v>
      </c>
      <c r="H509" s="237">
        <v>12.0</v>
      </c>
      <c r="I509" s="237">
        <v>-1.0</v>
      </c>
      <c r="J509" s="237">
        <v>10.0</v>
      </c>
      <c r="K509" s="237">
        <v>11.0</v>
      </c>
      <c r="L509" s="237">
        <v>-1.0</v>
      </c>
      <c r="M509" s="237">
        <v>18.0</v>
      </c>
      <c r="N509" s="237">
        <v>15.0</v>
      </c>
    </row>
    <row r="510">
      <c r="A510" s="236" t="s">
        <v>282</v>
      </c>
      <c r="B510" s="237">
        <v>2841.0</v>
      </c>
      <c r="C510" s="236" t="s">
        <v>282</v>
      </c>
      <c r="D510" s="236" t="s">
        <v>507</v>
      </c>
      <c r="E510" s="236" t="s">
        <v>512</v>
      </c>
      <c r="F510" s="236" t="s">
        <v>976</v>
      </c>
      <c r="G510" s="237">
        <v>26.0</v>
      </c>
      <c r="H510" s="237">
        <v>24.0</v>
      </c>
      <c r="I510" s="237">
        <v>2.0</v>
      </c>
      <c r="J510" s="237">
        <v>26.0</v>
      </c>
      <c r="K510" s="237">
        <v>24.0</v>
      </c>
      <c r="L510" s="237">
        <v>2.0</v>
      </c>
      <c r="M510" s="237">
        <v>126.0</v>
      </c>
      <c r="N510" s="237">
        <v>126.0</v>
      </c>
    </row>
    <row r="511">
      <c r="A511" s="236" t="s">
        <v>905</v>
      </c>
      <c r="B511" s="237">
        <v>5687.0</v>
      </c>
      <c r="C511" s="236" t="s">
        <v>905</v>
      </c>
      <c r="D511" s="236" t="s">
        <v>492</v>
      </c>
      <c r="E511" s="236" t="s">
        <v>543</v>
      </c>
      <c r="F511" s="236" t="s">
        <v>972</v>
      </c>
      <c r="G511" s="237">
        <v>14.0</v>
      </c>
      <c r="H511" s="237">
        <v>15.0</v>
      </c>
      <c r="I511" s="237">
        <v>-1.0</v>
      </c>
      <c r="J511" s="237">
        <v>13.0</v>
      </c>
      <c r="K511" s="237">
        <v>14.0</v>
      </c>
      <c r="L511" s="237">
        <v>-1.0</v>
      </c>
      <c r="M511" s="237">
        <v>39.0</v>
      </c>
      <c r="N511" s="237">
        <v>36.0</v>
      </c>
    </row>
    <row r="512">
      <c r="A512" s="236" t="s">
        <v>875</v>
      </c>
      <c r="B512" s="237">
        <v>4994.0</v>
      </c>
      <c r="C512" s="236" t="s">
        <v>875</v>
      </c>
      <c r="D512" s="236" t="s">
        <v>480</v>
      </c>
      <c r="E512" s="236" t="s">
        <v>938</v>
      </c>
      <c r="F512" s="236" t="s">
        <v>974</v>
      </c>
      <c r="G512" s="237">
        <v>7.0</v>
      </c>
      <c r="H512" s="237">
        <v>6.0</v>
      </c>
      <c r="I512" s="237">
        <v>1.0</v>
      </c>
      <c r="J512" s="237">
        <v>7.0</v>
      </c>
      <c r="K512" s="237">
        <v>6.0</v>
      </c>
      <c r="L512" s="237">
        <v>1.0</v>
      </c>
      <c r="M512" s="237">
        <v>13.0</v>
      </c>
      <c r="N512" s="237">
        <v>13.0</v>
      </c>
    </row>
    <row r="513">
      <c r="A513" s="236" t="s">
        <v>421</v>
      </c>
      <c r="B513" s="237">
        <v>5735.0</v>
      </c>
      <c r="C513" s="236" t="s">
        <v>421</v>
      </c>
      <c r="D513" s="236" t="s">
        <v>492</v>
      </c>
      <c r="E513" s="236" t="s">
        <v>1057</v>
      </c>
      <c r="F513" s="236" t="s">
        <v>1005</v>
      </c>
      <c r="G513" s="237">
        <v>6.0</v>
      </c>
      <c r="H513" s="237">
        <v>5.0</v>
      </c>
      <c r="I513" s="237">
        <v>1.0</v>
      </c>
      <c r="J513" s="237">
        <v>6.0</v>
      </c>
      <c r="K513" s="237">
        <v>5.0</v>
      </c>
      <c r="L513" s="237">
        <v>1.0</v>
      </c>
      <c r="M513" s="237">
        <v>13.0</v>
      </c>
      <c r="N513" s="237">
        <v>15.0</v>
      </c>
    </row>
    <row r="514">
      <c r="A514" s="236" t="s">
        <v>1213</v>
      </c>
      <c r="B514" s="237">
        <v>5610.0</v>
      </c>
      <c r="C514" s="236" t="s">
        <v>1213</v>
      </c>
      <c r="D514" s="236" t="s">
        <v>492</v>
      </c>
      <c r="E514" s="236" t="s">
        <v>930</v>
      </c>
      <c r="F514" s="236" t="s">
        <v>1005</v>
      </c>
      <c r="G514" s="237">
        <v>4.0</v>
      </c>
      <c r="H514" s="237">
        <v>4.0</v>
      </c>
      <c r="I514" s="237">
        <v>0.0</v>
      </c>
      <c r="J514" s="237">
        <v>5.0</v>
      </c>
      <c r="K514" s="237">
        <v>5.0</v>
      </c>
      <c r="L514" s="237">
        <v>0.0</v>
      </c>
      <c r="M514" s="237">
        <v>11.0</v>
      </c>
      <c r="N514" s="237">
        <v>13.0</v>
      </c>
    </row>
    <row r="515">
      <c r="A515" s="236" t="s">
        <v>1214</v>
      </c>
      <c r="B515" s="237">
        <v>7150.0</v>
      </c>
      <c r="C515" s="236" t="s">
        <v>1214</v>
      </c>
      <c r="D515" s="236" t="s">
        <v>492</v>
      </c>
      <c r="E515" s="236" t="s">
        <v>492</v>
      </c>
      <c r="F515" s="236" t="s">
        <v>977</v>
      </c>
      <c r="G515" s="237">
        <v>3.0</v>
      </c>
      <c r="H515" s="237">
        <v>3.0</v>
      </c>
      <c r="I515" s="237">
        <v>0.0</v>
      </c>
      <c r="J515" s="237">
        <v>3.0</v>
      </c>
      <c r="K515" s="237">
        <v>3.0</v>
      </c>
      <c r="L515" s="237">
        <v>0.0</v>
      </c>
      <c r="M515" s="237">
        <v>1.0</v>
      </c>
      <c r="N515" s="237">
        <v>1.0</v>
      </c>
    </row>
    <row r="516">
      <c r="A516" s="236" t="s">
        <v>277</v>
      </c>
      <c r="B516" s="237">
        <v>4374.0</v>
      </c>
      <c r="C516" s="236" t="s">
        <v>277</v>
      </c>
      <c r="D516" s="236" t="s">
        <v>480</v>
      </c>
      <c r="E516" s="236" t="s">
        <v>937</v>
      </c>
      <c r="F516" s="236" t="s">
        <v>1005</v>
      </c>
      <c r="G516" s="237">
        <v>5.0</v>
      </c>
      <c r="H516" s="237">
        <v>5.0</v>
      </c>
      <c r="I516" s="237">
        <v>0.0</v>
      </c>
      <c r="J516" s="237">
        <v>6.0</v>
      </c>
      <c r="K516" s="237">
        <v>6.0</v>
      </c>
      <c r="L516" s="237">
        <v>0.0</v>
      </c>
      <c r="M516" s="237">
        <v>11.0</v>
      </c>
      <c r="N516" s="237">
        <v>12.0</v>
      </c>
    </row>
    <row r="517">
      <c r="A517" s="236" t="s">
        <v>1215</v>
      </c>
      <c r="B517" s="237">
        <v>7181.0</v>
      </c>
      <c r="C517" s="236" t="s">
        <v>1215</v>
      </c>
      <c r="D517" s="236" t="s">
        <v>480</v>
      </c>
      <c r="E517" s="236" t="s">
        <v>521</v>
      </c>
      <c r="F517" s="236" t="s">
        <v>988</v>
      </c>
      <c r="G517" s="237">
        <v>15.0</v>
      </c>
      <c r="H517" s="237">
        <v>14.0</v>
      </c>
      <c r="I517" s="237">
        <v>1.0</v>
      </c>
      <c r="J517" s="237">
        <v>14.0</v>
      </c>
      <c r="K517" s="237">
        <v>13.0</v>
      </c>
      <c r="L517" s="237">
        <v>1.0</v>
      </c>
      <c r="M517" s="237">
        <v>52.0</v>
      </c>
      <c r="N517" s="237">
        <v>52.0</v>
      </c>
    </row>
    <row r="518">
      <c r="A518" s="236" t="s">
        <v>453</v>
      </c>
      <c r="B518" s="237">
        <v>6434.0</v>
      </c>
      <c r="C518" s="236" t="s">
        <v>453</v>
      </c>
      <c r="D518" s="236" t="s">
        <v>507</v>
      </c>
      <c r="E518" s="236" t="s">
        <v>507</v>
      </c>
      <c r="F518" s="236" t="s">
        <v>976</v>
      </c>
      <c r="G518" s="237">
        <v>25.0</v>
      </c>
      <c r="H518" s="237">
        <v>24.0</v>
      </c>
      <c r="I518" s="237">
        <v>1.0</v>
      </c>
      <c r="J518" s="237">
        <v>25.0</v>
      </c>
      <c r="K518" s="237">
        <v>25.0</v>
      </c>
      <c r="L518" s="237">
        <v>0.0</v>
      </c>
      <c r="M518" s="237">
        <v>220.0</v>
      </c>
      <c r="N518" s="237">
        <v>220.0</v>
      </c>
    </row>
    <row r="519">
      <c r="A519" s="236" t="s">
        <v>752</v>
      </c>
      <c r="B519" s="237">
        <v>632.0</v>
      </c>
      <c r="C519" s="236" t="s">
        <v>752</v>
      </c>
      <c r="D519" s="236" t="s">
        <v>492</v>
      </c>
      <c r="E519" s="236" t="s">
        <v>935</v>
      </c>
      <c r="F519" s="236" t="s">
        <v>1000</v>
      </c>
      <c r="G519" s="237">
        <v>26.0</v>
      </c>
      <c r="H519" s="237">
        <v>26.0</v>
      </c>
      <c r="I519" s="237">
        <v>0.0</v>
      </c>
      <c r="J519" s="237">
        <v>25.0</v>
      </c>
      <c r="K519" s="237">
        <v>25.0</v>
      </c>
      <c r="L519" s="237">
        <v>0.0</v>
      </c>
      <c r="M519" s="237">
        <v>206.0</v>
      </c>
      <c r="N519" s="237">
        <v>206.0</v>
      </c>
    </row>
    <row r="520">
      <c r="A520" s="236" t="s">
        <v>656</v>
      </c>
      <c r="B520" s="237">
        <v>5422.0</v>
      </c>
      <c r="C520" s="236" t="s">
        <v>656</v>
      </c>
      <c r="D520" s="236" t="s">
        <v>492</v>
      </c>
      <c r="E520" s="236" t="s">
        <v>1089</v>
      </c>
      <c r="F520" s="236" t="s">
        <v>980</v>
      </c>
      <c r="G520" s="237">
        <v>7.0</v>
      </c>
      <c r="H520" s="237">
        <v>6.0</v>
      </c>
      <c r="I520" s="237">
        <v>1.0</v>
      </c>
      <c r="J520" s="237">
        <v>7.0</v>
      </c>
      <c r="K520" s="237">
        <v>6.0</v>
      </c>
      <c r="L520" s="237">
        <v>1.0</v>
      </c>
      <c r="M520" s="237">
        <v>25.0</v>
      </c>
      <c r="N520" s="237">
        <v>28.0</v>
      </c>
    </row>
    <row r="521">
      <c r="A521" s="236" t="s">
        <v>866</v>
      </c>
      <c r="B521" s="237">
        <v>4220.0</v>
      </c>
      <c r="C521" s="236" t="s">
        <v>866</v>
      </c>
      <c r="D521" s="236" t="s">
        <v>492</v>
      </c>
      <c r="E521" s="236" t="s">
        <v>930</v>
      </c>
      <c r="F521" s="236" t="s">
        <v>987</v>
      </c>
      <c r="G521" s="237">
        <v>16.0</v>
      </c>
      <c r="H521" s="237">
        <v>15.0</v>
      </c>
      <c r="I521" s="237">
        <v>1.0</v>
      </c>
      <c r="J521" s="237">
        <v>17.0</v>
      </c>
      <c r="K521" s="237">
        <v>16.0</v>
      </c>
      <c r="L521" s="237">
        <v>1.0</v>
      </c>
      <c r="M521" s="237">
        <v>63.0</v>
      </c>
      <c r="N521" s="237">
        <v>73.0</v>
      </c>
    </row>
    <row r="522">
      <c r="A522" s="236" t="s">
        <v>787</v>
      </c>
      <c r="B522" s="237">
        <v>2766.0</v>
      </c>
      <c r="C522" s="236" t="s">
        <v>787</v>
      </c>
      <c r="D522" s="236" t="s">
        <v>492</v>
      </c>
      <c r="E522" s="236" t="s">
        <v>947</v>
      </c>
      <c r="F522" s="236" t="s">
        <v>993</v>
      </c>
      <c r="G522" s="237">
        <v>11.0</v>
      </c>
      <c r="H522" s="237">
        <v>11.0</v>
      </c>
      <c r="I522" s="237">
        <v>0.0</v>
      </c>
      <c r="J522" s="237">
        <v>10.0</v>
      </c>
      <c r="K522" s="237">
        <v>10.0</v>
      </c>
      <c r="L522" s="237">
        <v>0.0</v>
      </c>
      <c r="M522" s="237">
        <v>27.0</v>
      </c>
      <c r="N522" s="237">
        <v>25.0</v>
      </c>
    </row>
    <row r="523">
      <c r="A523" s="236" t="s">
        <v>876</v>
      </c>
      <c r="B523" s="237">
        <v>5527.0</v>
      </c>
      <c r="C523" s="236" t="s">
        <v>876</v>
      </c>
      <c r="D523" s="236" t="s">
        <v>480</v>
      </c>
      <c r="E523" s="236" t="s">
        <v>938</v>
      </c>
      <c r="F523" s="236" t="s">
        <v>993</v>
      </c>
      <c r="G523" s="237">
        <v>3.0</v>
      </c>
      <c r="H523" s="237">
        <v>3.0</v>
      </c>
      <c r="I523" s="237">
        <v>0.0</v>
      </c>
      <c r="J523" s="237">
        <v>3.0</v>
      </c>
      <c r="K523" s="237">
        <v>3.0</v>
      </c>
      <c r="L523" s="237">
        <v>0.0</v>
      </c>
      <c r="M523" s="237">
        <v>8.0</v>
      </c>
      <c r="N523" s="237">
        <v>8.0</v>
      </c>
    </row>
    <row r="524">
      <c r="A524" s="236" t="s">
        <v>743</v>
      </c>
      <c r="B524" s="237">
        <v>608.0</v>
      </c>
      <c r="C524" s="236" t="s">
        <v>743</v>
      </c>
      <c r="D524" s="236" t="s">
        <v>507</v>
      </c>
      <c r="E524" s="236" t="s">
        <v>512</v>
      </c>
      <c r="F524" s="236" t="s">
        <v>972</v>
      </c>
      <c r="G524" s="237">
        <v>19.0</v>
      </c>
      <c r="H524" s="237">
        <v>20.0</v>
      </c>
      <c r="I524" s="237">
        <v>-1.0</v>
      </c>
      <c r="J524" s="237">
        <v>19.0</v>
      </c>
      <c r="K524" s="237">
        <v>20.0</v>
      </c>
      <c r="L524" s="237">
        <v>-1.0</v>
      </c>
      <c r="M524" s="237">
        <v>90.0</v>
      </c>
      <c r="N524" s="237">
        <v>87.0</v>
      </c>
    </row>
    <row r="525">
      <c r="A525" s="236" t="s">
        <v>897</v>
      </c>
      <c r="B525" s="237">
        <v>4461.0</v>
      </c>
      <c r="C525" s="236" t="s">
        <v>897</v>
      </c>
      <c r="D525" s="236" t="s">
        <v>480</v>
      </c>
      <c r="E525" s="236" t="s">
        <v>1019</v>
      </c>
      <c r="F525" s="236" t="s">
        <v>975</v>
      </c>
      <c r="G525" s="237">
        <v>6.0</v>
      </c>
      <c r="H525" s="237">
        <v>6.0</v>
      </c>
      <c r="I525" s="237">
        <v>0.0</v>
      </c>
      <c r="J525" s="237">
        <v>7.0</v>
      </c>
      <c r="K525" s="237">
        <v>7.0</v>
      </c>
      <c r="L525" s="237">
        <v>0.0</v>
      </c>
      <c r="M525" s="237">
        <v>13.0</v>
      </c>
      <c r="N525" s="237">
        <v>16.0</v>
      </c>
    </row>
    <row r="526">
      <c r="A526" s="236" t="s">
        <v>138</v>
      </c>
      <c r="B526" s="237">
        <v>554.0</v>
      </c>
      <c r="C526" s="236" t="s">
        <v>138</v>
      </c>
      <c r="D526" s="236" t="s">
        <v>480</v>
      </c>
      <c r="E526" s="236" t="s">
        <v>521</v>
      </c>
      <c r="F526" s="236" t="s">
        <v>980</v>
      </c>
      <c r="G526" s="237">
        <v>13.0</v>
      </c>
      <c r="H526" s="237">
        <v>13.0</v>
      </c>
      <c r="I526" s="237">
        <v>0.0</v>
      </c>
      <c r="J526" s="237">
        <v>12.0</v>
      </c>
      <c r="K526" s="237">
        <v>12.0</v>
      </c>
      <c r="L526" s="237">
        <v>0.0</v>
      </c>
      <c r="M526" s="237">
        <v>30.0</v>
      </c>
      <c r="N526" s="237">
        <v>30.0</v>
      </c>
    </row>
    <row r="527">
      <c r="A527" s="236" t="s">
        <v>1216</v>
      </c>
      <c r="B527" s="237">
        <v>6212.0</v>
      </c>
      <c r="C527" s="236" t="s">
        <v>1216</v>
      </c>
      <c r="D527" s="236" t="s">
        <v>492</v>
      </c>
      <c r="E527" s="236" t="s">
        <v>930</v>
      </c>
      <c r="F527" s="236" t="s">
        <v>993</v>
      </c>
      <c r="G527" s="237">
        <v>3.0</v>
      </c>
      <c r="H527" s="237">
        <v>2.0</v>
      </c>
      <c r="I527" s="237">
        <v>1.0</v>
      </c>
      <c r="J527" s="237">
        <v>3.0</v>
      </c>
      <c r="K527" s="237">
        <v>2.0</v>
      </c>
      <c r="L527" s="237">
        <v>1.0</v>
      </c>
      <c r="M527" s="237">
        <v>6.0</v>
      </c>
      <c r="N527" s="237">
        <v>7.0</v>
      </c>
    </row>
    <row r="528">
      <c r="A528" s="236" t="s">
        <v>1217</v>
      </c>
      <c r="B528" s="237">
        <v>7274.0</v>
      </c>
      <c r="C528" s="236" t="s">
        <v>1217</v>
      </c>
      <c r="D528" s="236" t="s">
        <v>480</v>
      </c>
      <c r="E528" s="236" t="s">
        <v>481</v>
      </c>
      <c r="F528" s="236" t="s">
        <v>975</v>
      </c>
      <c r="G528" s="237">
        <v>4.0</v>
      </c>
      <c r="H528" s="237">
        <v>4.0</v>
      </c>
      <c r="I528" s="237">
        <v>0.0</v>
      </c>
      <c r="J528" s="237">
        <v>4.0</v>
      </c>
      <c r="K528" s="237">
        <v>4.0</v>
      </c>
      <c r="L528" s="237">
        <v>0.0</v>
      </c>
      <c r="M528" s="237">
        <v>9.0</v>
      </c>
      <c r="N528" s="237">
        <v>9.0</v>
      </c>
    </row>
    <row r="529">
      <c r="A529" s="236" t="s">
        <v>134</v>
      </c>
      <c r="B529" s="237">
        <v>7169.0</v>
      </c>
      <c r="C529" s="236" t="s">
        <v>134</v>
      </c>
      <c r="D529" s="236" t="s">
        <v>477</v>
      </c>
      <c r="E529" s="236" t="s">
        <v>478</v>
      </c>
      <c r="F529" s="236" t="s">
        <v>988</v>
      </c>
      <c r="G529" s="237">
        <v>1.0</v>
      </c>
      <c r="H529" s="237">
        <v>1.0</v>
      </c>
      <c r="I529" s="237">
        <v>0.0</v>
      </c>
      <c r="J529" s="237">
        <v>1.0</v>
      </c>
      <c r="K529" s="237">
        <v>1.0</v>
      </c>
      <c r="L529" s="237">
        <v>0.0</v>
      </c>
      <c r="M529" s="237">
        <v>1.0</v>
      </c>
      <c r="N529" s="237">
        <v>1.0</v>
      </c>
    </row>
    <row r="530">
      <c r="A530" s="236" t="s">
        <v>683</v>
      </c>
      <c r="B530" s="237">
        <v>6211.0</v>
      </c>
      <c r="C530" s="236" t="s">
        <v>683</v>
      </c>
      <c r="D530" s="236" t="s">
        <v>480</v>
      </c>
      <c r="E530" s="236" t="s">
        <v>931</v>
      </c>
      <c r="F530" s="236" t="s">
        <v>993</v>
      </c>
      <c r="G530" s="237">
        <v>4.0</v>
      </c>
      <c r="H530" s="237">
        <v>3.0</v>
      </c>
      <c r="I530" s="237">
        <v>1.0</v>
      </c>
      <c r="J530" s="237">
        <v>4.0</v>
      </c>
      <c r="K530" s="237">
        <v>3.0</v>
      </c>
      <c r="L530" s="237">
        <v>1.0</v>
      </c>
      <c r="M530" s="237">
        <v>8.0</v>
      </c>
      <c r="N530" s="237">
        <v>8.0</v>
      </c>
    </row>
    <row r="531">
      <c r="A531" s="236" t="s">
        <v>460</v>
      </c>
      <c r="B531" s="237">
        <v>5998.0</v>
      </c>
      <c r="C531" s="236" t="s">
        <v>460</v>
      </c>
      <c r="D531" s="236" t="s">
        <v>492</v>
      </c>
      <c r="E531" s="236" t="s">
        <v>1089</v>
      </c>
      <c r="F531" s="236" t="s">
        <v>995</v>
      </c>
      <c r="G531" s="237">
        <v>5.0</v>
      </c>
      <c r="H531" s="237">
        <v>3.0</v>
      </c>
      <c r="I531" s="237">
        <v>2.0</v>
      </c>
      <c r="J531" s="237">
        <v>5.0</v>
      </c>
      <c r="K531" s="237">
        <v>3.0</v>
      </c>
      <c r="L531" s="237">
        <v>2.0</v>
      </c>
      <c r="M531" s="237">
        <v>28.0</v>
      </c>
      <c r="N531" s="237">
        <v>31.0</v>
      </c>
    </row>
    <row r="532">
      <c r="A532" s="236" t="s">
        <v>1218</v>
      </c>
      <c r="B532" s="237">
        <v>5761.0</v>
      </c>
      <c r="C532" s="236" t="s">
        <v>1218</v>
      </c>
      <c r="D532" s="236" t="s">
        <v>492</v>
      </c>
      <c r="E532" s="236" t="s">
        <v>563</v>
      </c>
      <c r="F532" s="236" t="s">
        <v>976</v>
      </c>
      <c r="G532" s="237">
        <v>19.0</v>
      </c>
      <c r="H532" s="237">
        <v>19.0</v>
      </c>
      <c r="I532" s="237">
        <v>0.0</v>
      </c>
      <c r="J532" s="237">
        <v>19.0</v>
      </c>
      <c r="K532" s="237">
        <v>19.0</v>
      </c>
      <c r="L532" s="237">
        <v>0.0</v>
      </c>
      <c r="M532" s="237">
        <v>80.0</v>
      </c>
      <c r="N532" s="237">
        <v>80.0</v>
      </c>
    </row>
    <row r="533">
      <c r="A533" s="236" t="s">
        <v>225</v>
      </c>
      <c r="B533" s="237">
        <v>152.0</v>
      </c>
      <c r="C533" s="236" t="s">
        <v>225</v>
      </c>
      <c r="D533" s="236" t="s">
        <v>492</v>
      </c>
      <c r="E533" s="236" t="s">
        <v>934</v>
      </c>
      <c r="F533" s="236" t="s">
        <v>973</v>
      </c>
      <c r="G533" s="237">
        <v>4.0</v>
      </c>
      <c r="H533" s="237">
        <v>4.0</v>
      </c>
      <c r="I533" s="237">
        <v>0.0</v>
      </c>
      <c r="J533" s="237">
        <v>4.0</v>
      </c>
      <c r="K533" s="237">
        <v>4.0</v>
      </c>
      <c r="L533" s="237">
        <v>0.0</v>
      </c>
      <c r="M533" s="237">
        <v>12.0</v>
      </c>
      <c r="N533" s="237">
        <v>12.0</v>
      </c>
    </row>
    <row r="534">
      <c r="A534" s="236" t="s">
        <v>226</v>
      </c>
      <c r="B534" s="237">
        <v>7260.0</v>
      </c>
      <c r="C534" s="236" t="s">
        <v>226</v>
      </c>
      <c r="D534" s="236" t="s">
        <v>480</v>
      </c>
      <c r="E534" s="236" t="s">
        <v>481</v>
      </c>
      <c r="F534" s="236" t="s">
        <v>988</v>
      </c>
      <c r="G534" s="237">
        <v>3.0</v>
      </c>
      <c r="H534" s="237">
        <v>3.0</v>
      </c>
      <c r="I534" s="237">
        <v>0.0</v>
      </c>
      <c r="J534" s="237">
        <v>3.0</v>
      </c>
      <c r="K534" s="237">
        <v>3.0</v>
      </c>
      <c r="L534" s="237">
        <v>0.0</v>
      </c>
      <c r="M534" s="237">
        <v>7.0</v>
      </c>
      <c r="N534" s="237">
        <v>7.0</v>
      </c>
    </row>
    <row r="535">
      <c r="A535" s="236" t="s">
        <v>631</v>
      </c>
      <c r="B535" s="237">
        <v>4433.0</v>
      </c>
      <c r="C535" s="236" t="s">
        <v>631</v>
      </c>
      <c r="D535" s="236" t="s">
        <v>480</v>
      </c>
      <c r="E535" s="236" t="s">
        <v>521</v>
      </c>
      <c r="F535" s="236" t="s">
        <v>1009</v>
      </c>
      <c r="G535" s="237">
        <v>16.0</v>
      </c>
      <c r="H535" s="237">
        <v>16.0</v>
      </c>
      <c r="I535" s="237">
        <v>0.0</v>
      </c>
      <c r="J535" s="237">
        <v>15.0</v>
      </c>
      <c r="K535" s="237">
        <v>15.0</v>
      </c>
      <c r="L535" s="237">
        <v>0.0</v>
      </c>
      <c r="M535" s="237">
        <v>40.0</v>
      </c>
      <c r="N535" s="237">
        <v>24.0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CCC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38" t="s">
        <v>466</v>
      </c>
      <c r="B1" s="239" t="s">
        <v>960</v>
      </c>
      <c r="C1" s="238" t="s">
        <v>961</v>
      </c>
      <c r="D1" s="238" t="s">
        <v>962</v>
      </c>
      <c r="E1" s="238" t="s">
        <v>467</v>
      </c>
      <c r="F1" s="238" t="s">
        <v>963</v>
      </c>
      <c r="G1" s="238" t="s">
        <v>964</v>
      </c>
      <c r="H1" s="238" t="s">
        <v>965</v>
      </c>
      <c r="I1" s="238" t="s">
        <v>966</v>
      </c>
      <c r="J1" s="238" t="s">
        <v>967</v>
      </c>
      <c r="K1" s="238" t="s">
        <v>968</v>
      </c>
      <c r="L1" s="238" t="s">
        <v>969</v>
      </c>
      <c r="M1" s="238" t="s">
        <v>970</v>
      </c>
      <c r="N1" s="240" t="s">
        <v>1219</v>
      </c>
      <c r="O1" s="241" t="s">
        <v>1220</v>
      </c>
      <c r="P1" s="242" t="s">
        <v>1221</v>
      </c>
    </row>
    <row r="2">
      <c r="A2" s="243" t="s">
        <v>760</v>
      </c>
      <c r="B2" s="244">
        <v>4.0</v>
      </c>
      <c r="C2" s="243" t="s">
        <v>477</v>
      </c>
      <c r="D2" s="243" t="s">
        <v>478</v>
      </c>
      <c r="E2" s="243" t="s">
        <v>991</v>
      </c>
      <c r="F2" s="245">
        <v>1.0</v>
      </c>
      <c r="G2" s="245">
        <v>1.0</v>
      </c>
      <c r="H2" s="245">
        <v>0.0</v>
      </c>
      <c r="I2" s="245">
        <v>1.0</v>
      </c>
      <c r="J2" s="245">
        <v>1.0</v>
      </c>
      <c r="K2" s="245">
        <v>0.0</v>
      </c>
      <c r="L2" s="245">
        <v>1.0</v>
      </c>
      <c r="M2" s="245">
        <v>1.0</v>
      </c>
      <c r="N2" s="246">
        <v>0.5</v>
      </c>
      <c r="O2" s="247">
        <v>0.5</v>
      </c>
      <c r="P2" s="248">
        <v>0.5</v>
      </c>
    </row>
    <row r="3">
      <c r="A3" s="243" t="s">
        <v>748</v>
      </c>
      <c r="B3" s="244">
        <v>22.0</v>
      </c>
      <c r="C3" s="243" t="s">
        <v>492</v>
      </c>
      <c r="D3" s="243" t="s">
        <v>930</v>
      </c>
      <c r="E3" s="243" t="s">
        <v>980</v>
      </c>
      <c r="F3" s="245">
        <v>8.0</v>
      </c>
      <c r="G3" s="245">
        <v>8.0</v>
      </c>
      <c r="H3" s="245">
        <v>0.0</v>
      </c>
      <c r="I3" s="245">
        <v>9.0</v>
      </c>
      <c r="J3" s="245">
        <v>9.0</v>
      </c>
      <c r="K3" s="245">
        <v>0.0</v>
      </c>
      <c r="L3" s="245">
        <v>16.0</v>
      </c>
      <c r="M3" s="245">
        <v>18.0</v>
      </c>
      <c r="N3" s="246">
        <v>2.0</v>
      </c>
      <c r="O3" s="247">
        <v>2.5</v>
      </c>
      <c r="P3" s="248">
        <v>2.5</v>
      </c>
    </row>
    <row r="4">
      <c r="A4" s="243" t="s">
        <v>1068</v>
      </c>
      <c r="B4" s="244">
        <v>27.0</v>
      </c>
      <c r="C4" s="243" t="s">
        <v>492</v>
      </c>
      <c r="D4" s="243" t="s">
        <v>930</v>
      </c>
      <c r="E4" s="243" t="s">
        <v>1222</v>
      </c>
      <c r="F4" s="245">
        <v>3.0</v>
      </c>
      <c r="G4" s="245">
        <v>3.0</v>
      </c>
      <c r="H4" s="245">
        <v>0.0</v>
      </c>
      <c r="I4" s="245">
        <v>4.0</v>
      </c>
      <c r="J4" s="245">
        <v>4.0</v>
      </c>
      <c r="K4" s="245">
        <v>0.0</v>
      </c>
      <c r="L4" s="245">
        <v>4.0</v>
      </c>
      <c r="M4" s="245">
        <v>5.0</v>
      </c>
      <c r="N4" s="246">
        <v>0.5</v>
      </c>
      <c r="O4" s="247">
        <v>1.0</v>
      </c>
      <c r="P4" s="248">
        <v>1.0</v>
      </c>
    </row>
    <row r="5">
      <c r="A5" s="243" t="s">
        <v>623</v>
      </c>
      <c r="B5" s="244">
        <v>49.0</v>
      </c>
      <c r="C5" s="243" t="s">
        <v>480</v>
      </c>
      <c r="D5" s="243" t="s">
        <v>979</v>
      </c>
      <c r="E5" s="243" t="s">
        <v>972</v>
      </c>
      <c r="F5" s="245">
        <v>6.0</v>
      </c>
      <c r="G5" s="245">
        <v>6.0</v>
      </c>
      <c r="H5" s="245">
        <v>0.0</v>
      </c>
      <c r="I5" s="245">
        <v>7.0</v>
      </c>
      <c r="J5" s="245">
        <v>7.0</v>
      </c>
      <c r="K5" s="245">
        <v>0.0</v>
      </c>
      <c r="L5" s="245">
        <v>12.0</v>
      </c>
      <c r="M5" s="245">
        <v>14.0</v>
      </c>
      <c r="N5" s="246">
        <v>1.5</v>
      </c>
      <c r="O5" s="247">
        <v>2.0</v>
      </c>
      <c r="P5" s="248">
        <v>2.0</v>
      </c>
    </row>
    <row r="6">
      <c r="A6" s="243" t="s">
        <v>604</v>
      </c>
      <c r="B6" s="244">
        <v>133.0</v>
      </c>
      <c r="C6" s="243" t="s">
        <v>477</v>
      </c>
      <c r="D6" s="243" t="s">
        <v>478</v>
      </c>
      <c r="E6" s="243" t="s">
        <v>1009</v>
      </c>
      <c r="F6" s="245">
        <v>11.0</v>
      </c>
      <c r="G6" s="245">
        <v>11.0</v>
      </c>
      <c r="H6" s="245">
        <v>0.0</v>
      </c>
      <c r="I6" s="245">
        <v>11.0</v>
      </c>
      <c r="J6" s="245">
        <v>11.0</v>
      </c>
      <c r="K6" s="245">
        <v>0.0</v>
      </c>
      <c r="L6" s="245">
        <v>53.0</v>
      </c>
      <c r="M6" s="245">
        <v>53.0</v>
      </c>
      <c r="N6" s="246">
        <v>5.5</v>
      </c>
      <c r="O6" s="247">
        <v>6.5</v>
      </c>
      <c r="P6" s="248">
        <v>7.0</v>
      </c>
    </row>
    <row r="7">
      <c r="A7" s="243" t="s">
        <v>870</v>
      </c>
      <c r="B7" s="244">
        <v>134.0</v>
      </c>
      <c r="C7" s="243" t="s">
        <v>480</v>
      </c>
      <c r="D7" s="243" t="s">
        <v>1022</v>
      </c>
      <c r="E7" s="243" t="s">
        <v>974</v>
      </c>
      <c r="F7" s="245">
        <v>2.0</v>
      </c>
      <c r="G7" s="245">
        <v>1.0</v>
      </c>
      <c r="H7" s="245">
        <v>1.0</v>
      </c>
      <c r="I7" s="245">
        <v>2.0</v>
      </c>
      <c r="J7" s="245">
        <v>1.0</v>
      </c>
      <c r="K7" s="245">
        <v>1.0</v>
      </c>
      <c r="L7" s="245">
        <v>3.0</v>
      </c>
      <c r="M7" s="245">
        <v>3.0</v>
      </c>
      <c r="N7" s="246">
        <v>0.5</v>
      </c>
      <c r="O7" s="247">
        <v>0.5</v>
      </c>
      <c r="P7" s="248">
        <v>0.5</v>
      </c>
    </row>
    <row r="8">
      <c r="A8" s="243" t="s">
        <v>1075</v>
      </c>
      <c r="B8" s="244">
        <v>140.0</v>
      </c>
      <c r="C8" s="243" t="s">
        <v>480</v>
      </c>
      <c r="D8" s="243" t="s">
        <v>944</v>
      </c>
      <c r="E8" s="243" t="s">
        <v>1000</v>
      </c>
      <c r="F8" s="245">
        <v>4.0</v>
      </c>
      <c r="G8" s="245">
        <v>4.0</v>
      </c>
      <c r="H8" s="245">
        <v>0.0</v>
      </c>
      <c r="I8" s="245">
        <v>4.0</v>
      </c>
      <c r="J8" s="245">
        <v>5.0</v>
      </c>
      <c r="K8" s="245">
        <v>-1.0</v>
      </c>
      <c r="L8" s="245">
        <v>6.0</v>
      </c>
      <c r="M8" s="245">
        <v>8.0</v>
      </c>
      <c r="N8" s="246">
        <v>1.0</v>
      </c>
      <c r="O8" s="247">
        <v>1.0</v>
      </c>
      <c r="P8" s="248">
        <v>1.5</v>
      </c>
    </row>
    <row r="9">
      <c r="A9" s="243" t="s">
        <v>1223</v>
      </c>
      <c r="B9" s="244">
        <v>142.0</v>
      </c>
      <c r="C9" s="243" t="s">
        <v>480</v>
      </c>
      <c r="D9" s="243" t="s">
        <v>521</v>
      </c>
      <c r="E9" s="243" t="s">
        <v>987</v>
      </c>
      <c r="F9" s="245">
        <v>3.0</v>
      </c>
      <c r="G9" s="245">
        <v>3.0</v>
      </c>
      <c r="H9" s="245">
        <v>0.0</v>
      </c>
      <c r="I9" s="245">
        <v>3.0</v>
      </c>
      <c r="J9" s="245">
        <v>3.0</v>
      </c>
      <c r="K9" s="245">
        <v>0.0</v>
      </c>
      <c r="L9" s="245">
        <v>6.0</v>
      </c>
      <c r="M9" s="245">
        <v>6.0</v>
      </c>
      <c r="N9" s="246">
        <v>1.0</v>
      </c>
      <c r="O9" s="247">
        <v>1.0</v>
      </c>
      <c r="P9" s="248">
        <v>1.0</v>
      </c>
    </row>
    <row r="10">
      <c r="A10" s="243" t="s">
        <v>225</v>
      </c>
      <c r="B10" s="244">
        <v>152.0</v>
      </c>
      <c r="C10" s="243" t="s">
        <v>492</v>
      </c>
      <c r="D10" s="243" t="s">
        <v>934</v>
      </c>
      <c r="E10" s="243" t="s">
        <v>973</v>
      </c>
      <c r="F10" s="245">
        <v>10.0</v>
      </c>
      <c r="G10" s="245">
        <v>11.0</v>
      </c>
      <c r="H10" s="245">
        <v>-1.0</v>
      </c>
      <c r="I10" s="245">
        <v>10.0</v>
      </c>
      <c r="J10" s="245">
        <v>11.0</v>
      </c>
      <c r="K10" s="245">
        <v>-1.0</v>
      </c>
      <c r="L10" s="245">
        <v>26.0</v>
      </c>
      <c r="M10" s="245">
        <v>26.0</v>
      </c>
      <c r="N10" s="246">
        <v>3.0</v>
      </c>
      <c r="O10" s="247">
        <v>3.0</v>
      </c>
      <c r="P10" s="248">
        <v>3.5</v>
      </c>
    </row>
    <row r="11">
      <c r="A11" s="243" t="s">
        <v>832</v>
      </c>
      <c r="B11" s="244">
        <v>170.0</v>
      </c>
      <c r="C11" s="243" t="s">
        <v>492</v>
      </c>
      <c r="D11" s="243" t="s">
        <v>930</v>
      </c>
      <c r="E11" s="243" t="s">
        <v>1026</v>
      </c>
      <c r="F11" s="245">
        <v>7.0</v>
      </c>
      <c r="G11" s="245">
        <v>6.0</v>
      </c>
      <c r="H11" s="245">
        <v>1.0</v>
      </c>
      <c r="I11" s="245">
        <v>7.0</v>
      </c>
      <c r="J11" s="245">
        <v>6.0</v>
      </c>
      <c r="K11" s="245">
        <v>1.0</v>
      </c>
      <c r="L11" s="245">
        <v>9.0</v>
      </c>
      <c r="M11" s="245">
        <v>10.0</v>
      </c>
      <c r="N11" s="246">
        <v>1.0</v>
      </c>
      <c r="O11" s="247">
        <v>1.5</v>
      </c>
      <c r="P11" s="248">
        <v>1.5</v>
      </c>
    </row>
    <row r="12">
      <c r="A12" s="243" t="s">
        <v>771</v>
      </c>
      <c r="B12" s="244">
        <v>181.0</v>
      </c>
      <c r="C12" s="243" t="s">
        <v>492</v>
      </c>
      <c r="D12" s="243" t="s">
        <v>930</v>
      </c>
      <c r="E12" s="243" t="s">
        <v>1000</v>
      </c>
      <c r="F12" s="245">
        <v>7.0</v>
      </c>
      <c r="G12" s="245">
        <v>7.0</v>
      </c>
      <c r="H12" s="245">
        <v>0.0</v>
      </c>
      <c r="I12" s="245">
        <v>8.0</v>
      </c>
      <c r="J12" s="245">
        <v>8.0</v>
      </c>
      <c r="K12" s="245">
        <v>0.0</v>
      </c>
      <c r="L12" s="245">
        <v>15.0</v>
      </c>
      <c r="M12" s="245">
        <v>18.0</v>
      </c>
      <c r="N12" s="246">
        <v>2.0</v>
      </c>
      <c r="O12" s="247">
        <v>2.5</v>
      </c>
      <c r="P12" s="248">
        <v>2.5</v>
      </c>
    </row>
    <row r="13">
      <c r="A13" s="243" t="s">
        <v>797</v>
      </c>
      <c r="B13" s="244">
        <v>186.0</v>
      </c>
      <c r="C13" s="243" t="s">
        <v>507</v>
      </c>
      <c r="D13" s="243" t="s">
        <v>507</v>
      </c>
      <c r="E13" s="243" t="s">
        <v>998</v>
      </c>
      <c r="F13" s="245">
        <v>4.0</v>
      </c>
      <c r="G13" s="245">
        <v>4.0</v>
      </c>
      <c r="H13" s="245">
        <v>0.0</v>
      </c>
      <c r="I13" s="245">
        <v>4.0</v>
      </c>
      <c r="J13" s="245">
        <v>4.0</v>
      </c>
      <c r="K13" s="245">
        <v>0.0</v>
      </c>
      <c r="L13" s="245">
        <v>7.0</v>
      </c>
      <c r="M13" s="245">
        <v>7.0</v>
      </c>
      <c r="N13" s="246">
        <v>1.0</v>
      </c>
      <c r="O13" s="247">
        <v>1.0</v>
      </c>
      <c r="P13" s="248">
        <v>1.0</v>
      </c>
    </row>
    <row r="14">
      <c r="A14" s="243" t="s">
        <v>765</v>
      </c>
      <c r="B14" s="244">
        <v>188.0</v>
      </c>
      <c r="C14" s="243" t="s">
        <v>477</v>
      </c>
      <c r="D14" s="243" t="s">
        <v>478</v>
      </c>
      <c r="E14" s="243" t="s">
        <v>1026</v>
      </c>
      <c r="F14" s="245">
        <v>1.0</v>
      </c>
      <c r="G14" s="245">
        <v>1.0</v>
      </c>
      <c r="H14" s="245">
        <v>0.0</v>
      </c>
      <c r="I14" s="245">
        <v>1.0</v>
      </c>
      <c r="J14" s="245">
        <v>1.0</v>
      </c>
      <c r="K14" s="245">
        <v>0.0</v>
      </c>
      <c r="L14" s="245">
        <v>1.0</v>
      </c>
      <c r="M14" s="245">
        <v>1.0</v>
      </c>
      <c r="N14" s="246">
        <v>0.5</v>
      </c>
      <c r="O14" s="247">
        <v>0.5</v>
      </c>
      <c r="P14" s="248">
        <v>0.5</v>
      </c>
    </row>
    <row r="15">
      <c r="A15" s="243" t="s">
        <v>1224</v>
      </c>
      <c r="B15" s="244">
        <v>216.0</v>
      </c>
      <c r="C15" s="243" t="s">
        <v>477</v>
      </c>
      <c r="D15" s="243" t="s">
        <v>478</v>
      </c>
      <c r="E15" s="243" t="s">
        <v>972</v>
      </c>
      <c r="F15" s="245">
        <v>1.0</v>
      </c>
      <c r="G15" s="245">
        <v>1.0</v>
      </c>
      <c r="H15" s="245">
        <v>0.0</v>
      </c>
      <c r="I15" s="245">
        <v>1.0</v>
      </c>
      <c r="J15" s="245">
        <v>1.0</v>
      </c>
      <c r="K15" s="245">
        <v>0.0</v>
      </c>
      <c r="L15" s="245">
        <v>1.0</v>
      </c>
      <c r="M15" s="245">
        <v>1.0</v>
      </c>
      <c r="N15" s="246">
        <v>0.5</v>
      </c>
      <c r="O15" s="247">
        <v>0.5</v>
      </c>
      <c r="P15" s="248">
        <v>0.5</v>
      </c>
    </row>
    <row r="16">
      <c r="A16" s="243" t="s">
        <v>804</v>
      </c>
      <c r="B16" s="244">
        <v>218.0</v>
      </c>
      <c r="C16" s="243" t="s">
        <v>477</v>
      </c>
      <c r="D16" s="243" t="s">
        <v>478</v>
      </c>
      <c r="E16" s="243" t="s">
        <v>976</v>
      </c>
      <c r="F16" s="245">
        <v>2.0</v>
      </c>
      <c r="G16" s="245">
        <v>2.0</v>
      </c>
      <c r="H16" s="245">
        <v>0.0</v>
      </c>
      <c r="I16" s="245">
        <v>2.0</v>
      </c>
      <c r="J16" s="245">
        <v>2.0</v>
      </c>
      <c r="K16" s="245">
        <v>0.0</v>
      </c>
      <c r="L16" s="245">
        <v>3.0</v>
      </c>
      <c r="M16" s="245">
        <v>3.0</v>
      </c>
      <c r="N16" s="246">
        <v>0.5</v>
      </c>
      <c r="O16" s="247">
        <v>0.5</v>
      </c>
      <c r="P16" s="248">
        <v>0.5</v>
      </c>
    </row>
    <row r="17">
      <c r="A17" s="243" t="s">
        <v>1183</v>
      </c>
      <c r="B17" s="244">
        <v>219.0</v>
      </c>
      <c r="C17" s="243" t="s">
        <v>477</v>
      </c>
      <c r="D17" s="243" t="s">
        <v>478</v>
      </c>
      <c r="E17" s="243" t="s">
        <v>1026</v>
      </c>
      <c r="F17" s="245">
        <v>1.0</v>
      </c>
      <c r="G17" s="245">
        <v>1.0</v>
      </c>
      <c r="H17" s="245">
        <v>0.0</v>
      </c>
      <c r="I17" s="245">
        <v>1.0</v>
      </c>
      <c r="J17" s="245">
        <v>1.0</v>
      </c>
      <c r="K17" s="245">
        <v>0.0</v>
      </c>
      <c r="L17" s="245">
        <v>1.0</v>
      </c>
      <c r="M17" s="245">
        <v>1.0</v>
      </c>
      <c r="N17" s="246">
        <v>0.5</v>
      </c>
      <c r="O17" s="247">
        <v>0.5</v>
      </c>
      <c r="P17" s="248">
        <v>0.5</v>
      </c>
    </row>
    <row r="18">
      <c r="A18" s="243" t="s">
        <v>836</v>
      </c>
      <c r="B18" s="244">
        <v>226.0</v>
      </c>
      <c r="C18" s="243" t="s">
        <v>480</v>
      </c>
      <c r="D18" s="243" t="s">
        <v>481</v>
      </c>
      <c r="E18" s="243" t="s">
        <v>1225</v>
      </c>
      <c r="F18" s="245">
        <v>6.0</v>
      </c>
      <c r="G18" s="245">
        <v>6.0</v>
      </c>
      <c r="H18" s="245">
        <v>0.0</v>
      </c>
      <c r="I18" s="245">
        <v>6.0</v>
      </c>
      <c r="J18" s="245">
        <v>6.0</v>
      </c>
      <c r="K18" s="245">
        <v>0.0</v>
      </c>
      <c r="L18" s="245">
        <v>11.0</v>
      </c>
      <c r="M18" s="245">
        <v>11.0</v>
      </c>
      <c r="N18" s="246">
        <v>1.5</v>
      </c>
      <c r="O18" s="247">
        <v>1.5</v>
      </c>
      <c r="P18" s="248">
        <v>1.5</v>
      </c>
    </row>
    <row r="19">
      <c r="A19" s="243" t="s">
        <v>839</v>
      </c>
      <c r="B19" s="244">
        <v>236.0</v>
      </c>
      <c r="C19" s="243" t="s">
        <v>492</v>
      </c>
      <c r="D19" s="243" t="s">
        <v>563</v>
      </c>
      <c r="E19" s="243" t="s">
        <v>983</v>
      </c>
      <c r="F19" s="245">
        <v>11.0</v>
      </c>
      <c r="G19" s="245">
        <v>10.0</v>
      </c>
      <c r="H19" s="245">
        <v>1.0</v>
      </c>
      <c r="I19" s="245">
        <v>10.0</v>
      </c>
      <c r="J19" s="245">
        <v>9.0</v>
      </c>
      <c r="K19" s="245">
        <v>1.0</v>
      </c>
      <c r="L19" s="245">
        <v>23.0</v>
      </c>
      <c r="M19" s="245">
        <v>19.0</v>
      </c>
      <c r="N19" s="246">
        <v>2.0</v>
      </c>
      <c r="O19" s="247">
        <v>2.5</v>
      </c>
      <c r="P19" s="248">
        <v>2.5</v>
      </c>
    </row>
    <row r="20">
      <c r="A20" s="243" t="s">
        <v>1142</v>
      </c>
      <c r="B20" s="244">
        <v>247.0</v>
      </c>
      <c r="C20" s="243" t="s">
        <v>507</v>
      </c>
      <c r="D20" s="243" t="s">
        <v>512</v>
      </c>
      <c r="E20" s="243" t="s">
        <v>975</v>
      </c>
      <c r="F20" s="245">
        <v>3.0</v>
      </c>
      <c r="G20" s="245">
        <v>3.0</v>
      </c>
      <c r="H20" s="245">
        <v>0.0</v>
      </c>
      <c r="I20" s="245">
        <v>3.0</v>
      </c>
      <c r="J20" s="245">
        <v>3.0</v>
      </c>
      <c r="K20" s="245">
        <v>0.0</v>
      </c>
      <c r="L20" s="245">
        <v>5.0</v>
      </c>
      <c r="M20" s="245">
        <v>5.0</v>
      </c>
      <c r="N20" s="246">
        <v>0.5</v>
      </c>
      <c r="O20" s="247">
        <v>1.0</v>
      </c>
      <c r="P20" s="248">
        <v>1.0</v>
      </c>
    </row>
    <row r="21">
      <c r="A21" s="243" t="s">
        <v>358</v>
      </c>
      <c r="B21" s="244">
        <v>252.0</v>
      </c>
      <c r="C21" s="243" t="s">
        <v>480</v>
      </c>
      <c r="D21" s="243" t="s">
        <v>979</v>
      </c>
      <c r="E21" s="243" t="s">
        <v>1033</v>
      </c>
      <c r="F21" s="245">
        <v>8.0</v>
      </c>
      <c r="G21" s="245">
        <v>7.0</v>
      </c>
      <c r="H21" s="245">
        <v>1.0</v>
      </c>
      <c r="I21" s="245">
        <v>9.0</v>
      </c>
      <c r="J21" s="245">
        <v>8.0</v>
      </c>
      <c r="K21" s="245">
        <v>1.0</v>
      </c>
      <c r="L21" s="245">
        <v>30.0</v>
      </c>
      <c r="M21" s="245">
        <v>42.0</v>
      </c>
      <c r="N21" s="246">
        <v>4.5</v>
      </c>
      <c r="O21" s="247">
        <v>5.0</v>
      </c>
      <c r="P21" s="248">
        <v>5.5</v>
      </c>
    </row>
    <row r="22">
      <c r="A22" s="243" t="s">
        <v>1226</v>
      </c>
      <c r="B22" s="244">
        <v>253.0</v>
      </c>
      <c r="C22" s="243" t="s">
        <v>480</v>
      </c>
      <c r="D22" s="243" t="s">
        <v>1227</v>
      </c>
      <c r="E22" s="243" t="s">
        <v>1225</v>
      </c>
      <c r="F22" s="245">
        <v>3.0</v>
      </c>
      <c r="G22" s="245">
        <v>3.0</v>
      </c>
      <c r="H22" s="245">
        <v>0.0</v>
      </c>
      <c r="I22" s="245">
        <v>4.0</v>
      </c>
      <c r="J22" s="245">
        <v>4.0</v>
      </c>
      <c r="K22" s="245">
        <v>0.0</v>
      </c>
      <c r="L22" s="245">
        <v>5.0</v>
      </c>
      <c r="M22" s="245">
        <v>6.0</v>
      </c>
      <c r="N22" s="246">
        <v>1.0</v>
      </c>
      <c r="O22" s="247">
        <v>1.0</v>
      </c>
      <c r="P22" s="248">
        <v>1.0</v>
      </c>
    </row>
    <row r="23">
      <c r="A23" s="243" t="s">
        <v>284</v>
      </c>
      <c r="B23" s="244">
        <v>254.0</v>
      </c>
      <c r="C23" s="243" t="s">
        <v>480</v>
      </c>
      <c r="D23" s="243" t="s">
        <v>521</v>
      </c>
      <c r="E23" s="243" t="s">
        <v>973</v>
      </c>
      <c r="F23" s="245">
        <v>24.0</v>
      </c>
      <c r="G23" s="245">
        <v>24.0</v>
      </c>
      <c r="H23" s="245">
        <v>0.0</v>
      </c>
      <c r="I23" s="245">
        <v>23.0</v>
      </c>
      <c r="J23" s="245">
        <v>23.0</v>
      </c>
      <c r="K23" s="245">
        <v>0.0</v>
      </c>
      <c r="L23" s="245">
        <v>101.0</v>
      </c>
      <c r="M23" s="245">
        <v>96.0</v>
      </c>
      <c r="N23" s="246">
        <v>10.0</v>
      </c>
      <c r="O23" s="247">
        <v>11.5</v>
      </c>
      <c r="P23" s="248">
        <v>12.5</v>
      </c>
    </row>
    <row r="24">
      <c r="A24" s="243" t="s">
        <v>824</v>
      </c>
      <c r="B24" s="244">
        <v>256.0</v>
      </c>
      <c r="C24" s="243" t="s">
        <v>480</v>
      </c>
      <c r="D24" s="243" t="s">
        <v>1022</v>
      </c>
      <c r="E24" s="243" t="s">
        <v>987</v>
      </c>
      <c r="F24" s="245">
        <v>4.0</v>
      </c>
      <c r="G24" s="245">
        <v>5.0</v>
      </c>
      <c r="H24" s="245">
        <v>-1.0</v>
      </c>
      <c r="I24" s="245">
        <v>4.0</v>
      </c>
      <c r="J24" s="245">
        <v>5.0</v>
      </c>
      <c r="K24" s="245">
        <v>-1.0</v>
      </c>
      <c r="L24" s="245">
        <v>6.0</v>
      </c>
      <c r="M24" s="245">
        <v>6.0</v>
      </c>
      <c r="N24" s="246">
        <v>1.0</v>
      </c>
      <c r="O24" s="247">
        <v>1.0</v>
      </c>
      <c r="P24" s="248">
        <v>1.0</v>
      </c>
    </row>
    <row r="25">
      <c r="A25" s="243" t="s">
        <v>1228</v>
      </c>
      <c r="B25" s="244">
        <v>306.0</v>
      </c>
      <c r="C25" s="243" t="s">
        <v>507</v>
      </c>
      <c r="D25" s="243" t="s">
        <v>512</v>
      </c>
      <c r="E25" s="243" t="s">
        <v>974</v>
      </c>
      <c r="F25" s="245">
        <v>2.0</v>
      </c>
      <c r="G25" s="245">
        <v>1.0</v>
      </c>
      <c r="H25" s="245">
        <v>1.0</v>
      </c>
      <c r="I25" s="245">
        <v>2.0</v>
      </c>
      <c r="J25" s="245">
        <v>1.0</v>
      </c>
      <c r="K25" s="245">
        <v>1.0</v>
      </c>
      <c r="L25" s="245">
        <v>1.0</v>
      </c>
      <c r="M25" s="245">
        <v>1.0</v>
      </c>
      <c r="N25" s="246">
        <v>0.5</v>
      </c>
      <c r="O25" s="247">
        <v>0.5</v>
      </c>
      <c r="P25" s="248">
        <v>0.5</v>
      </c>
    </row>
    <row r="26">
      <c r="A26" s="243" t="s">
        <v>297</v>
      </c>
      <c r="B26" s="244">
        <v>309.0</v>
      </c>
      <c r="C26" s="243" t="s">
        <v>507</v>
      </c>
      <c r="D26" s="243" t="s">
        <v>507</v>
      </c>
      <c r="E26" s="243" t="s">
        <v>988</v>
      </c>
      <c r="F26" s="245">
        <v>33.0</v>
      </c>
      <c r="G26" s="245">
        <v>34.0</v>
      </c>
      <c r="H26" s="245">
        <v>-1.0</v>
      </c>
      <c r="I26" s="245">
        <v>34.0</v>
      </c>
      <c r="J26" s="245">
        <v>35.0</v>
      </c>
      <c r="K26" s="245">
        <v>-1.0</v>
      </c>
      <c r="L26" s="245">
        <v>279.0</v>
      </c>
      <c r="M26" s="245">
        <v>291.0</v>
      </c>
      <c r="N26" s="246">
        <v>29.5</v>
      </c>
      <c r="O26" s="247">
        <v>33.5</v>
      </c>
      <c r="P26" s="248">
        <v>38.0</v>
      </c>
    </row>
    <row r="27">
      <c r="A27" s="243" t="s">
        <v>704</v>
      </c>
      <c r="B27" s="244">
        <v>313.0</v>
      </c>
      <c r="C27" s="243" t="s">
        <v>507</v>
      </c>
      <c r="D27" s="243" t="s">
        <v>512</v>
      </c>
      <c r="E27" s="243" t="s">
        <v>991</v>
      </c>
      <c r="F27" s="245">
        <v>26.0</v>
      </c>
      <c r="G27" s="245">
        <v>26.0</v>
      </c>
      <c r="H27" s="245">
        <v>0.0</v>
      </c>
      <c r="I27" s="245">
        <v>26.0</v>
      </c>
      <c r="J27" s="245">
        <v>26.0</v>
      </c>
      <c r="K27" s="245">
        <v>0.0</v>
      </c>
      <c r="L27" s="245">
        <v>181.0</v>
      </c>
      <c r="M27" s="245">
        <v>177.0</v>
      </c>
      <c r="N27" s="246">
        <v>18.0</v>
      </c>
      <c r="O27" s="247">
        <v>20.5</v>
      </c>
      <c r="P27" s="248">
        <v>23.5</v>
      </c>
    </row>
    <row r="28">
      <c r="A28" s="243" t="s">
        <v>776</v>
      </c>
      <c r="B28" s="244">
        <v>322.0</v>
      </c>
      <c r="C28" s="243" t="s">
        <v>480</v>
      </c>
      <c r="D28" s="243" t="s">
        <v>481</v>
      </c>
      <c r="E28" s="243" t="s">
        <v>973</v>
      </c>
      <c r="F28" s="245">
        <v>7.0</v>
      </c>
      <c r="G28" s="245">
        <v>8.0</v>
      </c>
      <c r="H28" s="245">
        <v>-1.0</v>
      </c>
      <c r="I28" s="245">
        <v>7.0</v>
      </c>
      <c r="J28" s="245">
        <v>8.0</v>
      </c>
      <c r="K28" s="245">
        <v>-1.0</v>
      </c>
      <c r="L28" s="245">
        <v>18.0</v>
      </c>
      <c r="M28" s="245">
        <v>18.0</v>
      </c>
      <c r="N28" s="246">
        <v>2.0</v>
      </c>
      <c r="O28" s="247">
        <v>2.5</v>
      </c>
      <c r="P28" s="248">
        <v>2.5</v>
      </c>
    </row>
    <row r="29">
      <c r="A29" s="243" t="s">
        <v>847</v>
      </c>
      <c r="B29" s="244">
        <v>327.0</v>
      </c>
      <c r="C29" s="243" t="s">
        <v>480</v>
      </c>
      <c r="D29" s="243" t="s">
        <v>937</v>
      </c>
      <c r="E29" s="243" t="s">
        <v>1000</v>
      </c>
      <c r="F29" s="245">
        <v>5.0</v>
      </c>
      <c r="G29" s="245">
        <v>5.0</v>
      </c>
      <c r="H29" s="245">
        <v>0.0</v>
      </c>
      <c r="I29" s="245">
        <v>5.0</v>
      </c>
      <c r="J29" s="245">
        <v>5.0</v>
      </c>
      <c r="K29" s="245">
        <v>0.0</v>
      </c>
      <c r="L29" s="245">
        <v>10.0</v>
      </c>
      <c r="M29" s="245">
        <v>12.0</v>
      </c>
      <c r="N29" s="246">
        <v>1.5</v>
      </c>
      <c r="O29" s="247">
        <v>1.5</v>
      </c>
      <c r="P29" s="248">
        <v>2.0</v>
      </c>
    </row>
    <row r="30">
      <c r="A30" s="243" t="s">
        <v>850</v>
      </c>
      <c r="B30" s="244">
        <v>333.0</v>
      </c>
      <c r="C30" s="243" t="s">
        <v>492</v>
      </c>
      <c r="D30" s="243" t="s">
        <v>930</v>
      </c>
      <c r="E30" s="243" t="s">
        <v>1033</v>
      </c>
      <c r="F30" s="245">
        <v>3.0</v>
      </c>
      <c r="G30" s="245">
        <v>3.0</v>
      </c>
      <c r="H30" s="245">
        <v>0.0</v>
      </c>
      <c r="I30" s="245">
        <v>3.0</v>
      </c>
      <c r="J30" s="245">
        <v>3.0</v>
      </c>
      <c r="K30" s="245">
        <v>0.0</v>
      </c>
      <c r="L30" s="245">
        <v>7.0</v>
      </c>
      <c r="M30" s="245">
        <v>7.0</v>
      </c>
      <c r="N30" s="246">
        <v>1.0</v>
      </c>
      <c r="O30" s="247">
        <v>1.0</v>
      </c>
      <c r="P30" s="248">
        <v>1.0</v>
      </c>
    </row>
    <row r="31">
      <c r="A31" s="243" t="s">
        <v>860</v>
      </c>
      <c r="B31" s="244">
        <v>357.0</v>
      </c>
      <c r="C31" s="243" t="s">
        <v>480</v>
      </c>
      <c r="D31" s="243" t="s">
        <v>938</v>
      </c>
      <c r="E31" s="243" t="s">
        <v>991</v>
      </c>
      <c r="F31" s="245">
        <v>6.0</v>
      </c>
      <c r="G31" s="245">
        <v>7.0</v>
      </c>
      <c r="H31" s="245">
        <v>-1.0</v>
      </c>
      <c r="I31" s="245">
        <v>6.0</v>
      </c>
      <c r="J31" s="245">
        <v>7.0</v>
      </c>
      <c r="K31" s="245">
        <v>-1.0</v>
      </c>
      <c r="L31" s="245">
        <v>13.0</v>
      </c>
      <c r="M31" s="245">
        <v>13.0</v>
      </c>
      <c r="N31" s="246">
        <v>1.5</v>
      </c>
      <c r="O31" s="247">
        <v>1.5</v>
      </c>
      <c r="P31" s="248">
        <v>2.0</v>
      </c>
    </row>
    <row r="32">
      <c r="A32" s="243" t="s">
        <v>898</v>
      </c>
      <c r="B32" s="244">
        <v>358.0</v>
      </c>
      <c r="C32" s="243" t="s">
        <v>480</v>
      </c>
      <c r="D32" s="243" t="s">
        <v>944</v>
      </c>
      <c r="E32" s="243" t="s">
        <v>1222</v>
      </c>
      <c r="F32" s="245">
        <v>1.0</v>
      </c>
      <c r="G32" s="245">
        <v>1.0</v>
      </c>
      <c r="H32" s="245">
        <v>0.0</v>
      </c>
      <c r="I32" s="245">
        <v>1.0</v>
      </c>
      <c r="J32" s="245">
        <v>1.0</v>
      </c>
      <c r="K32" s="245">
        <v>0.0</v>
      </c>
      <c r="L32" s="245">
        <v>10.0</v>
      </c>
      <c r="M32" s="245">
        <v>12.0</v>
      </c>
      <c r="N32" s="246">
        <v>1.5</v>
      </c>
      <c r="O32" s="247">
        <v>1.5</v>
      </c>
      <c r="P32" s="248">
        <v>2.0</v>
      </c>
    </row>
    <row r="33">
      <c r="A33" s="243" t="s">
        <v>831</v>
      </c>
      <c r="B33" s="244">
        <v>376.0</v>
      </c>
      <c r="C33" s="243" t="s">
        <v>492</v>
      </c>
      <c r="D33" s="243" t="s">
        <v>1057</v>
      </c>
      <c r="E33" s="243" t="s">
        <v>974</v>
      </c>
      <c r="F33" s="245">
        <v>8.0</v>
      </c>
      <c r="G33" s="245">
        <v>9.0</v>
      </c>
      <c r="H33" s="245">
        <v>-1.0</v>
      </c>
      <c r="I33" s="245">
        <v>8.0</v>
      </c>
      <c r="J33" s="245">
        <v>9.0</v>
      </c>
      <c r="K33" s="245">
        <v>-1.0</v>
      </c>
      <c r="L33" s="245">
        <v>18.0</v>
      </c>
      <c r="M33" s="245">
        <v>20.0</v>
      </c>
      <c r="N33" s="246">
        <v>2.0</v>
      </c>
      <c r="O33" s="247">
        <v>2.5</v>
      </c>
      <c r="P33" s="248">
        <v>3.0</v>
      </c>
    </row>
    <row r="34">
      <c r="A34" s="243" t="s">
        <v>1229</v>
      </c>
      <c r="B34" s="244">
        <v>383.0</v>
      </c>
      <c r="C34" s="243" t="s">
        <v>507</v>
      </c>
      <c r="D34" s="243" t="s">
        <v>512</v>
      </c>
      <c r="E34" s="243" t="s">
        <v>1225</v>
      </c>
      <c r="F34" s="245">
        <v>5.0</v>
      </c>
      <c r="G34" s="245">
        <v>5.0</v>
      </c>
      <c r="H34" s="245">
        <v>0.0</v>
      </c>
      <c r="I34" s="245">
        <v>3.0</v>
      </c>
      <c r="J34" s="245">
        <v>3.0</v>
      </c>
      <c r="K34" s="245">
        <v>0.0</v>
      </c>
      <c r="L34" s="245">
        <v>13.0</v>
      </c>
      <c r="M34" s="245">
        <v>10.0</v>
      </c>
      <c r="N34" s="246">
        <v>1.0</v>
      </c>
      <c r="O34" s="247">
        <v>1.5</v>
      </c>
      <c r="P34" s="248">
        <v>1.5</v>
      </c>
    </row>
    <row r="35">
      <c r="A35" s="243" t="s">
        <v>888</v>
      </c>
      <c r="B35" s="244">
        <v>387.0</v>
      </c>
      <c r="C35" s="243" t="s">
        <v>477</v>
      </c>
      <c r="D35" s="243" t="s">
        <v>478</v>
      </c>
      <c r="E35" s="243" t="s">
        <v>974</v>
      </c>
      <c r="F35" s="245">
        <v>2.0</v>
      </c>
      <c r="G35" s="245">
        <v>2.0</v>
      </c>
      <c r="H35" s="245">
        <v>0.0</v>
      </c>
      <c r="I35" s="245">
        <v>2.0</v>
      </c>
      <c r="J35" s="245">
        <v>2.0</v>
      </c>
      <c r="K35" s="245">
        <v>0.0</v>
      </c>
      <c r="L35" s="245">
        <v>12.0</v>
      </c>
      <c r="M35" s="245">
        <v>12.0</v>
      </c>
      <c r="N35" s="246">
        <v>1.5</v>
      </c>
      <c r="O35" s="247">
        <v>1.5</v>
      </c>
      <c r="P35" s="248">
        <v>2.0</v>
      </c>
    </row>
    <row r="36">
      <c r="A36" s="243" t="s">
        <v>668</v>
      </c>
      <c r="B36" s="244">
        <v>393.0</v>
      </c>
      <c r="C36" s="243" t="s">
        <v>480</v>
      </c>
      <c r="D36" s="243" t="s">
        <v>481</v>
      </c>
      <c r="E36" s="243" t="s">
        <v>975</v>
      </c>
      <c r="F36" s="245">
        <v>9.0</v>
      </c>
      <c r="G36" s="245">
        <v>8.0</v>
      </c>
      <c r="H36" s="245">
        <v>1.0</v>
      </c>
      <c r="I36" s="245">
        <v>9.0</v>
      </c>
      <c r="J36" s="245">
        <v>8.0</v>
      </c>
      <c r="K36" s="245">
        <v>1.0</v>
      </c>
      <c r="L36" s="245">
        <v>14.0</v>
      </c>
      <c r="M36" s="245">
        <v>14.0</v>
      </c>
      <c r="N36" s="246">
        <v>1.5</v>
      </c>
      <c r="O36" s="247">
        <v>2.0</v>
      </c>
      <c r="P36" s="248">
        <v>2.0</v>
      </c>
    </row>
    <row r="37">
      <c r="A37" s="243" t="s">
        <v>1067</v>
      </c>
      <c r="B37" s="244">
        <v>418.0</v>
      </c>
      <c r="C37" s="243" t="s">
        <v>480</v>
      </c>
      <c r="D37" s="243" t="s">
        <v>481</v>
      </c>
      <c r="E37" s="243" t="s">
        <v>974</v>
      </c>
      <c r="F37" s="245">
        <v>2.0</v>
      </c>
      <c r="G37" s="245">
        <v>3.0</v>
      </c>
      <c r="H37" s="245">
        <v>-1.0</v>
      </c>
      <c r="I37" s="245">
        <v>2.0</v>
      </c>
      <c r="J37" s="245">
        <v>3.0</v>
      </c>
      <c r="K37" s="245">
        <v>-1.0</v>
      </c>
      <c r="L37" s="245">
        <v>4.0</v>
      </c>
      <c r="M37" s="245">
        <v>4.0</v>
      </c>
      <c r="N37" s="246">
        <v>0.5</v>
      </c>
      <c r="O37" s="247">
        <v>0.5</v>
      </c>
      <c r="P37" s="248">
        <v>1.0</v>
      </c>
    </row>
    <row r="38">
      <c r="A38" s="243" t="s">
        <v>1230</v>
      </c>
      <c r="B38" s="244">
        <v>440.0</v>
      </c>
      <c r="C38" s="243" t="s">
        <v>492</v>
      </c>
      <c r="D38" s="243" t="s">
        <v>934</v>
      </c>
      <c r="E38" s="243" t="s">
        <v>975</v>
      </c>
      <c r="F38" s="245">
        <v>6.0</v>
      </c>
      <c r="G38" s="245">
        <v>6.0</v>
      </c>
      <c r="H38" s="245">
        <v>0.0</v>
      </c>
      <c r="I38" s="245">
        <v>6.0</v>
      </c>
      <c r="J38" s="245">
        <v>6.0</v>
      </c>
      <c r="K38" s="245">
        <v>0.0</v>
      </c>
      <c r="L38" s="245">
        <v>14.0</v>
      </c>
      <c r="M38" s="245">
        <v>14.0</v>
      </c>
      <c r="N38" s="246">
        <v>1.5</v>
      </c>
      <c r="O38" s="247">
        <v>2.0</v>
      </c>
      <c r="P38" s="248">
        <v>2.0</v>
      </c>
    </row>
    <row r="39">
      <c r="A39" s="243" t="s">
        <v>680</v>
      </c>
      <c r="B39" s="244">
        <v>441.0</v>
      </c>
      <c r="C39" s="243" t="s">
        <v>507</v>
      </c>
      <c r="D39" s="243" t="s">
        <v>512</v>
      </c>
      <c r="E39" s="243" t="s">
        <v>974</v>
      </c>
      <c r="F39" s="245">
        <v>16.0</v>
      </c>
      <c r="G39" s="245">
        <v>17.0</v>
      </c>
      <c r="H39" s="245">
        <v>-1.0</v>
      </c>
      <c r="I39" s="245">
        <v>15.0</v>
      </c>
      <c r="J39" s="245">
        <v>16.0</v>
      </c>
      <c r="K39" s="245">
        <v>-1.0</v>
      </c>
      <c r="L39" s="245">
        <v>75.0</v>
      </c>
      <c r="M39" s="245">
        <v>72.0</v>
      </c>
      <c r="N39" s="246">
        <v>7.5</v>
      </c>
      <c r="O39" s="247">
        <v>8.5</v>
      </c>
      <c r="P39" s="248">
        <v>9.5</v>
      </c>
    </row>
    <row r="40">
      <c r="A40" s="243" t="s">
        <v>868</v>
      </c>
      <c r="B40" s="244">
        <v>460.0</v>
      </c>
      <c r="C40" s="243" t="s">
        <v>480</v>
      </c>
      <c r="D40" s="243" t="s">
        <v>481</v>
      </c>
      <c r="E40" s="243" t="s">
        <v>1000</v>
      </c>
      <c r="F40" s="245">
        <v>10.0</v>
      </c>
      <c r="G40" s="245">
        <v>10.0</v>
      </c>
      <c r="H40" s="245">
        <v>0.0</v>
      </c>
      <c r="I40" s="245">
        <v>10.0</v>
      </c>
      <c r="J40" s="245">
        <v>10.0</v>
      </c>
      <c r="K40" s="245">
        <v>0.0</v>
      </c>
      <c r="L40" s="245">
        <v>26.0</v>
      </c>
      <c r="M40" s="245">
        <v>26.0</v>
      </c>
      <c r="N40" s="246">
        <v>3.0</v>
      </c>
      <c r="O40" s="247">
        <v>3.0</v>
      </c>
      <c r="P40" s="248">
        <v>3.5</v>
      </c>
    </row>
    <row r="41">
      <c r="A41" s="243" t="s">
        <v>739</v>
      </c>
      <c r="B41" s="244">
        <v>468.0</v>
      </c>
      <c r="C41" s="243" t="s">
        <v>492</v>
      </c>
      <c r="D41" s="243" t="s">
        <v>930</v>
      </c>
      <c r="E41" s="243" t="s">
        <v>988</v>
      </c>
      <c r="F41" s="245">
        <v>6.0</v>
      </c>
      <c r="G41" s="245">
        <v>7.0</v>
      </c>
      <c r="H41" s="245">
        <v>-1.0</v>
      </c>
      <c r="I41" s="245">
        <v>7.0</v>
      </c>
      <c r="J41" s="245">
        <v>8.0</v>
      </c>
      <c r="K41" s="245">
        <v>-1.0</v>
      </c>
      <c r="L41" s="245">
        <v>16.0</v>
      </c>
      <c r="M41" s="245">
        <v>18.0</v>
      </c>
      <c r="N41" s="246">
        <v>2.0</v>
      </c>
      <c r="O41" s="247">
        <v>2.5</v>
      </c>
      <c r="P41" s="248">
        <v>2.5</v>
      </c>
    </row>
    <row r="42">
      <c r="A42" s="243" t="s">
        <v>889</v>
      </c>
      <c r="B42" s="244">
        <v>479.0</v>
      </c>
      <c r="C42" s="243" t="s">
        <v>507</v>
      </c>
      <c r="D42" s="243" t="s">
        <v>512</v>
      </c>
      <c r="E42" s="243" t="s">
        <v>972</v>
      </c>
      <c r="F42" s="245">
        <v>10.0</v>
      </c>
      <c r="G42" s="245">
        <v>10.0</v>
      </c>
      <c r="H42" s="245">
        <v>0.0</v>
      </c>
      <c r="I42" s="245">
        <v>9.0</v>
      </c>
      <c r="J42" s="245">
        <v>9.0</v>
      </c>
      <c r="K42" s="245">
        <v>0.0</v>
      </c>
      <c r="L42" s="245">
        <v>18.0</v>
      </c>
      <c r="M42" s="245">
        <v>18.0</v>
      </c>
      <c r="N42" s="246">
        <v>2.0</v>
      </c>
      <c r="O42" s="247">
        <v>2.5</v>
      </c>
      <c r="P42" s="248">
        <v>2.5</v>
      </c>
    </row>
    <row r="43">
      <c r="A43" s="243" t="s">
        <v>1043</v>
      </c>
      <c r="B43" s="244">
        <v>487.0</v>
      </c>
      <c r="C43" s="243" t="s">
        <v>480</v>
      </c>
      <c r="D43" s="243" t="s">
        <v>938</v>
      </c>
      <c r="E43" s="243" t="s">
        <v>1009</v>
      </c>
      <c r="F43" s="245">
        <v>3.0</v>
      </c>
      <c r="G43" s="245">
        <v>3.0</v>
      </c>
      <c r="H43" s="245">
        <v>0.0</v>
      </c>
      <c r="I43" s="245">
        <v>3.0</v>
      </c>
      <c r="J43" s="245">
        <v>3.0</v>
      </c>
      <c r="K43" s="245">
        <v>0.0</v>
      </c>
      <c r="L43" s="245">
        <v>5.0</v>
      </c>
      <c r="M43" s="245">
        <v>5.0</v>
      </c>
      <c r="N43" s="246">
        <v>0.5</v>
      </c>
      <c r="O43" s="247">
        <v>1.0</v>
      </c>
      <c r="P43" s="248">
        <v>1.0</v>
      </c>
    </row>
    <row r="44">
      <c r="A44" s="243" t="s">
        <v>1231</v>
      </c>
      <c r="B44" s="244">
        <v>495.0</v>
      </c>
      <c r="C44" s="243" t="s">
        <v>507</v>
      </c>
      <c r="D44" s="243" t="s">
        <v>507</v>
      </c>
      <c r="E44" s="243" t="s">
        <v>973</v>
      </c>
      <c r="F44" s="245">
        <v>3.0</v>
      </c>
      <c r="G44" s="245">
        <v>3.0</v>
      </c>
      <c r="H44" s="245">
        <v>0.0</v>
      </c>
      <c r="I44" s="245">
        <v>3.0</v>
      </c>
      <c r="J44" s="245">
        <v>3.0</v>
      </c>
      <c r="K44" s="245">
        <v>0.0</v>
      </c>
      <c r="L44" s="245">
        <v>7.0</v>
      </c>
      <c r="M44" s="245">
        <v>7.0</v>
      </c>
      <c r="N44" s="246">
        <v>1.0</v>
      </c>
      <c r="O44" s="247">
        <v>1.0</v>
      </c>
      <c r="P44" s="248">
        <v>1.0</v>
      </c>
    </row>
    <row r="45">
      <c r="A45" s="243" t="s">
        <v>1148</v>
      </c>
      <c r="B45" s="244">
        <v>511.0</v>
      </c>
      <c r="C45" s="243" t="s">
        <v>477</v>
      </c>
      <c r="D45" s="243" t="s">
        <v>478</v>
      </c>
      <c r="E45" s="243" t="s">
        <v>983</v>
      </c>
      <c r="F45" s="245">
        <v>1.0</v>
      </c>
      <c r="G45" s="245">
        <v>1.0</v>
      </c>
      <c r="H45" s="245">
        <v>0.0</v>
      </c>
      <c r="I45" s="245">
        <v>1.0</v>
      </c>
      <c r="J45" s="245">
        <v>1.0</v>
      </c>
      <c r="K45" s="245">
        <v>0.0</v>
      </c>
      <c r="L45" s="245">
        <v>1.0</v>
      </c>
      <c r="M45" s="245">
        <v>1.0</v>
      </c>
      <c r="N45" s="246">
        <v>0.5</v>
      </c>
      <c r="O45" s="247">
        <v>0.5</v>
      </c>
      <c r="P45" s="248">
        <v>0.5</v>
      </c>
    </row>
    <row r="46">
      <c r="A46" s="243" t="s">
        <v>744</v>
      </c>
      <c r="B46" s="244">
        <v>513.0</v>
      </c>
      <c r="C46" s="243" t="s">
        <v>480</v>
      </c>
      <c r="D46" s="243" t="s">
        <v>481</v>
      </c>
      <c r="E46" s="243" t="s">
        <v>973</v>
      </c>
      <c r="F46" s="245">
        <v>10.0</v>
      </c>
      <c r="G46" s="245">
        <v>10.0</v>
      </c>
      <c r="H46" s="245">
        <v>0.0</v>
      </c>
      <c r="I46" s="245">
        <v>10.0</v>
      </c>
      <c r="J46" s="245">
        <v>10.0</v>
      </c>
      <c r="K46" s="245">
        <v>0.0</v>
      </c>
      <c r="L46" s="245">
        <v>28.0</v>
      </c>
      <c r="M46" s="245">
        <v>28.0</v>
      </c>
      <c r="N46" s="246">
        <v>3.0</v>
      </c>
      <c r="O46" s="247">
        <v>3.5</v>
      </c>
      <c r="P46" s="248">
        <v>4.0</v>
      </c>
    </row>
    <row r="47">
      <c r="A47" s="243" t="s">
        <v>1232</v>
      </c>
      <c r="B47" s="244">
        <v>526.0</v>
      </c>
      <c r="C47" s="243" t="s">
        <v>492</v>
      </c>
      <c r="D47" s="243" t="s">
        <v>492</v>
      </c>
      <c r="E47" s="243" t="s">
        <v>1233</v>
      </c>
      <c r="F47" s="245">
        <v>8.0</v>
      </c>
      <c r="G47" s="245">
        <v>8.0</v>
      </c>
      <c r="H47" s="245">
        <v>0.0</v>
      </c>
      <c r="I47" s="245">
        <v>8.0</v>
      </c>
      <c r="J47" s="245">
        <v>8.0</v>
      </c>
      <c r="K47" s="245">
        <v>0.0</v>
      </c>
      <c r="L47" s="245">
        <v>16.0</v>
      </c>
      <c r="M47" s="245">
        <v>15.0</v>
      </c>
      <c r="N47" s="246">
        <v>1.5</v>
      </c>
      <c r="O47" s="247">
        <v>2.0</v>
      </c>
      <c r="P47" s="248">
        <v>2.0</v>
      </c>
    </row>
    <row r="48">
      <c r="A48" s="243" t="s">
        <v>281</v>
      </c>
      <c r="B48" s="244">
        <v>530.0</v>
      </c>
      <c r="C48" s="243" t="s">
        <v>492</v>
      </c>
      <c r="D48" s="243" t="s">
        <v>934</v>
      </c>
      <c r="E48" s="243" t="s">
        <v>988</v>
      </c>
      <c r="F48" s="245">
        <v>21.0</v>
      </c>
      <c r="G48" s="245">
        <v>22.0</v>
      </c>
      <c r="H48" s="245">
        <v>-1.0</v>
      </c>
      <c r="I48" s="245">
        <v>21.0</v>
      </c>
      <c r="J48" s="245">
        <v>22.0</v>
      </c>
      <c r="K48" s="245">
        <v>-1.0</v>
      </c>
      <c r="L48" s="245">
        <v>73.0</v>
      </c>
      <c r="M48" s="245">
        <v>73.0</v>
      </c>
      <c r="N48" s="246">
        <v>7.5</v>
      </c>
      <c r="O48" s="247">
        <v>8.5</v>
      </c>
      <c r="P48" s="248">
        <v>9.5</v>
      </c>
    </row>
    <row r="49">
      <c r="A49" s="243" t="s">
        <v>887</v>
      </c>
      <c r="B49" s="244">
        <v>536.0</v>
      </c>
      <c r="C49" s="243" t="s">
        <v>492</v>
      </c>
      <c r="D49" s="243" t="s">
        <v>563</v>
      </c>
      <c r="E49" s="243" t="s">
        <v>987</v>
      </c>
      <c r="F49" s="245">
        <v>23.0</v>
      </c>
      <c r="G49" s="245">
        <v>24.0</v>
      </c>
      <c r="H49" s="245">
        <v>-1.0</v>
      </c>
      <c r="I49" s="245">
        <v>22.0</v>
      </c>
      <c r="J49" s="245">
        <v>23.0</v>
      </c>
      <c r="K49" s="245">
        <v>-1.0</v>
      </c>
      <c r="L49" s="245">
        <v>70.0</v>
      </c>
      <c r="M49" s="245">
        <v>70.0</v>
      </c>
      <c r="N49" s="246">
        <v>7.0</v>
      </c>
      <c r="O49" s="247">
        <v>8.5</v>
      </c>
      <c r="P49" s="248">
        <v>9.5</v>
      </c>
    </row>
    <row r="50">
      <c r="A50" s="243" t="s">
        <v>1140</v>
      </c>
      <c r="B50" s="244">
        <v>543.0</v>
      </c>
      <c r="C50" s="243" t="s">
        <v>477</v>
      </c>
      <c r="D50" s="243" t="s">
        <v>478</v>
      </c>
      <c r="E50" s="243" t="s">
        <v>993</v>
      </c>
      <c r="F50" s="245">
        <v>1.0</v>
      </c>
      <c r="G50" s="245">
        <v>1.0</v>
      </c>
      <c r="H50" s="245">
        <v>0.0</v>
      </c>
      <c r="I50" s="245">
        <v>1.0</v>
      </c>
      <c r="J50" s="245">
        <v>1.0</v>
      </c>
      <c r="K50" s="245">
        <v>0.0</v>
      </c>
      <c r="L50" s="245">
        <v>1.0</v>
      </c>
      <c r="M50" s="245">
        <v>1.0</v>
      </c>
      <c r="N50" s="246">
        <v>0.5</v>
      </c>
      <c r="O50" s="247">
        <v>0.5</v>
      </c>
      <c r="P50" s="248">
        <v>0.5</v>
      </c>
    </row>
    <row r="51">
      <c r="A51" s="243" t="s">
        <v>138</v>
      </c>
      <c r="B51" s="244">
        <v>554.0</v>
      </c>
      <c r="C51" s="243" t="s">
        <v>480</v>
      </c>
      <c r="D51" s="243" t="s">
        <v>521</v>
      </c>
      <c r="E51" s="243" t="s">
        <v>980</v>
      </c>
      <c r="F51" s="245">
        <v>10.0</v>
      </c>
      <c r="G51" s="245">
        <v>9.0</v>
      </c>
      <c r="H51" s="245">
        <v>1.0</v>
      </c>
      <c r="I51" s="245">
        <v>9.0</v>
      </c>
      <c r="J51" s="245">
        <v>8.0</v>
      </c>
      <c r="K51" s="245">
        <v>1.0</v>
      </c>
      <c r="L51" s="245">
        <v>30.0</v>
      </c>
      <c r="M51" s="245">
        <v>30.0</v>
      </c>
      <c r="N51" s="246">
        <v>3.0</v>
      </c>
      <c r="O51" s="247">
        <v>3.5</v>
      </c>
      <c r="P51" s="248">
        <v>4.0</v>
      </c>
    </row>
    <row r="52">
      <c r="A52" s="243" t="s">
        <v>772</v>
      </c>
      <c r="B52" s="244">
        <v>556.0</v>
      </c>
      <c r="C52" s="243" t="s">
        <v>492</v>
      </c>
      <c r="D52" s="243" t="s">
        <v>930</v>
      </c>
      <c r="E52" s="243" t="s">
        <v>974</v>
      </c>
      <c r="F52" s="245">
        <v>3.0</v>
      </c>
      <c r="G52" s="245">
        <v>3.0</v>
      </c>
      <c r="H52" s="245">
        <v>0.0</v>
      </c>
      <c r="I52" s="245">
        <v>3.0</v>
      </c>
      <c r="J52" s="245">
        <v>3.0</v>
      </c>
      <c r="K52" s="245">
        <v>0.0</v>
      </c>
      <c r="L52" s="245">
        <v>7.0</v>
      </c>
      <c r="M52" s="245">
        <v>9.0</v>
      </c>
      <c r="N52" s="246">
        <v>1.0</v>
      </c>
      <c r="O52" s="247">
        <v>1.5</v>
      </c>
      <c r="P52" s="248">
        <v>1.5</v>
      </c>
    </row>
    <row r="53">
      <c r="A53" s="243" t="s">
        <v>634</v>
      </c>
      <c r="B53" s="244">
        <v>572.0</v>
      </c>
      <c r="C53" s="243" t="s">
        <v>477</v>
      </c>
      <c r="D53" s="243" t="s">
        <v>478</v>
      </c>
      <c r="E53" s="243" t="s">
        <v>987</v>
      </c>
      <c r="F53" s="245">
        <v>15.0</v>
      </c>
      <c r="G53" s="245">
        <v>15.0</v>
      </c>
      <c r="H53" s="245">
        <v>0.0</v>
      </c>
      <c r="I53" s="245">
        <v>15.0</v>
      </c>
      <c r="J53" s="245">
        <v>15.0</v>
      </c>
      <c r="K53" s="245">
        <v>0.0</v>
      </c>
      <c r="L53" s="245">
        <v>72.0</v>
      </c>
      <c r="M53" s="245">
        <v>72.0</v>
      </c>
      <c r="N53" s="246">
        <v>7.5</v>
      </c>
      <c r="O53" s="247">
        <v>8.5</v>
      </c>
      <c r="P53" s="248">
        <v>9.5</v>
      </c>
    </row>
    <row r="54">
      <c r="A54" s="243" t="s">
        <v>651</v>
      </c>
      <c r="B54" s="244">
        <v>574.0</v>
      </c>
      <c r="C54" s="243" t="s">
        <v>477</v>
      </c>
      <c r="D54" s="243" t="s">
        <v>478</v>
      </c>
      <c r="E54" s="243" t="s">
        <v>975</v>
      </c>
      <c r="F54" s="245">
        <v>8.0</v>
      </c>
      <c r="G54" s="245">
        <v>7.0</v>
      </c>
      <c r="H54" s="245">
        <v>1.0</v>
      </c>
      <c r="I54" s="245">
        <v>8.0</v>
      </c>
      <c r="J54" s="245">
        <v>7.0</v>
      </c>
      <c r="K54" s="245">
        <v>1.0</v>
      </c>
      <c r="L54" s="245">
        <v>29.0</v>
      </c>
      <c r="M54" s="245">
        <v>29.0</v>
      </c>
      <c r="N54" s="246">
        <v>3.0</v>
      </c>
      <c r="O54" s="247">
        <v>3.5</v>
      </c>
      <c r="P54" s="248">
        <v>4.0</v>
      </c>
    </row>
    <row r="55">
      <c r="A55" s="243" t="s">
        <v>1234</v>
      </c>
      <c r="B55" s="244">
        <v>581.0</v>
      </c>
      <c r="C55" s="243" t="s">
        <v>480</v>
      </c>
      <c r="D55" s="243" t="s">
        <v>938</v>
      </c>
      <c r="E55" s="243" t="s">
        <v>983</v>
      </c>
      <c r="F55" s="245">
        <v>3.0</v>
      </c>
      <c r="G55" s="245">
        <v>3.0</v>
      </c>
      <c r="H55" s="245">
        <v>0.0</v>
      </c>
      <c r="I55" s="245">
        <v>3.0</v>
      </c>
      <c r="J55" s="245">
        <v>3.0</v>
      </c>
      <c r="K55" s="245">
        <v>0.0</v>
      </c>
      <c r="L55" s="245">
        <v>6.0</v>
      </c>
      <c r="M55" s="245">
        <v>6.0</v>
      </c>
      <c r="N55" s="246">
        <v>1.0</v>
      </c>
      <c r="O55" s="247">
        <v>1.0</v>
      </c>
      <c r="P55" s="248">
        <v>1.0</v>
      </c>
    </row>
    <row r="56">
      <c r="A56" s="243" t="s">
        <v>743</v>
      </c>
      <c r="B56" s="244">
        <v>608.0</v>
      </c>
      <c r="C56" s="243" t="s">
        <v>507</v>
      </c>
      <c r="D56" s="243" t="s">
        <v>512</v>
      </c>
      <c r="E56" s="243" t="s">
        <v>972</v>
      </c>
      <c r="F56" s="245">
        <v>26.0</v>
      </c>
      <c r="G56" s="245">
        <v>25.0</v>
      </c>
      <c r="H56" s="245">
        <v>1.0</v>
      </c>
      <c r="I56" s="245">
        <v>26.0</v>
      </c>
      <c r="J56" s="245">
        <v>25.0</v>
      </c>
      <c r="K56" s="245">
        <v>1.0</v>
      </c>
      <c r="L56" s="245">
        <v>172.0</v>
      </c>
      <c r="M56" s="245">
        <v>170.0</v>
      </c>
      <c r="N56" s="246">
        <v>17.0</v>
      </c>
      <c r="O56" s="247">
        <v>20.0</v>
      </c>
      <c r="P56" s="248">
        <v>22.5</v>
      </c>
    </row>
    <row r="57">
      <c r="A57" s="243" t="s">
        <v>135</v>
      </c>
      <c r="B57" s="244">
        <v>610.0</v>
      </c>
      <c r="C57" s="243" t="s">
        <v>477</v>
      </c>
      <c r="D57" s="243" t="s">
        <v>478</v>
      </c>
      <c r="E57" s="243" t="s">
        <v>1026</v>
      </c>
      <c r="F57" s="245">
        <v>10.0</v>
      </c>
      <c r="G57" s="245">
        <v>10.0</v>
      </c>
      <c r="H57" s="245">
        <v>0.0</v>
      </c>
      <c r="I57" s="245">
        <v>10.0</v>
      </c>
      <c r="J57" s="245">
        <v>10.0</v>
      </c>
      <c r="K57" s="245">
        <v>0.0</v>
      </c>
      <c r="L57" s="245">
        <v>38.0</v>
      </c>
      <c r="M57" s="245">
        <v>38.0</v>
      </c>
      <c r="N57" s="246">
        <v>4.0</v>
      </c>
      <c r="O57" s="247">
        <v>4.5</v>
      </c>
      <c r="P57" s="248">
        <v>5.0</v>
      </c>
    </row>
    <row r="58">
      <c r="A58" s="243" t="s">
        <v>752</v>
      </c>
      <c r="B58" s="244">
        <v>632.0</v>
      </c>
      <c r="C58" s="243" t="s">
        <v>492</v>
      </c>
      <c r="D58" s="243" t="s">
        <v>935</v>
      </c>
      <c r="E58" s="243" t="s">
        <v>1000</v>
      </c>
      <c r="F58" s="245">
        <v>27.0</v>
      </c>
      <c r="G58" s="245">
        <v>27.0</v>
      </c>
      <c r="H58" s="245">
        <v>0.0</v>
      </c>
      <c r="I58" s="245">
        <v>26.0</v>
      </c>
      <c r="J58" s="245">
        <v>26.0</v>
      </c>
      <c r="K58" s="245">
        <v>0.0</v>
      </c>
      <c r="L58" s="245">
        <v>155.0</v>
      </c>
      <c r="M58" s="245">
        <v>155.0</v>
      </c>
      <c r="N58" s="246">
        <v>15.5</v>
      </c>
      <c r="O58" s="247">
        <v>18.0</v>
      </c>
      <c r="P58" s="248">
        <v>20.5</v>
      </c>
    </row>
    <row r="59">
      <c r="A59" s="243" t="s">
        <v>1235</v>
      </c>
      <c r="B59" s="244">
        <v>673.0</v>
      </c>
      <c r="C59" s="243" t="s">
        <v>477</v>
      </c>
      <c r="D59" s="243" t="s">
        <v>478</v>
      </c>
      <c r="E59" s="243" t="s">
        <v>1222</v>
      </c>
      <c r="F59" s="245">
        <v>1.0</v>
      </c>
      <c r="G59" s="245">
        <v>1.0</v>
      </c>
      <c r="H59" s="245">
        <v>0.0</v>
      </c>
      <c r="I59" s="245">
        <v>1.0</v>
      </c>
      <c r="J59" s="245">
        <v>1.0</v>
      </c>
      <c r="K59" s="245">
        <v>0.0</v>
      </c>
      <c r="L59" s="245">
        <v>1.0</v>
      </c>
      <c r="M59" s="245">
        <v>1.0</v>
      </c>
      <c r="N59" s="246">
        <v>0.5</v>
      </c>
      <c r="O59" s="247">
        <v>0.5</v>
      </c>
      <c r="P59" s="248">
        <v>0.5</v>
      </c>
    </row>
    <row r="60">
      <c r="A60" s="243" t="s">
        <v>1236</v>
      </c>
      <c r="B60" s="244">
        <v>695.0</v>
      </c>
      <c r="C60" s="243" t="s">
        <v>480</v>
      </c>
      <c r="D60" s="243" t="s">
        <v>481</v>
      </c>
      <c r="E60" s="243" t="s">
        <v>980</v>
      </c>
      <c r="F60" s="245">
        <v>4.0</v>
      </c>
      <c r="G60" s="245">
        <v>4.0</v>
      </c>
      <c r="H60" s="245">
        <v>0.0</v>
      </c>
      <c r="I60" s="245">
        <v>4.0</v>
      </c>
      <c r="J60" s="245">
        <v>4.0</v>
      </c>
      <c r="K60" s="245">
        <v>0.0</v>
      </c>
      <c r="L60" s="245">
        <v>9.0</v>
      </c>
      <c r="M60" s="245">
        <v>9.0</v>
      </c>
      <c r="N60" s="246">
        <v>1.0</v>
      </c>
      <c r="O60" s="247">
        <v>1.5</v>
      </c>
      <c r="P60" s="248">
        <v>1.5</v>
      </c>
    </row>
    <row r="61">
      <c r="A61" s="243" t="s">
        <v>825</v>
      </c>
      <c r="B61" s="244">
        <v>697.0</v>
      </c>
      <c r="C61" s="243" t="s">
        <v>480</v>
      </c>
      <c r="D61" s="243" t="s">
        <v>521</v>
      </c>
      <c r="E61" s="243" t="s">
        <v>980</v>
      </c>
      <c r="F61" s="245">
        <v>4.0</v>
      </c>
      <c r="G61" s="245">
        <v>4.0</v>
      </c>
      <c r="H61" s="245">
        <v>0.0</v>
      </c>
      <c r="I61" s="245">
        <v>4.0</v>
      </c>
      <c r="J61" s="245">
        <v>4.0</v>
      </c>
      <c r="K61" s="245">
        <v>0.0</v>
      </c>
      <c r="L61" s="245">
        <v>9.0</v>
      </c>
      <c r="M61" s="245">
        <v>8.0</v>
      </c>
      <c r="N61" s="246">
        <v>1.0</v>
      </c>
      <c r="O61" s="247">
        <v>1.0</v>
      </c>
      <c r="P61" s="248">
        <v>1.5</v>
      </c>
    </row>
    <row r="62">
      <c r="A62" s="243" t="s">
        <v>724</v>
      </c>
      <c r="B62" s="244">
        <v>729.0</v>
      </c>
      <c r="C62" s="243" t="s">
        <v>480</v>
      </c>
      <c r="D62" s="243" t="s">
        <v>938</v>
      </c>
      <c r="E62" s="243" t="s">
        <v>1225</v>
      </c>
      <c r="F62" s="245">
        <v>4.0</v>
      </c>
      <c r="G62" s="245">
        <v>5.0</v>
      </c>
      <c r="H62" s="245">
        <v>-1.0</v>
      </c>
      <c r="I62" s="245">
        <v>4.0</v>
      </c>
      <c r="J62" s="245">
        <v>5.0</v>
      </c>
      <c r="K62" s="245">
        <v>-1.0</v>
      </c>
      <c r="L62" s="245">
        <v>8.0</v>
      </c>
      <c r="M62" s="245">
        <v>8.0</v>
      </c>
      <c r="N62" s="246">
        <v>1.0</v>
      </c>
      <c r="O62" s="247">
        <v>1.0</v>
      </c>
      <c r="P62" s="248">
        <v>1.5</v>
      </c>
    </row>
    <row r="63">
      <c r="A63" s="243" t="s">
        <v>994</v>
      </c>
      <c r="B63" s="244">
        <v>761.0</v>
      </c>
      <c r="C63" s="243" t="s">
        <v>477</v>
      </c>
      <c r="D63" s="243" t="s">
        <v>478</v>
      </c>
      <c r="E63" s="243" t="s">
        <v>974</v>
      </c>
      <c r="F63" s="245">
        <v>8.0</v>
      </c>
      <c r="G63" s="245">
        <v>9.0</v>
      </c>
      <c r="H63" s="245">
        <v>-1.0</v>
      </c>
      <c r="I63" s="245">
        <v>8.0</v>
      </c>
      <c r="J63" s="245">
        <v>9.0</v>
      </c>
      <c r="K63" s="245">
        <v>-1.0</v>
      </c>
      <c r="L63" s="245">
        <v>27.0</v>
      </c>
      <c r="M63" s="245">
        <v>27.0</v>
      </c>
      <c r="N63" s="246">
        <v>3.0</v>
      </c>
      <c r="O63" s="247">
        <v>3.5</v>
      </c>
      <c r="P63" s="248">
        <v>4.0</v>
      </c>
    </row>
    <row r="64">
      <c r="A64" s="243" t="s">
        <v>801</v>
      </c>
      <c r="B64" s="244">
        <v>770.0</v>
      </c>
      <c r="C64" s="243" t="s">
        <v>480</v>
      </c>
      <c r="D64" s="243" t="s">
        <v>931</v>
      </c>
      <c r="E64" s="243" t="s">
        <v>1222</v>
      </c>
      <c r="F64" s="245">
        <v>6.0</v>
      </c>
      <c r="G64" s="245">
        <v>5.0</v>
      </c>
      <c r="H64" s="245">
        <v>1.0</v>
      </c>
      <c r="I64" s="245">
        <v>6.0</v>
      </c>
      <c r="J64" s="245">
        <v>5.0</v>
      </c>
      <c r="K64" s="245">
        <v>1.0</v>
      </c>
      <c r="L64" s="245">
        <v>7.0</v>
      </c>
      <c r="M64" s="245">
        <v>7.0</v>
      </c>
      <c r="N64" s="246">
        <v>1.0</v>
      </c>
      <c r="O64" s="247">
        <v>1.0</v>
      </c>
      <c r="P64" s="248">
        <v>1.0</v>
      </c>
    </row>
    <row r="65">
      <c r="A65" s="243" t="s">
        <v>747</v>
      </c>
      <c r="B65" s="244">
        <v>779.0</v>
      </c>
      <c r="C65" s="243" t="s">
        <v>492</v>
      </c>
      <c r="D65" s="243" t="s">
        <v>930</v>
      </c>
      <c r="E65" s="243" t="s">
        <v>988</v>
      </c>
      <c r="F65" s="245">
        <v>9.0</v>
      </c>
      <c r="G65" s="245">
        <v>9.0</v>
      </c>
      <c r="H65" s="245">
        <v>0.0</v>
      </c>
      <c r="I65" s="245">
        <v>10.0</v>
      </c>
      <c r="J65" s="245">
        <v>10.0</v>
      </c>
      <c r="K65" s="245">
        <v>0.0</v>
      </c>
      <c r="L65" s="245">
        <v>20.0</v>
      </c>
      <c r="M65" s="245">
        <v>22.0</v>
      </c>
      <c r="N65" s="246">
        <v>2.5</v>
      </c>
      <c r="O65" s="247">
        <v>3.0</v>
      </c>
      <c r="P65" s="248">
        <v>3.0</v>
      </c>
    </row>
    <row r="66">
      <c r="A66" s="243" t="s">
        <v>693</v>
      </c>
      <c r="B66" s="244">
        <v>787.0</v>
      </c>
      <c r="C66" s="243" t="s">
        <v>480</v>
      </c>
      <c r="D66" s="243" t="s">
        <v>481</v>
      </c>
      <c r="E66" s="243" t="s">
        <v>980</v>
      </c>
      <c r="F66" s="245">
        <v>8.0</v>
      </c>
      <c r="G66" s="245">
        <v>8.0</v>
      </c>
      <c r="H66" s="245">
        <v>0.0</v>
      </c>
      <c r="I66" s="245">
        <v>8.0</v>
      </c>
      <c r="J66" s="245">
        <v>8.0</v>
      </c>
      <c r="K66" s="245">
        <v>0.0</v>
      </c>
      <c r="L66" s="245">
        <v>18.0</v>
      </c>
      <c r="M66" s="245">
        <v>18.0</v>
      </c>
      <c r="N66" s="246">
        <v>2.0</v>
      </c>
      <c r="O66" s="247">
        <v>2.5</v>
      </c>
      <c r="P66" s="248">
        <v>2.5</v>
      </c>
    </row>
    <row r="67">
      <c r="A67" s="243" t="s">
        <v>821</v>
      </c>
      <c r="B67" s="244">
        <v>788.0</v>
      </c>
      <c r="C67" s="243" t="s">
        <v>492</v>
      </c>
      <c r="D67" s="243" t="s">
        <v>930</v>
      </c>
      <c r="E67" s="243" t="s">
        <v>1009</v>
      </c>
      <c r="F67" s="245">
        <v>10.0</v>
      </c>
      <c r="G67" s="245">
        <v>9.0</v>
      </c>
      <c r="H67" s="245">
        <v>1.0</v>
      </c>
      <c r="I67" s="245">
        <v>11.0</v>
      </c>
      <c r="J67" s="245">
        <v>10.0</v>
      </c>
      <c r="K67" s="245">
        <v>1.0</v>
      </c>
      <c r="L67" s="245">
        <v>19.0</v>
      </c>
      <c r="M67" s="245">
        <v>22.0</v>
      </c>
      <c r="N67" s="246">
        <v>2.5</v>
      </c>
      <c r="O67" s="247">
        <v>3.0</v>
      </c>
      <c r="P67" s="248">
        <v>3.0</v>
      </c>
    </row>
    <row r="68">
      <c r="A68" s="243" t="s">
        <v>806</v>
      </c>
      <c r="B68" s="244">
        <v>791.0</v>
      </c>
      <c r="C68" s="243" t="s">
        <v>480</v>
      </c>
      <c r="D68" s="243" t="s">
        <v>944</v>
      </c>
      <c r="E68" s="243" t="s">
        <v>1026</v>
      </c>
      <c r="F68" s="245">
        <v>7.0</v>
      </c>
      <c r="G68" s="245">
        <v>6.0</v>
      </c>
      <c r="H68" s="245">
        <v>1.0</v>
      </c>
      <c r="I68" s="245">
        <v>8.0</v>
      </c>
      <c r="J68" s="245">
        <v>7.0</v>
      </c>
      <c r="K68" s="245">
        <v>1.0</v>
      </c>
      <c r="L68" s="245">
        <v>8.0</v>
      </c>
      <c r="M68" s="245">
        <v>10.0</v>
      </c>
      <c r="N68" s="246">
        <v>1.0</v>
      </c>
      <c r="O68" s="247">
        <v>1.5</v>
      </c>
      <c r="P68" s="248">
        <v>1.5</v>
      </c>
    </row>
    <row r="69">
      <c r="A69" s="243" t="s">
        <v>778</v>
      </c>
      <c r="B69" s="244">
        <v>795.0</v>
      </c>
      <c r="C69" s="243" t="s">
        <v>492</v>
      </c>
      <c r="D69" s="243" t="s">
        <v>563</v>
      </c>
      <c r="E69" s="243" t="s">
        <v>988</v>
      </c>
      <c r="F69" s="245">
        <v>7.0</v>
      </c>
      <c r="G69" s="245">
        <v>8.0</v>
      </c>
      <c r="H69" s="245">
        <v>-1.0</v>
      </c>
      <c r="I69" s="245">
        <v>6.0</v>
      </c>
      <c r="J69" s="245">
        <v>7.0</v>
      </c>
      <c r="K69" s="245">
        <v>-1.0</v>
      </c>
      <c r="L69" s="245">
        <v>19.0</v>
      </c>
      <c r="M69" s="245">
        <v>17.0</v>
      </c>
      <c r="N69" s="246">
        <v>2.0</v>
      </c>
      <c r="O69" s="247">
        <v>2.0</v>
      </c>
      <c r="P69" s="248">
        <v>2.5</v>
      </c>
    </row>
    <row r="70">
      <c r="A70" s="243" t="s">
        <v>1237</v>
      </c>
      <c r="B70" s="244">
        <v>801.0</v>
      </c>
      <c r="C70" s="243" t="s">
        <v>492</v>
      </c>
      <c r="D70" s="243" t="s">
        <v>930</v>
      </c>
      <c r="E70" s="243" t="s">
        <v>1225</v>
      </c>
      <c r="F70" s="245">
        <v>5.0</v>
      </c>
      <c r="G70" s="245">
        <v>5.0</v>
      </c>
      <c r="H70" s="245">
        <v>0.0</v>
      </c>
      <c r="I70" s="245">
        <v>6.0</v>
      </c>
      <c r="J70" s="245">
        <v>6.0</v>
      </c>
      <c r="K70" s="245">
        <v>0.0</v>
      </c>
      <c r="L70" s="245">
        <v>9.0</v>
      </c>
      <c r="M70" s="245">
        <v>11.0</v>
      </c>
      <c r="N70" s="246">
        <v>1.5</v>
      </c>
      <c r="O70" s="247">
        <v>1.5</v>
      </c>
      <c r="P70" s="248">
        <v>1.5</v>
      </c>
    </row>
    <row r="71">
      <c r="A71" s="243" t="s">
        <v>789</v>
      </c>
      <c r="B71" s="244">
        <v>827.0</v>
      </c>
      <c r="C71" s="243" t="s">
        <v>492</v>
      </c>
      <c r="D71" s="243" t="s">
        <v>930</v>
      </c>
      <c r="E71" s="243" t="s">
        <v>976</v>
      </c>
      <c r="F71" s="245">
        <v>9.0</v>
      </c>
      <c r="G71" s="245">
        <v>8.0</v>
      </c>
      <c r="H71" s="245">
        <v>1.0</v>
      </c>
      <c r="I71" s="245">
        <v>10.0</v>
      </c>
      <c r="J71" s="245">
        <v>9.0</v>
      </c>
      <c r="K71" s="245">
        <v>1.0</v>
      </c>
      <c r="L71" s="245">
        <v>19.0</v>
      </c>
      <c r="M71" s="245">
        <v>22.0</v>
      </c>
      <c r="N71" s="246">
        <v>2.5</v>
      </c>
      <c r="O71" s="247">
        <v>3.0</v>
      </c>
      <c r="P71" s="248">
        <v>3.0</v>
      </c>
    </row>
    <row r="72">
      <c r="A72" s="243" t="s">
        <v>678</v>
      </c>
      <c r="B72" s="244">
        <v>1852.0</v>
      </c>
      <c r="C72" s="243" t="s">
        <v>480</v>
      </c>
      <c r="D72" s="243" t="s">
        <v>521</v>
      </c>
      <c r="E72" s="243" t="s">
        <v>987</v>
      </c>
      <c r="F72" s="245">
        <v>13.0</v>
      </c>
      <c r="G72" s="245">
        <v>13.0</v>
      </c>
      <c r="H72" s="245">
        <v>0.0</v>
      </c>
      <c r="I72" s="245">
        <v>12.0</v>
      </c>
      <c r="J72" s="245">
        <v>12.0</v>
      </c>
      <c r="K72" s="245">
        <v>0.0</v>
      </c>
      <c r="L72" s="245">
        <v>41.0</v>
      </c>
      <c r="M72" s="245">
        <v>41.0</v>
      </c>
      <c r="N72" s="246">
        <v>4.5</v>
      </c>
      <c r="O72" s="247">
        <v>5.0</v>
      </c>
      <c r="P72" s="248">
        <v>5.5</v>
      </c>
    </row>
    <row r="73">
      <c r="A73" s="243" t="s">
        <v>610</v>
      </c>
      <c r="B73" s="244">
        <v>1870.0</v>
      </c>
      <c r="C73" s="243" t="s">
        <v>492</v>
      </c>
      <c r="D73" s="243" t="s">
        <v>492</v>
      </c>
      <c r="E73" s="243" t="s">
        <v>973</v>
      </c>
      <c r="F73" s="245">
        <v>21.0</v>
      </c>
      <c r="G73" s="245">
        <v>20.0</v>
      </c>
      <c r="H73" s="245">
        <v>1.0</v>
      </c>
      <c r="I73" s="245">
        <v>20.0</v>
      </c>
      <c r="J73" s="245">
        <v>19.0</v>
      </c>
      <c r="K73" s="245">
        <v>1.0</v>
      </c>
      <c r="L73" s="245">
        <v>75.0</v>
      </c>
      <c r="M73" s="245">
        <v>75.0</v>
      </c>
      <c r="N73" s="246">
        <v>7.5</v>
      </c>
      <c r="O73" s="247">
        <v>9.0</v>
      </c>
      <c r="P73" s="248">
        <v>10.0</v>
      </c>
    </row>
    <row r="74">
      <c r="A74" s="243" t="s">
        <v>1044</v>
      </c>
      <c r="B74" s="244">
        <v>1871.0</v>
      </c>
      <c r="C74" s="243" t="s">
        <v>492</v>
      </c>
      <c r="D74" s="243" t="s">
        <v>930</v>
      </c>
      <c r="E74" s="243" t="s">
        <v>975</v>
      </c>
      <c r="F74" s="245">
        <v>4.0</v>
      </c>
      <c r="G74" s="245">
        <v>4.0</v>
      </c>
      <c r="H74" s="245">
        <v>0.0</v>
      </c>
      <c r="I74" s="245">
        <v>5.0</v>
      </c>
      <c r="J74" s="245">
        <v>5.0</v>
      </c>
      <c r="K74" s="245">
        <v>0.0</v>
      </c>
      <c r="L74" s="245">
        <v>6.0</v>
      </c>
      <c r="M74" s="245">
        <v>7.0</v>
      </c>
      <c r="N74" s="246">
        <v>1.0</v>
      </c>
      <c r="O74" s="247">
        <v>1.0</v>
      </c>
      <c r="P74" s="248">
        <v>1.0</v>
      </c>
    </row>
    <row r="75">
      <c r="A75" s="243" t="s">
        <v>834</v>
      </c>
      <c r="B75" s="244">
        <v>1926.0</v>
      </c>
      <c r="C75" s="243" t="s">
        <v>477</v>
      </c>
      <c r="D75" s="243" t="s">
        <v>478</v>
      </c>
      <c r="E75" s="243" t="s">
        <v>973</v>
      </c>
      <c r="F75" s="245">
        <v>1.0</v>
      </c>
      <c r="G75" s="245">
        <v>1.0</v>
      </c>
      <c r="H75" s="245">
        <v>0.0</v>
      </c>
      <c r="I75" s="245">
        <v>1.0</v>
      </c>
      <c r="J75" s="245">
        <v>1.0</v>
      </c>
      <c r="K75" s="245">
        <v>0.0</v>
      </c>
      <c r="L75" s="245">
        <v>1.0</v>
      </c>
      <c r="M75" s="245">
        <v>1.0</v>
      </c>
      <c r="N75" s="246">
        <v>0.5</v>
      </c>
      <c r="O75" s="247">
        <v>0.5</v>
      </c>
      <c r="P75" s="248">
        <v>0.5</v>
      </c>
    </row>
    <row r="76">
      <c r="A76" s="243" t="s">
        <v>805</v>
      </c>
      <c r="B76" s="244">
        <v>1930.0</v>
      </c>
      <c r="C76" s="243" t="s">
        <v>477</v>
      </c>
      <c r="D76" s="243" t="s">
        <v>478</v>
      </c>
      <c r="E76" s="243" t="s">
        <v>976</v>
      </c>
      <c r="F76" s="245">
        <v>1.0</v>
      </c>
      <c r="G76" s="245">
        <v>1.0</v>
      </c>
      <c r="H76" s="245">
        <v>0.0</v>
      </c>
      <c r="I76" s="245">
        <v>1.0</v>
      </c>
      <c r="J76" s="245">
        <v>1.0</v>
      </c>
      <c r="K76" s="245">
        <v>0.0</v>
      </c>
      <c r="L76" s="245">
        <v>1.0</v>
      </c>
      <c r="M76" s="245">
        <v>1.0</v>
      </c>
      <c r="N76" s="246">
        <v>0.5</v>
      </c>
      <c r="O76" s="247">
        <v>0.5</v>
      </c>
      <c r="P76" s="248">
        <v>0.5</v>
      </c>
    </row>
    <row r="77">
      <c r="A77" s="243" t="s">
        <v>884</v>
      </c>
      <c r="B77" s="244">
        <v>1933.0</v>
      </c>
      <c r="C77" s="243" t="s">
        <v>492</v>
      </c>
      <c r="D77" s="243" t="s">
        <v>930</v>
      </c>
      <c r="E77" s="243" t="s">
        <v>1033</v>
      </c>
      <c r="F77" s="245">
        <v>7.0</v>
      </c>
      <c r="G77" s="245">
        <v>8.0</v>
      </c>
      <c r="H77" s="245">
        <v>-1.0</v>
      </c>
      <c r="I77" s="245">
        <v>8.0</v>
      </c>
      <c r="J77" s="245">
        <v>9.0</v>
      </c>
      <c r="K77" s="245">
        <v>-1.0</v>
      </c>
      <c r="L77" s="245">
        <v>16.0</v>
      </c>
      <c r="M77" s="245">
        <v>18.0</v>
      </c>
      <c r="N77" s="246">
        <v>2.0</v>
      </c>
      <c r="O77" s="247">
        <v>2.5</v>
      </c>
      <c r="P77" s="248">
        <v>2.5</v>
      </c>
    </row>
    <row r="78">
      <c r="A78" s="243" t="s">
        <v>1238</v>
      </c>
      <c r="B78" s="244">
        <v>1939.0</v>
      </c>
      <c r="C78" s="243" t="s">
        <v>507</v>
      </c>
      <c r="D78" s="243" t="s">
        <v>512</v>
      </c>
      <c r="E78" s="243" t="s">
        <v>975</v>
      </c>
      <c r="F78" s="245">
        <v>9.0</v>
      </c>
      <c r="G78" s="245">
        <v>9.0</v>
      </c>
      <c r="H78" s="245">
        <v>0.0</v>
      </c>
      <c r="I78" s="245">
        <v>8.0</v>
      </c>
      <c r="J78" s="245">
        <v>8.0</v>
      </c>
      <c r="K78" s="245">
        <v>0.0</v>
      </c>
      <c r="L78" s="245">
        <v>11.0</v>
      </c>
      <c r="M78" s="245">
        <v>9.0</v>
      </c>
      <c r="N78" s="246">
        <v>1.0</v>
      </c>
      <c r="O78" s="247">
        <v>1.5</v>
      </c>
      <c r="P78" s="248">
        <v>1.5</v>
      </c>
    </row>
    <row r="79">
      <c r="A79" s="243" t="s">
        <v>630</v>
      </c>
      <c r="B79" s="244">
        <v>1952.0</v>
      </c>
      <c r="C79" s="243" t="s">
        <v>480</v>
      </c>
      <c r="D79" s="243" t="s">
        <v>944</v>
      </c>
      <c r="E79" s="243" t="s">
        <v>1233</v>
      </c>
      <c r="F79" s="245">
        <v>5.0</v>
      </c>
      <c r="G79" s="245">
        <v>5.0</v>
      </c>
      <c r="H79" s="245">
        <v>0.0</v>
      </c>
      <c r="I79" s="245">
        <v>6.0</v>
      </c>
      <c r="J79" s="245">
        <v>6.0</v>
      </c>
      <c r="K79" s="245">
        <v>0.0</v>
      </c>
      <c r="L79" s="245">
        <v>8.0</v>
      </c>
      <c r="M79" s="245">
        <v>10.0</v>
      </c>
      <c r="N79" s="246">
        <v>1.0</v>
      </c>
      <c r="O79" s="247">
        <v>1.5</v>
      </c>
      <c r="P79" s="248">
        <v>1.5</v>
      </c>
    </row>
    <row r="80">
      <c r="A80" s="243" t="s">
        <v>1239</v>
      </c>
      <c r="B80" s="244">
        <v>1958.0</v>
      </c>
      <c r="C80" s="243" t="s">
        <v>507</v>
      </c>
      <c r="D80" s="243" t="s">
        <v>507</v>
      </c>
      <c r="E80" s="243" t="s">
        <v>1225</v>
      </c>
      <c r="F80" s="245">
        <v>9.0</v>
      </c>
      <c r="G80" s="245">
        <v>9.0</v>
      </c>
      <c r="H80" s="245">
        <v>0.0</v>
      </c>
      <c r="I80" s="245">
        <v>9.0</v>
      </c>
      <c r="J80" s="245">
        <v>9.0</v>
      </c>
      <c r="K80" s="245">
        <v>0.0</v>
      </c>
      <c r="L80" s="245">
        <v>17.0</v>
      </c>
      <c r="M80" s="245">
        <v>17.0</v>
      </c>
      <c r="N80" s="246">
        <v>2.0</v>
      </c>
      <c r="O80" s="247">
        <v>2.0</v>
      </c>
      <c r="P80" s="248">
        <v>2.5</v>
      </c>
    </row>
    <row r="81">
      <c r="A81" s="243" t="s">
        <v>280</v>
      </c>
      <c r="B81" s="244">
        <v>1976.0</v>
      </c>
      <c r="C81" s="243" t="s">
        <v>492</v>
      </c>
      <c r="D81" s="243" t="s">
        <v>930</v>
      </c>
      <c r="E81" s="243" t="s">
        <v>974</v>
      </c>
      <c r="F81" s="245">
        <v>7.0</v>
      </c>
      <c r="G81" s="245">
        <v>8.0</v>
      </c>
      <c r="H81" s="245">
        <v>-1.0</v>
      </c>
      <c r="I81" s="245">
        <v>8.0</v>
      </c>
      <c r="J81" s="245">
        <v>9.0</v>
      </c>
      <c r="K81" s="245">
        <v>-1.0</v>
      </c>
      <c r="L81" s="245">
        <v>18.0</v>
      </c>
      <c r="M81" s="245">
        <v>20.0</v>
      </c>
      <c r="N81" s="246">
        <v>2.0</v>
      </c>
      <c r="O81" s="247">
        <v>2.5</v>
      </c>
      <c r="P81" s="248">
        <v>3.0</v>
      </c>
    </row>
    <row r="82">
      <c r="A82" s="243" t="s">
        <v>1240</v>
      </c>
      <c r="B82" s="244">
        <v>1978.0</v>
      </c>
      <c r="C82" s="243" t="s">
        <v>492</v>
      </c>
      <c r="D82" s="243" t="s">
        <v>934</v>
      </c>
      <c r="E82" s="243" t="s">
        <v>1225</v>
      </c>
      <c r="F82" s="245">
        <v>6.0</v>
      </c>
      <c r="G82" s="245">
        <v>7.0</v>
      </c>
      <c r="H82" s="245">
        <v>-1.0</v>
      </c>
      <c r="I82" s="245">
        <v>6.0</v>
      </c>
      <c r="J82" s="245">
        <v>7.0</v>
      </c>
      <c r="K82" s="245">
        <v>-1.0</v>
      </c>
      <c r="L82" s="245">
        <v>16.0</v>
      </c>
      <c r="M82" s="245">
        <v>16.0</v>
      </c>
      <c r="N82" s="246">
        <v>2.0</v>
      </c>
      <c r="O82" s="247">
        <v>2.0</v>
      </c>
      <c r="P82" s="248">
        <v>2.5</v>
      </c>
    </row>
    <row r="83">
      <c r="A83" s="243" t="s">
        <v>1241</v>
      </c>
      <c r="B83" s="244">
        <v>1987.0</v>
      </c>
      <c r="C83" s="243" t="s">
        <v>492</v>
      </c>
      <c r="D83" s="243" t="s">
        <v>1242</v>
      </c>
      <c r="E83" s="243" t="s">
        <v>975</v>
      </c>
      <c r="F83" s="245">
        <v>3.0</v>
      </c>
      <c r="G83" s="245">
        <v>3.0</v>
      </c>
      <c r="H83" s="245">
        <v>0.0</v>
      </c>
      <c r="I83" s="245">
        <v>4.0</v>
      </c>
      <c r="J83" s="245">
        <v>4.0</v>
      </c>
      <c r="K83" s="245">
        <v>0.0</v>
      </c>
      <c r="L83" s="245">
        <v>6.0</v>
      </c>
      <c r="M83" s="245">
        <v>7.0</v>
      </c>
      <c r="N83" s="246">
        <v>1.0</v>
      </c>
      <c r="O83" s="247">
        <v>1.0</v>
      </c>
      <c r="P83" s="248">
        <v>1.0</v>
      </c>
    </row>
    <row r="84">
      <c r="A84" s="243" t="s">
        <v>1243</v>
      </c>
      <c r="B84" s="244">
        <v>2008.0</v>
      </c>
      <c r="C84" s="243" t="s">
        <v>492</v>
      </c>
      <c r="D84" s="243" t="s">
        <v>930</v>
      </c>
      <c r="E84" s="243" t="s">
        <v>972</v>
      </c>
      <c r="F84" s="245">
        <v>4.0</v>
      </c>
      <c r="G84" s="245">
        <v>3.0</v>
      </c>
      <c r="H84" s="245">
        <v>1.0</v>
      </c>
      <c r="I84" s="245">
        <v>4.0</v>
      </c>
      <c r="J84" s="245">
        <v>3.0</v>
      </c>
      <c r="K84" s="245">
        <v>1.0</v>
      </c>
      <c r="L84" s="245">
        <v>7.0</v>
      </c>
      <c r="M84" s="245">
        <v>7.0</v>
      </c>
      <c r="N84" s="246">
        <v>1.0</v>
      </c>
      <c r="O84" s="247">
        <v>1.0</v>
      </c>
      <c r="P84" s="248">
        <v>1.0</v>
      </c>
    </row>
    <row r="85">
      <c r="A85" s="243" t="s">
        <v>1108</v>
      </c>
      <c r="B85" s="244">
        <v>2012.0</v>
      </c>
      <c r="C85" s="243" t="s">
        <v>507</v>
      </c>
      <c r="D85" s="243" t="s">
        <v>512</v>
      </c>
      <c r="E85" s="243" t="s">
        <v>976</v>
      </c>
      <c r="F85" s="245">
        <v>11.0</v>
      </c>
      <c r="G85" s="245">
        <v>12.0</v>
      </c>
      <c r="H85" s="245">
        <v>-1.0</v>
      </c>
      <c r="I85" s="245">
        <v>9.0</v>
      </c>
      <c r="J85" s="245">
        <v>10.0</v>
      </c>
      <c r="K85" s="245">
        <v>-1.0</v>
      </c>
      <c r="L85" s="245">
        <v>22.0</v>
      </c>
      <c r="M85" s="245">
        <v>18.0</v>
      </c>
      <c r="N85" s="246">
        <v>2.0</v>
      </c>
      <c r="O85" s="247">
        <v>2.5</v>
      </c>
      <c r="P85" s="248">
        <v>2.5</v>
      </c>
    </row>
    <row r="86">
      <c r="A86" s="243" t="s">
        <v>740</v>
      </c>
      <c r="B86" s="244">
        <v>2038.0</v>
      </c>
      <c r="C86" s="243" t="s">
        <v>507</v>
      </c>
      <c r="D86" s="243" t="s">
        <v>512</v>
      </c>
      <c r="E86" s="243" t="s">
        <v>1026</v>
      </c>
      <c r="F86" s="245">
        <v>19.0</v>
      </c>
      <c r="G86" s="245">
        <v>18.0</v>
      </c>
      <c r="H86" s="245">
        <v>1.0</v>
      </c>
      <c r="I86" s="245">
        <v>18.0</v>
      </c>
      <c r="J86" s="245">
        <v>17.0</v>
      </c>
      <c r="K86" s="245">
        <v>1.0</v>
      </c>
      <c r="L86" s="245">
        <v>97.0</v>
      </c>
      <c r="M86" s="245">
        <v>95.0</v>
      </c>
      <c r="N86" s="246">
        <v>9.5</v>
      </c>
      <c r="O86" s="247">
        <v>11.0</v>
      </c>
      <c r="P86" s="248">
        <v>12.5</v>
      </c>
    </row>
    <row r="87">
      <c r="A87" s="243" t="s">
        <v>1180</v>
      </c>
      <c r="B87" s="244">
        <v>2061.0</v>
      </c>
      <c r="C87" s="243" t="s">
        <v>507</v>
      </c>
      <c r="D87" s="243" t="s">
        <v>512</v>
      </c>
      <c r="E87" s="243" t="s">
        <v>987</v>
      </c>
      <c r="F87" s="245">
        <v>12.0</v>
      </c>
      <c r="G87" s="245">
        <v>11.0</v>
      </c>
      <c r="H87" s="245">
        <v>1.0</v>
      </c>
      <c r="I87" s="245">
        <v>11.0</v>
      </c>
      <c r="J87" s="245">
        <v>10.0</v>
      </c>
      <c r="K87" s="245">
        <v>1.0</v>
      </c>
      <c r="L87" s="245">
        <v>15.0</v>
      </c>
      <c r="M87" s="245">
        <v>13.0</v>
      </c>
      <c r="N87" s="246">
        <v>1.5</v>
      </c>
      <c r="O87" s="247">
        <v>1.5</v>
      </c>
      <c r="P87" s="248">
        <v>2.0</v>
      </c>
    </row>
    <row r="88">
      <c r="A88" s="243" t="s">
        <v>803</v>
      </c>
      <c r="B88" s="244">
        <v>2077.0</v>
      </c>
      <c r="C88" s="243" t="s">
        <v>492</v>
      </c>
      <c r="D88" s="243" t="s">
        <v>934</v>
      </c>
      <c r="E88" s="243" t="s">
        <v>980</v>
      </c>
      <c r="F88" s="245">
        <v>14.0</v>
      </c>
      <c r="G88" s="245">
        <v>15.0</v>
      </c>
      <c r="H88" s="245">
        <v>-1.0</v>
      </c>
      <c r="I88" s="245">
        <v>14.0</v>
      </c>
      <c r="J88" s="245">
        <v>15.0</v>
      </c>
      <c r="K88" s="245">
        <v>-1.0</v>
      </c>
      <c r="L88" s="245">
        <v>52.0</v>
      </c>
      <c r="M88" s="245">
        <v>52.0</v>
      </c>
      <c r="N88" s="246">
        <v>5.5</v>
      </c>
      <c r="O88" s="247">
        <v>6.0</v>
      </c>
      <c r="P88" s="248">
        <v>7.0</v>
      </c>
    </row>
    <row r="89">
      <c r="A89" s="243" t="s">
        <v>1244</v>
      </c>
      <c r="B89" s="244">
        <v>2091.0</v>
      </c>
      <c r="C89" s="243" t="s">
        <v>477</v>
      </c>
      <c r="D89" s="243" t="s">
        <v>478</v>
      </c>
      <c r="E89" s="243" t="s">
        <v>1233</v>
      </c>
      <c r="F89" s="245">
        <v>1.0</v>
      </c>
      <c r="G89" s="245">
        <v>1.0</v>
      </c>
      <c r="H89" s="245">
        <v>0.0</v>
      </c>
      <c r="I89" s="245">
        <v>1.0</v>
      </c>
      <c r="J89" s="245">
        <v>1.0</v>
      </c>
      <c r="K89" s="245">
        <v>0.0</v>
      </c>
      <c r="L89" s="245">
        <v>1.0</v>
      </c>
      <c r="M89" s="245">
        <v>1.0</v>
      </c>
      <c r="N89" s="246">
        <v>0.5</v>
      </c>
      <c r="O89" s="247">
        <v>0.5</v>
      </c>
      <c r="P89" s="248">
        <v>0.5</v>
      </c>
    </row>
    <row r="90">
      <c r="A90" s="243" t="s">
        <v>108</v>
      </c>
      <c r="B90" s="244">
        <v>2097.0</v>
      </c>
      <c r="C90" s="243" t="s">
        <v>507</v>
      </c>
      <c r="D90" s="243" t="s">
        <v>512</v>
      </c>
      <c r="E90" s="243" t="s">
        <v>1033</v>
      </c>
      <c r="F90" s="245">
        <v>20.0</v>
      </c>
      <c r="G90" s="245">
        <v>21.0</v>
      </c>
      <c r="H90" s="245">
        <v>-1.0</v>
      </c>
      <c r="I90" s="245">
        <v>20.0</v>
      </c>
      <c r="J90" s="245">
        <v>21.0</v>
      </c>
      <c r="K90" s="245">
        <v>-1.0</v>
      </c>
      <c r="L90" s="245">
        <v>100.0</v>
      </c>
      <c r="M90" s="245">
        <v>97.0</v>
      </c>
      <c r="N90" s="246">
        <v>10.0</v>
      </c>
      <c r="O90" s="247">
        <v>11.5</v>
      </c>
      <c r="P90" s="248">
        <v>13.0</v>
      </c>
    </row>
    <row r="91">
      <c r="A91" s="243" t="s">
        <v>1245</v>
      </c>
      <c r="B91" s="244">
        <v>2103.0</v>
      </c>
      <c r="C91" s="243" t="s">
        <v>507</v>
      </c>
      <c r="D91" s="243" t="s">
        <v>512</v>
      </c>
      <c r="E91" s="243" t="s">
        <v>1222</v>
      </c>
      <c r="F91" s="245">
        <v>3.0</v>
      </c>
      <c r="G91" s="245">
        <v>3.0</v>
      </c>
      <c r="H91" s="245">
        <v>0.0</v>
      </c>
      <c r="I91" s="245">
        <v>3.0</v>
      </c>
      <c r="J91" s="245">
        <v>3.0</v>
      </c>
      <c r="K91" s="245">
        <v>0.0</v>
      </c>
      <c r="L91" s="245">
        <v>8.0</v>
      </c>
      <c r="M91" s="245">
        <v>6.0</v>
      </c>
      <c r="N91" s="246">
        <v>1.0</v>
      </c>
      <c r="O91" s="247">
        <v>1.0</v>
      </c>
      <c r="P91" s="248">
        <v>1.0</v>
      </c>
    </row>
    <row r="92">
      <c r="A92" s="243" t="s">
        <v>1084</v>
      </c>
      <c r="B92" s="244">
        <v>2117.0</v>
      </c>
      <c r="C92" s="243" t="s">
        <v>492</v>
      </c>
      <c r="D92" s="243" t="s">
        <v>934</v>
      </c>
      <c r="E92" s="243" t="s">
        <v>983</v>
      </c>
      <c r="F92" s="245">
        <v>4.0</v>
      </c>
      <c r="G92" s="245">
        <v>4.0</v>
      </c>
      <c r="H92" s="245">
        <v>0.0</v>
      </c>
      <c r="I92" s="245">
        <v>4.0</v>
      </c>
      <c r="J92" s="245">
        <v>4.0</v>
      </c>
      <c r="K92" s="245">
        <v>0.0</v>
      </c>
      <c r="L92" s="245">
        <v>7.0</v>
      </c>
      <c r="M92" s="245">
        <v>7.0</v>
      </c>
      <c r="N92" s="246">
        <v>1.0</v>
      </c>
      <c r="O92" s="247">
        <v>1.0</v>
      </c>
      <c r="P92" s="248">
        <v>1.0</v>
      </c>
    </row>
    <row r="93">
      <c r="A93" s="243" t="s">
        <v>192</v>
      </c>
      <c r="B93" s="244">
        <v>2120.0</v>
      </c>
      <c r="C93" s="243" t="s">
        <v>480</v>
      </c>
      <c r="D93" s="243" t="s">
        <v>481</v>
      </c>
      <c r="E93" s="243" t="s">
        <v>973</v>
      </c>
      <c r="F93" s="245">
        <v>16.0</v>
      </c>
      <c r="G93" s="245">
        <v>16.0</v>
      </c>
      <c r="H93" s="245">
        <v>0.0</v>
      </c>
      <c r="I93" s="245">
        <v>16.0</v>
      </c>
      <c r="J93" s="245">
        <v>16.0</v>
      </c>
      <c r="K93" s="245">
        <v>0.0</v>
      </c>
      <c r="L93" s="245">
        <v>50.0</v>
      </c>
      <c r="M93" s="245">
        <v>50.0</v>
      </c>
      <c r="N93" s="246">
        <v>5.0</v>
      </c>
      <c r="O93" s="247">
        <v>6.0</v>
      </c>
      <c r="P93" s="248">
        <v>6.5</v>
      </c>
    </row>
    <row r="94">
      <c r="A94" s="243" t="s">
        <v>204</v>
      </c>
      <c r="B94" s="244">
        <v>2134.0</v>
      </c>
      <c r="C94" s="243" t="s">
        <v>477</v>
      </c>
      <c r="D94" s="243" t="s">
        <v>478</v>
      </c>
      <c r="E94" s="243" t="s">
        <v>998</v>
      </c>
      <c r="F94" s="245">
        <v>8.0</v>
      </c>
      <c r="G94" s="245">
        <v>9.0</v>
      </c>
      <c r="H94" s="245">
        <v>-1.0</v>
      </c>
      <c r="I94" s="245">
        <v>8.0</v>
      </c>
      <c r="J94" s="245">
        <v>9.0</v>
      </c>
      <c r="K94" s="245">
        <v>-1.0</v>
      </c>
      <c r="L94" s="245">
        <v>29.0</v>
      </c>
      <c r="M94" s="245">
        <v>29.0</v>
      </c>
      <c r="N94" s="246">
        <v>3.0</v>
      </c>
      <c r="O94" s="247">
        <v>3.5</v>
      </c>
      <c r="P94" s="248">
        <v>4.0</v>
      </c>
    </row>
    <row r="95">
      <c r="A95" s="243" t="s">
        <v>452</v>
      </c>
      <c r="B95" s="244">
        <v>2137.0</v>
      </c>
      <c r="C95" s="243" t="s">
        <v>507</v>
      </c>
      <c r="D95" s="243" t="s">
        <v>512</v>
      </c>
      <c r="E95" s="243" t="s">
        <v>980</v>
      </c>
      <c r="F95" s="245">
        <v>27.0</v>
      </c>
      <c r="G95" s="245">
        <v>28.0</v>
      </c>
      <c r="H95" s="245">
        <v>-1.0</v>
      </c>
      <c r="I95" s="245">
        <v>26.0</v>
      </c>
      <c r="J95" s="245">
        <v>27.0</v>
      </c>
      <c r="K95" s="245">
        <v>-1.0</v>
      </c>
      <c r="L95" s="245">
        <v>145.0</v>
      </c>
      <c r="M95" s="245">
        <v>140.0</v>
      </c>
      <c r="N95" s="246">
        <v>14.0</v>
      </c>
      <c r="O95" s="247">
        <v>16.5</v>
      </c>
      <c r="P95" s="248">
        <v>18.5</v>
      </c>
    </row>
    <row r="96">
      <c r="A96" s="243" t="s">
        <v>716</v>
      </c>
      <c r="B96" s="244">
        <v>2155.0</v>
      </c>
      <c r="C96" s="243" t="s">
        <v>507</v>
      </c>
      <c r="D96" s="243" t="s">
        <v>512</v>
      </c>
      <c r="E96" s="243" t="s">
        <v>974</v>
      </c>
      <c r="F96" s="245">
        <v>10.0</v>
      </c>
      <c r="G96" s="245">
        <v>9.0</v>
      </c>
      <c r="H96" s="245">
        <v>1.0</v>
      </c>
      <c r="I96" s="245">
        <v>9.0</v>
      </c>
      <c r="J96" s="245">
        <v>8.0</v>
      </c>
      <c r="K96" s="245">
        <v>1.0</v>
      </c>
      <c r="L96" s="245">
        <v>23.0</v>
      </c>
      <c r="M96" s="245">
        <v>20.0</v>
      </c>
      <c r="N96" s="246">
        <v>2.0</v>
      </c>
      <c r="O96" s="247">
        <v>2.5</v>
      </c>
      <c r="P96" s="248">
        <v>3.0</v>
      </c>
    </row>
    <row r="97">
      <c r="A97" s="243" t="s">
        <v>662</v>
      </c>
      <c r="B97" s="244">
        <v>2160.0</v>
      </c>
      <c r="C97" s="243" t="s">
        <v>480</v>
      </c>
      <c r="D97" s="243" t="s">
        <v>521</v>
      </c>
      <c r="E97" s="243" t="s">
        <v>1033</v>
      </c>
      <c r="F97" s="245">
        <v>13.0</v>
      </c>
      <c r="G97" s="245">
        <v>13.0</v>
      </c>
      <c r="H97" s="245">
        <v>0.0</v>
      </c>
      <c r="I97" s="245">
        <v>12.0</v>
      </c>
      <c r="J97" s="245">
        <v>12.0</v>
      </c>
      <c r="K97" s="245">
        <v>0.0</v>
      </c>
      <c r="L97" s="245">
        <v>41.0</v>
      </c>
      <c r="M97" s="245">
        <v>37.0</v>
      </c>
      <c r="N97" s="246">
        <v>4.0</v>
      </c>
      <c r="O97" s="247">
        <v>4.5</v>
      </c>
      <c r="P97" s="248">
        <v>5.0</v>
      </c>
    </row>
    <row r="98">
      <c r="A98" s="243" t="s">
        <v>1246</v>
      </c>
      <c r="B98" s="244">
        <v>2161.0</v>
      </c>
      <c r="C98" s="243" t="s">
        <v>492</v>
      </c>
      <c r="D98" s="243" t="s">
        <v>930</v>
      </c>
      <c r="E98" s="243" t="s">
        <v>1222</v>
      </c>
      <c r="F98" s="245">
        <v>2.0</v>
      </c>
      <c r="G98" s="245">
        <v>2.0</v>
      </c>
      <c r="H98" s="245">
        <v>0.0</v>
      </c>
      <c r="I98" s="245">
        <v>2.0</v>
      </c>
      <c r="J98" s="245">
        <v>2.0</v>
      </c>
      <c r="K98" s="245">
        <v>0.0</v>
      </c>
      <c r="L98" s="245">
        <v>3.0</v>
      </c>
      <c r="M98" s="245">
        <v>3.0</v>
      </c>
      <c r="N98" s="246">
        <v>0.5</v>
      </c>
      <c r="O98" s="247">
        <v>0.5</v>
      </c>
      <c r="P98" s="248">
        <v>0.5</v>
      </c>
    </row>
    <row r="99">
      <c r="A99" s="243" t="s">
        <v>670</v>
      </c>
      <c r="B99" s="244">
        <v>2167.0</v>
      </c>
      <c r="C99" s="243" t="s">
        <v>492</v>
      </c>
      <c r="D99" s="243" t="s">
        <v>563</v>
      </c>
      <c r="E99" s="243" t="s">
        <v>1009</v>
      </c>
      <c r="F99" s="245">
        <v>21.0</v>
      </c>
      <c r="G99" s="245">
        <v>21.0</v>
      </c>
      <c r="H99" s="245">
        <v>0.0</v>
      </c>
      <c r="I99" s="245">
        <v>21.0</v>
      </c>
      <c r="J99" s="245">
        <v>21.0</v>
      </c>
      <c r="K99" s="245">
        <v>0.0</v>
      </c>
      <c r="L99" s="245">
        <v>90.0</v>
      </c>
      <c r="M99" s="245">
        <v>88.0</v>
      </c>
      <c r="N99" s="246">
        <v>9.0</v>
      </c>
      <c r="O99" s="247">
        <v>10.5</v>
      </c>
      <c r="P99" s="248">
        <v>11.5</v>
      </c>
    </row>
    <row r="100">
      <c r="A100" s="243" t="s">
        <v>734</v>
      </c>
      <c r="B100" s="244">
        <v>2170.0</v>
      </c>
      <c r="C100" s="243" t="s">
        <v>477</v>
      </c>
      <c r="D100" s="243" t="s">
        <v>478</v>
      </c>
      <c r="E100" s="243" t="s">
        <v>972</v>
      </c>
      <c r="F100" s="245">
        <v>12.0</v>
      </c>
      <c r="G100" s="245">
        <v>10.0</v>
      </c>
      <c r="H100" s="245">
        <v>2.0</v>
      </c>
      <c r="I100" s="245">
        <v>12.0</v>
      </c>
      <c r="J100" s="245">
        <v>10.0</v>
      </c>
      <c r="K100" s="245">
        <v>2.0</v>
      </c>
      <c r="L100" s="245">
        <v>47.0</v>
      </c>
      <c r="M100" s="245">
        <v>47.0</v>
      </c>
      <c r="N100" s="246">
        <v>5.0</v>
      </c>
      <c r="O100" s="247">
        <v>5.5</v>
      </c>
      <c r="P100" s="248">
        <v>6.5</v>
      </c>
    </row>
    <row r="101">
      <c r="A101" s="243" t="s">
        <v>946</v>
      </c>
      <c r="B101" s="244">
        <v>2172.0</v>
      </c>
      <c r="C101" s="243" t="s">
        <v>492</v>
      </c>
      <c r="D101" s="243" t="s">
        <v>543</v>
      </c>
      <c r="E101" s="243" t="s">
        <v>1033</v>
      </c>
      <c r="F101" s="245">
        <v>6.0</v>
      </c>
      <c r="G101" s="245">
        <v>6.0</v>
      </c>
      <c r="H101" s="245">
        <v>0.0</v>
      </c>
      <c r="I101" s="245">
        <v>6.0</v>
      </c>
      <c r="J101" s="245">
        <v>6.0</v>
      </c>
      <c r="K101" s="245">
        <v>0.0</v>
      </c>
      <c r="L101" s="245">
        <v>14.0</v>
      </c>
      <c r="M101" s="245">
        <v>12.0</v>
      </c>
      <c r="N101" s="246">
        <v>1.5</v>
      </c>
      <c r="O101" s="247">
        <v>1.5</v>
      </c>
      <c r="P101" s="248">
        <v>2.0</v>
      </c>
    </row>
    <row r="102">
      <c r="A102" s="243" t="s">
        <v>809</v>
      </c>
      <c r="B102" s="244">
        <v>2178.0</v>
      </c>
      <c r="C102" s="243" t="s">
        <v>477</v>
      </c>
      <c r="D102" s="243" t="s">
        <v>478</v>
      </c>
      <c r="E102" s="243" t="s">
        <v>1225</v>
      </c>
      <c r="F102" s="245">
        <v>1.0</v>
      </c>
      <c r="G102" s="245">
        <v>1.0</v>
      </c>
      <c r="H102" s="245">
        <v>0.0</v>
      </c>
      <c r="I102" s="245">
        <v>1.0</v>
      </c>
      <c r="J102" s="245">
        <v>1.0</v>
      </c>
      <c r="K102" s="245">
        <v>0.0</v>
      </c>
      <c r="L102" s="245">
        <v>1.0</v>
      </c>
      <c r="M102" s="245">
        <v>1.0</v>
      </c>
      <c r="N102" s="246">
        <v>0.5</v>
      </c>
      <c r="O102" s="247">
        <v>0.5</v>
      </c>
      <c r="P102" s="248">
        <v>0.5</v>
      </c>
    </row>
    <row r="103">
      <c r="A103" s="243" t="s">
        <v>1247</v>
      </c>
      <c r="B103" s="244">
        <v>2181.0</v>
      </c>
      <c r="C103" s="243" t="s">
        <v>480</v>
      </c>
      <c r="D103" s="243" t="s">
        <v>481</v>
      </c>
      <c r="E103" s="243" t="s">
        <v>975</v>
      </c>
      <c r="F103" s="245">
        <v>5.0</v>
      </c>
      <c r="G103" s="245">
        <v>5.0</v>
      </c>
      <c r="H103" s="245">
        <v>0.0</v>
      </c>
      <c r="I103" s="245">
        <v>5.0</v>
      </c>
      <c r="J103" s="245">
        <v>5.0</v>
      </c>
      <c r="K103" s="245">
        <v>0.0</v>
      </c>
      <c r="L103" s="245">
        <v>8.0</v>
      </c>
      <c r="M103" s="245">
        <v>8.0</v>
      </c>
      <c r="N103" s="246">
        <v>1.0</v>
      </c>
      <c r="O103" s="247">
        <v>1.0</v>
      </c>
      <c r="P103" s="248">
        <v>1.5</v>
      </c>
    </row>
    <row r="104">
      <c r="A104" s="243" t="s">
        <v>793</v>
      </c>
      <c r="B104" s="244">
        <v>2188.0</v>
      </c>
      <c r="C104" s="243" t="s">
        <v>480</v>
      </c>
      <c r="D104" s="243" t="s">
        <v>944</v>
      </c>
      <c r="E104" s="243" t="s">
        <v>1000</v>
      </c>
      <c r="F104" s="245">
        <v>6.0</v>
      </c>
      <c r="G104" s="245">
        <v>6.0</v>
      </c>
      <c r="H104" s="245">
        <v>0.0</v>
      </c>
      <c r="I104" s="245">
        <v>7.0</v>
      </c>
      <c r="J104" s="245">
        <v>7.0</v>
      </c>
      <c r="K104" s="245">
        <v>0.0</v>
      </c>
      <c r="L104" s="245">
        <v>10.0</v>
      </c>
      <c r="M104" s="245">
        <v>12.0</v>
      </c>
      <c r="N104" s="246">
        <v>1.5</v>
      </c>
      <c r="O104" s="247">
        <v>1.5</v>
      </c>
      <c r="P104" s="248">
        <v>2.0</v>
      </c>
    </row>
    <row r="105">
      <c r="A105" s="243" t="s">
        <v>1248</v>
      </c>
      <c r="B105" s="244">
        <v>2192.0</v>
      </c>
      <c r="C105" s="243" t="s">
        <v>480</v>
      </c>
      <c r="D105" s="243" t="s">
        <v>481</v>
      </c>
      <c r="E105" s="243" t="s">
        <v>998</v>
      </c>
      <c r="F105" s="245">
        <v>2.0</v>
      </c>
      <c r="G105" s="245">
        <v>2.0</v>
      </c>
      <c r="H105" s="245">
        <v>0.0</v>
      </c>
      <c r="I105" s="245">
        <v>2.0</v>
      </c>
      <c r="J105" s="245">
        <v>2.0</v>
      </c>
      <c r="K105" s="245">
        <v>0.0</v>
      </c>
      <c r="L105" s="245">
        <v>4.0</v>
      </c>
      <c r="M105" s="245">
        <v>4.0</v>
      </c>
      <c r="N105" s="246">
        <v>0.5</v>
      </c>
      <c r="O105" s="247">
        <v>0.5</v>
      </c>
      <c r="P105" s="248">
        <v>1.0</v>
      </c>
    </row>
    <row r="106">
      <c r="A106" s="243" t="s">
        <v>719</v>
      </c>
      <c r="B106" s="244">
        <v>2194.0</v>
      </c>
      <c r="C106" s="243" t="s">
        <v>492</v>
      </c>
      <c r="D106" s="243" t="s">
        <v>930</v>
      </c>
      <c r="E106" s="243" t="s">
        <v>973</v>
      </c>
      <c r="F106" s="245">
        <v>28.0</v>
      </c>
      <c r="G106" s="245">
        <v>28.0</v>
      </c>
      <c r="H106" s="245">
        <v>0.0</v>
      </c>
      <c r="I106" s="245">
        <v>30.0</v>
      </c>
      <c r="J106" s="245">
        <v>30.0</v>
      </c>
      <c r="K106" s="245">
        <v>0.0</v>
      </c>
      <c r="L106" s="245">
        <v>163.0</v>
      </c>
      <c r="M106" s="245">
        <v>183.0</v>
      </c>
      <c r="N106" s="246">
        <v>18.5</v>
      </c>
      <c r="O106" s="247">
        <v>21.5</v>
      </c>
      <c r="P106" s="248">
        <v>24.0</v>
      </c>
    </row>
    <row r="107">
      <c r="A107" s="243" t="s">
        <v>1249</v>
      </c>
      <c r="B107" s="244">
        <v>2203.0</v>
      </c>
      <c r="C107" s="243" t="s">
        <v>480</v>
      </c>
      <c r="D107" s="243" t="s">
        <v>931</v>
      </c>
      <c r="E107" s="243" t="s">
        <v>985</v>
      </c>
      <c r="F107" s="245">
        <v>1.0</v>
      </c>
      <c r="G107" s="245">
        <v>1.0</v>
      </c>
      <c r="H107" s="245">
        <v>0.0</v>
      </c>
      <c r="I107" s="245">
        <v>1.0</v>
      </c>
      <c r="J107" s="245">
        <v>1.0</v>
      </c>
      <c r="K107" s="245">
        <v>0.0</v>
      </c>
      <c r="L107" s="245">
        <v>1.0</v>
      </c>
      <c r="M107" s="245">
        <v>1.0</v>
      </c>
      <c r="N107" s="246">
        <v>0.5</v>
      </c>
      <c r="O107" s="247">
        <v>0.5</v>
      </c>
      <c r="P107" s="248">
        <v>0.5</v>
      </c>
    </row>
    <row r="108">
      <c r="A108" s="243" t="s">
        <v>788</v>
      </c>
      <c r="B108" s="244">
        <v>2263.0</v>
      </c>
      <c r="C108" s="243" t="s">
        <v>480</v>
      </c>
      <c r="D108" s="243" t="s">
        <v>938</v>
      </c>
      <c r="E108" s="243" t="s">
        <v>1000</v>
      </c>
      <c r="F108" s="245">
        <v>6.0</v>
      </c>
      <c r="G108" s="245">
        <v>5.0</v>
      </c>
      <c r="H108" s="245">
        <v>1.0</v>
      </c>
      <c r="I108" s="245">
        <v>6.0</v>
      </c>
      <c r="J108" s="245">
        <v>5.0</v>
      </c>
      <c r="K108" s="245">
        <v>1.0</v>
      </c>
      <c r="L108" s="245">
        <v>12.0</v>
      </c>
      <c r="M108" s="245">
        <v>12.0</v>
      </c>
      <c r="N108" s="246">
        <v>1.5</v>
      </c>
      <c r="O108" s="247">
        <v>1.5</v>
      </c>
      <c r="P108" s="248">
        <v>2.0</v>
      </c>
    </row>
    <row r="109">
      <c r="A109" s="243" t="s">
        <v>1204</v>
      </c>
      <c r="B109" s="244">
        <v>2274.0</v>
      </c>
      <c r="C109" s="243" t="s">
        <v>492</v>
      </c>
      <c r="D109" s="243" t="s">
        <v>934</v>
      </c>
      <c r="E109" s="243" t="s">
        <v>1225</v>
      </c>
      <c r="F109" s="245">
        <v>6.0</v>
      </c>
      <c r="G109" s="245">
        <v>6.0</v>
      </c>
      <c r="H109" s="245">
        <v>0.0</v>
      </c>
      <c r="I109" s="245">
        <v>6.0</v>
      </c>
      <c r="J109" s="245">
        <v>6.0</v>
      </c>
      <c r="K109" s="245">
        <v>0.0</v>
      </c>
      <c r="L109" s="245">
        <v>13.0</v>
      </c>
      <c r="M109" s="245">
        <v>13.0</v>
      </c>
      <c r="N109" s="246">
        <v>1.5</v>
      </c>
      <c r="O109" s="247">
        <v>1.5</v>
      </c>
      <c r="P109" s="248">
        <v>2.0</v>
      </c>
    </row>
    <row r="110">
      <c r="A110" s="243" t="s">
        <v>858</v>
      </c>
      <c r="B110" s="244">
        <v>2285.0</v>
      </c>
      <c r="C110" s="243" t="s">
        <v>480</v>
      </c>
      <c r="D110" s="243" t="s">
        <v>481</v>
      </c>
      <c r="E110" s="243" t="s">
        <v>1026</v>
      </c>
      <c r="F110" s="245">
        <v>7.0</v>
      </c>
      <c r="G110" s="245">
        <v>7.0</v>
      </c>
      <c r="H110" s="245">
        <v>0.0</v>
      </c>
      <c r="I110" s="245">
        <v>7.0</v>
      </c>
      <c r="J110" s="245">
        <v>7.0</v>
      </c>
      <c r="K110" s="245">
        <v>0.0</v>
      </c>
      <c r="L110" s="245">
        <v>14.0</v>
      </c>
      <c r="M110" s="245">
        <v>14.0</v>
      </c>
      <c r="N110" s="246">
        <v>1.5</v>
      </c>
      <c r="O110" s="247">
        <v>2.0</v>
      </c>
      <c r="P110" s="248">
        <v>2.0</v>
      </c>
    </row>
    <row r="111">
      <c r="A111" s="243" t="s">
        <v>70</v>
      </c>
      <c r="B111" s="244">
        <v>2296.0</v>
      </c>
      <c r="C111" s="243" t="s">
        <v>480</v>
      </c>
      <c r="D111" s="243" t="s">
        <v>481</v>
      </c>
      <c r="E111" s="243" t="s">
        <v>988</v>
      </c>
      <c r="F111" s="245">
        <v>11.0</v>
      </c>
      <c r="G111" s="245">
        <v>10.0</v>
      </c>
      <c r="H111" s="245">
        <v>1.0</v>
      </c>
      <c r="I111" s="245">
        <v>11.0</v>
      </c>
      <c r="J111" s="245">
        <v>10.0</v>
      </c>
      <c r="K111" s="245">
        <v>1.0</v>
      </c>
      <c r="L111" s="245">
        <v>26.0</v>
      </c>
      <c r="M111" s="245">
        <v>26.0</v>
      </c>
      <c r="N111" s="246">
        <v>3.0</v>
      </c>
      <c r="O111" s="247">
        <v>3.0</v>
      </c>
      <c r="P111" s="248">
        <v>3.5</v>
      </c>
    </row>
    <row r="112">
      <c r="A112" s="243" t="s">
        <v>418</v>
      </c>
      <c r="B112" s="244">
        <v>2297.0</v>
      </c>
      <c r="C112" s="243" t="s">
        <v>477</v>
      </c>
      <c r="D112" s="243" t="s">
        <v>478</v>
      </c>
      <c r="E112" s="243" t="s">
        <v>980</v>
      </c>
      <c r="F112" s="245">
        <v>1.0</v>
      </c>
      <c r="G112" s="245">
        <v>1.0</v>
      </c>
      <c r="H112" s="245">
        <v>0.0</v>
      </c>
      <c r="I112" s="245">
        <v>1.0</v>
      </c>
      <c r="J112" s="245">
        <v>1.0</v>
      </c>
      <c r="K112" s="245">
        <v>0.0</v>
      </c>
      <c r="L112" s="245">
        <v>1.0</v>
      </c>
      <c r="M112" s="245">
        <v>1.0</v>
      </c>
      <c r="N112" s="246">
        <v>0.5</v>
      </c>
      <c r="O112" s="247">
        <v>0.5</v>
      </c>
      <c r="P112" s="248">
        <v>0.5</v>
      </c>
    </row>
    <row r="113">
      <c r="A113" s="243" t="s">
        <v>1250</v>
      </c>
      <c r="B113" s="244">
        <v>2325.0</v>
      </c>
      <c r="C113" s="243" t="s">
        <v>507</v>
      </c>
      <c r="D113" s="243" t="s">
        <v>507</v>
      </c>
      <c r="E113" s="243" t="s">
        <v>972</v>
      </c>
      <c r="F113" s="245">
        <v>1.0</v>
      </c>
      <c r="G113" s="245">
        <v>1.0</v>
      </c>
      <c r="H113" s="245">
        <v>0.0</v>
      </c>
      <c r="I113" s="245">
        <v>1.0</v>
      </c>
      <c r="J113" s="245">
        <v>1.0</v>
      </c>
      <c r="K113" s="245">
        <v>0.0</v>
      </c>
      <c r="L113" s="245">
        <v>1.0</v>
      </c>
      <c r="M113" s="245">
        <v>1.0</v>
      </c>
      <c r="N113" s="246">
        <v>0.5</v>
      </c>
      <c r="O113" s="247">
        <v>0.5</v>
      </c>
      <c r="P113" s="248">
        <v>0.5</v>
      </c>
    </row>
    <row r="114">
      <c r="A114" s="243" t="s">
        <v>1251</v>
      </c>
      <c r="B114" s="244">
        <v>2357.0</v>
      </c>
      <c r="C114" s="243" t="s">
        <v>492</v>
      </c>
      <c r="D114" s="243" t="s">
        <v>930</v>
      </c>
      <c r="E114" s="243" t="s">
        <v>985</v>
      </c>
      <c r="F114" s="245">
        <v>3.0</v>
      </c>
      <c r="G114" s="245">
        <v>2.0</v>
      </c>
      <c r="H114" s="245">
        <v>1.0</v>
      </c>
      <c r="I114" s="245">
        <v>3.0</v>
      </c>
      <c r="J114" s="245">
        <v>2.0</v>
      </c>
      <c r="K114" s="245">
        <v>1.0</v>
      </c>
      <c r="L114" s="245">
        <v>2.0</v>
      </c>
      <c r="M114" s="245">
        <v>2.0</v>
      </c>
      <c r="N114" s="246">
        <v>0.5</v>
      </c>
      <c r="O114" s="247">
        <v>0.5</v>
      </c>
      <c r="P114" s="248">
        <v>0.5</v>
      </c>
    </row>
    <row r="115">
      <c r="A115" s="243" t="s">
        <v>857</v>
      </c>
      <c r="B115" s="244">
        <v>2369.0</v>
      </c>
      <c r="C115" s="243" t="s">
        <v>507</v>
      </c>
      <c r="D115" s="243" t="s">
        <v>507</v>
      </c>
      <c r="E115" s="243" t="s">
        <v>993</v>
      </c>
      <c r="F115" s="245">
        <v>11.0</v>
      </c>
      <c r="G115" s="245">
        <v>10.0</v>
      </c>
      <c r="H115" s="245">
        <v>1.0</v>
      </c>
      <c r="I115" s="245">
        <v>11.0</v>
      </c>
      <c r="J115" s="245">
        <v>10.0</v>
      </c>
      <c r="K115" s="245">
        <v>1.0</v>
      </c>
      <c r="L115" s="245">
        <v>37.0</v>
      </c>
      <c r="M115" s="245">
        <v>37.0</v>
      </c>
      <c r="N115" s="246">
        <v>4.0</v>
      </c>
      <c r="O115" s="247">
        <v>4.5</v>
      </c>
      <c r="P115" s="248">
        <v>5.0</v>
      </c>
    </row>
    <row r="116">
      <c r="A116" s="243" t="s">
        <v>1066</v>
      </c>
      <c r="B116" s="244">
        <v>2401.0</v>
      </c>
      <c r="C116" s="243" t="s">
        <v>477</v>
      </c>
      <c r="D116" s="243" t="s">
        <v>478</v>
      </c>
      <c r="E116" s="243" t="s">
        <v>998</v>
      </c>
      <c r="F116" s="245">
        <v>1.0</v>
      </c>
      <c r="G116" s="245">
        <v>1.0</v>
      </c>
      <c r="H116" s="245">
        <v>0.0</v>
      </c>
      <c r="I116" s="245">
        <v>1.0</v>
      </c>
      <c r="J116" s="245">
        <v>1.0</v>
      </c>
      <c r="K116" s="245">
        <v>0.0</v>
      </c>
      <c r="L116" s="245">
        <v>1.0</v>
      </c>
      <c r="M116" s="245">
        <v>1.0</v>
      </c>
      <c r="N116" s="246">
        <v>0.5</v>
      </c>
      <c r="O116" s="247">
        <v>0.5</v>
      </c>
      <c r="P116" s="248">
        <v>0.5</v>
      </c>
    </row>
    <row r="117">
      <c r="A117" s="243" t="s">
        <v>755</v>
      </c>
      <c r="B117" s="244">
        <v>2406.0</v>
      </c>
      <c r="C117" s="243" t="s">
        <v>480</v>
      </c>
      <c r="D117" s="243" t="s">
        <v>481</v>
      </c>
      <c r="E117" s="243" t="s">
        <v>988</v>
      </c>
      <c r="F117" s="245">
        <v>7.0</v>
      </c>
      <c r="G117" s="245">
        <v>8.0</v>
      </c>
      <c r="H117" s="245">
        <v>-1.0</v>
      </c>
      <c r="I117" s="245">
        <v>7.0</v>
      </c>
      <c r="J117" s="245">
        <v>8.0</v>
      </c>
      <c r="K117" s="245">
        <v>-1.0</v>
      </c>
      <c r="L117" s="245">
        <v>15.0</v>
      </c>
      <c r="M117" s="245">
        <v>19.0</v>
      </c>
      <c r="N117" s="249"/>
      <c r="O117" s="249"/>
      <c r="P117" s="249"/>
    </row>
    <row r="118">
      <c r="A118" s="243" t="s">
        <v>125</v>
      </c>
      <c r="B118" s="244">
        <v>2423.0</v>
      </c>
      <c r="C118" s="243" t="s">
        <v>492</v>
      </c>
      <c r="D118" s="243" t="s">
        <v>947</v>
      </c>
      <c r="E118" s="243" t="s">
        <v>991</v>
      </c>
      <c r="F118" s="245">
        <v>30.0</v>
      </c>
      <c r="G118" s="245">
        <v>30.0</v>
      </c>
      <c r="H118" s="245">
        <v>0.0</v>
      </c>
      <c r="I118" s="245">
        <v>29.0</v>
      </c>
      <c r="J118" s="245">
        <v>29.0</v>
      </c>
      <c r="K118" s="245">
        <v>0.0</v>
      </c>
      <c r="L118" s="245">
        <v>180.0</v>
      </c>
      <c r="M118" s="245">
        <v>180.0</v>
      </c>
      <c r="N118" s="246">
        <v>18.0</v>
      </c>
      <c r="O118" s="247">
        <v>21.0</v>
      </c>
      <c r="P118" s="248">
        <v>23.5</v>
      </c>
    </row>
    <row r="119">
      <c r="A119" s="243" t="s">
        <v>382</v>
      </c>
      <c r="B119" s="244">
        <v>2428.0</v>
      </c>
      <c r="C119" s="243" t="s">
        <v>477</v>
      </c>
      <c r="D119" s="243" t="s">
        <v>478</v>
      </c>
      <c r="E119" s="243" t="s">
        <v>973</v>
      </c>
      <c r="F119" s="245">
        <v>19.0</v>
      </c>
      <c r="G119" s="245">
        <v>18.0</v>
      </c>
      <c r="H119" s="245">
        <v>1.0</v>
      </c>
      <c r="I119" s="245">
        <v>19.0</v>
      </c>
      <c r="J119" s="245">
        <v>18.0</v>
      </c>
      <c r="K119" s="245">
        <v>1.0</v>
      </c>
      <c r="L119" s="245">
        <v>111.0</v>
      </c>
      <c r="M119" s="245">
        <v>111.0</v>
      </c>
      <c r="N119" s="246">
        <v>11.5</v>
      </c>
      <c r="O119" s="247">
        <v>13.0</v>
      </c>
      <c r="P119" s="248">
        <v>14.5</v>
      </c>
    </row>
    <row r="120">
      <c r="A120" s="243" t="s">
        <v>883</v>
      </c>
      <c r="B120" s="244">
        <v>2438.0</v>
      </c>
      <c r="C120" s="243" t="s">
        <v>507</v>
      </c>
      <c r="D120" s="243" t="s">
        <v>512</v>
      </c>
      <c r="E120" s="243" t="s">
        <v>991</v>
      </c>
      <c r="F120" s="245">
        <v>9.0</v>
      </c>
      <c r="G120" s="245">
        <v>10.0</v>
      </c>
      <c r="H120" s="245">
        <v>-1.0</v>
      </c>
      <c r="I120" s="245">
        <v>8.0</v>
      </c>
      <c r="J120" s="245">
        <v>9.0</v>
      </c>
      <c r="K120" s="245">
        <v>-1.0</v>
      </c>
      <c r="L120" s="245">
        <v>16.0</v>
      </c>
      <c r="M120" s="245">
        <v>15.0</v>
      </c>
      <c r="N120" s="246">
        <v>1.5</v>
      </c>
      <c r="O120" s="247">
        <v>2.0</v>
      </c>
      <c r="P120" s="248">
        <v>2.0</v>
      </c>
    </row>
    <row r="121">
      <c r="A121" s="243" t="s">
        <v>1252</v>
      </c>
      <c r="B121" s="244">
        <v>2475.0</v>
      </c>
      <c r="C121" s="243" t="s">
        <v>507</v>
      </c>
      <c r="D121" s="243" t="s">
        <v>507</v>
      </c>
      <c r="E121" s="243" t="s">
        <v>993</v>
      </c>
      <c r="F121" s="245">
        <v>15.0</v>
      </c>
      <c r="G121" s="245">
        <v>16.0</v>
      </c>
      <c r="H121" s="245">
        <v>-1.0</v>
      </c>
      <c r="I121" s="245">
        <v>15.0</v>
      </c>
      <c r="J121" s="245">
        <v>16.0</v>
      </c>
      <c r="K121" s="245">
        <v>-1.0</v>
      </c>
      <c r="L121" s="245">
        <v>70.0</v>
      </c>
      <c r="M121" s="245">
        <v>70.0</v>
      </c>
      <c r="N121" s="246">
        <v>7.0</v>
      </c>
      <c r="O121" s="247">
        <v>8.5</v>
      </c>
      <c r="P121" s="248">
        <v>9.5</v>
      </c>
    </row>
    <row r="122">
      <c r="A122" s="243" t="s">
        <v>233</v>
      </c>
      <c r="B122" s="244">
        <v>2489.0</v>
      </c>
      <c r="C122" s="243" t="s">
        <v>507</v>
      </c>
      <c r="D122" s="243" t="s">
        <v>507</v>
      </c>
      <c r="E122" s="243" t="s">
        <v>1000</v>
      </c>
      <c r="F122" s="245">
        <v>3.0</v>
      </c>
      <c r="G122" s="245">
        <v>3.0</v>
      </c>
      <c r="H122" s="245">
        <v>0.0</v>
      </c>
      <c r="I122" s="245">
        <v>3.0</v>
      </c>
      <c r="J122" s="245">
        <v>3.0</v>
      </c>
      <c r="K122" s="245">
        <v>0.0</v>
      </c>
      <c r="L122" s="245">
        <v>5.0</v>
      </c>
      <c r="M122" s="245">
        <v>5.0</v>
      </c>
      <c r="N122" s="246">
        <v>0.5</v>
      </c>
      <c r="O122" s="247">
        <v>1.0</v>
      </c>
      <c r="P122" s="248">
        <v>1.0</v>
      </c>
    </row>
    <row r="123">
      <c r="A123" s="243" t="s">
        <v>687</v>
      </c>
      <c r="B123" s="244">
        <v>2521.0</v>
      </c>
      <c r="C123" s="243" t="s">
        <v>477</v>
      </c>
      <c r="D123" s="243" t="s">
        <v>478</v>
      </c>
      <c r="E123" s="243" t="s">
        <v>1033</v>
      </c>
      <c r="F123" s="245">
        <v>10.0</v>
      </c>
      <c r="G123" s="245">
        <v>11.0</v>
      </c>
      <c r="H123" s="245">
        <v>-1.0</v>
      </c>
      <c r="I123" s="245">
        <v>10.0</v>
      </c>
      <c r="J123" s="245">
        <v>11.0</v>
      </c>
      <c r="K123" s="245">
        <v>-1.0</v>
      </c>
      <c r="L123" s="245">
        <v>39.0</v>
      </c>
      <c r="M123" s="245">
        <v>39.0</v>
      </c>
      <c r="N123" s="246">
        <v>4.0</v>
      </c>
      <c r="O123" s="247">
        <v>4.5</v>
      </c>
      <c r="P123" s="248">
        <v>5.5</v>
      </c>
    </row>
    <row r="124">
      <c r="A124" s="243" t="s">
        <v>193</v>
      </c>
      <c r="B124" s="244">
        <v>2525.0</v>
      </c>
      <c r="C124" s="243" t="s">
        <v>480</v>
      </c>
      <c r="D124" s="243" t="s">
        <v>1019</v>
      </c>
      <c r="E124" s="243" t="s">
        <v>973</v>
      </c>
      <c r="F124" s="245">
        <v>9.0</v>
      </c>
      <c r="G124" s="245">
        <v>8.0</v>
      </c>
      <c r="H124" s="245">
        <v>1.0</v>
      </c>
      <c r="I124" s="245">
        <v>10.0</v>
      </c>
      <c r="J124" s="245">
        <v>9.0</v>
      </c>
      <c r="K124" s="245">
        <v>1.0</v>
      </c>
      <c r="L124" s="245">
        <v>21.0</v>
      </c>
      <c r="M124" s="245">
        <v>24.0</v>
      </c>
      <c r="N124" s="246">
        <v>2.5</v>
      </c>
      <c r="O124" s="247">
        <v>3.0</v>
      </c>
      <c r="P124" s="248">
        <v>3.5</v>
      </c>
    </row>
    <row r="125">
      <c r="A125" s="243" t="s">
        <v>703</v>
      </c>
      <c r="B125" s="244">
        <v>2529.0</v>
      </c>
      <c r="C125" s="243" t="s">
        <v>492</v>
      </c>
      <c r="D125" s="243" t="s">
        <v>492</v>
      </c>
      <c r="E125" s="243" t="s">
        <v>973</v>
      </c>
      <c r="F125" s="245">
        <v>15.0</v>
      </c>
      <c r="G125" s="245">
        <v>15.0</v>
      </c>
      <c r="H125" s="245">
        <v>0.0</v>
      </c>
      <c r="I125" s="245">
        <v>14.0</v>
      </c>
      <c r="J125" s="245">
        <v>14.0</v>
      </c>
      <c r="K125" s="245">
        <v>0.0</v>
      </c>
      <c r="L125" s="245">
        <v>39.0</v>
      </c>
      <c r="M125" s="245">
        <v>39.0</v>
      </c>
      <c r="N125" s="246">
        <v>4.0</v>
      </c>
      <c r="O125" s="247">
        <v>4.5</v>
      </c>
      <c r="P125" s="248">
        <v>5.5</v>
      </c>
    </row>
    <row r="126">
      <c r="A126" s="243" t="s">
        <v>685</v>
      </c>
      <c r="B126" s="244">
        <v>2531.0</v>
      </c>
      <c r="C126" s="243" t="s">
        <v>507</v>
      </c>
      <c r="D126" s="243" t="s">
        <v>512</v>
      </c>
      <c r="E126" s="243" t="s">
        <v>987</v>
      </c>
      <c r="F126" s="245">
        <v>33.0</v>
      </c>
      <c r="G126" s="245">
        <v>33.0</v>
      </c>
      <c r="H126" s="245">
        <v>0.0</v>
      </c>
      <c r="I126" s="245">
        <v>33.0</v>
      </c>
      <c r="J126" s="245">
        <v>33.0</v>
      </c>
      <c r="K126" s="245">
        <v>0.0</v>
      </c>
      <c r="L126" s="245">
        <v>340.0</v>
      </c>
      <c r="M126" s="245">
        <v>340.0</v>
      </c>
      <c r="N126" s="246">
        <v>34.0</v>
      </c>
      <c r="O126" s="247">
        <v>39.5</v>
      </c>
      <c r="P126" s="248">
        <v>44.5</v>
      </c>
    </row>
    <row r="127">
      <c r="A127" s="243" t="s">
        <v>877</v>
      </c>
      <c r="B127" s="244">
        <v>2544.0</v>
      </c>
      <c r="C127" s="243" t="s">
        <v>507</v>
      </c>
      <c r="D127" s="243" t="s">
        <v>512</v>
      </c>
      <c r="E127" s="243" t="s">
        <v>991</v>
      </c>
      <c r="F127" s="245">
        <v>12.0</v>
      </c>
      <c r="G127" s="245">
        <v>13.0</v>
      </c>
      <c r="H127" s="245">
        <v>-1.0</v>
      </c>
      <c r="I127" s="245">
        <v>12.0</v>
      </c>
      <c r="J127" s="245">
        <v>13.0</v>
      </c>
      <c r="K127" s="245">
        <v>-1.0</v>
      </c>
      <c r="L127" s="245">
        <v>30.0</v>
      </c>
      <c r="M127" s="245">
        <v>27.0</v>
      </c>
      <c r="N127" s="246">
        <v>3.0</v>
      </c>
      <c r="O127" s="247">
        <v>3.5</v>
      </c>
      <c r="P127" s="248">
        <v>4.0</v>
      </c>
    </row>
    <row r="128">
      <c r="A128" s="243" t="s">
        <v>841</v>
      </c>
      <c r="B128" s="244">
        <v>2593.0</v>
      </c>
      <c r="C128" s="243" t="s">
        <v>480</v>
      </c>
      <c r="D128" s="243" t="s">
        <v>931</v>
      </c>
      <c r="E128" s="243" t="s">
        <v>1026</v>
      </c>
      <c r="F128" s="245">
        <v>5.0</v>
      </c>
      <c r="G128" s="245">
        <v>4.0</v>
      </c>
      <c r="H128" s="245">
        <v>1.0</v>
      </c>
      <c r="I128" s="245">
        <v>5.0</v>
      </c>
      <c r="J128" s="245">
        <v>4.0</v>
      </c>
      <c r="K128" s="245">
        <v>1.0</v>
      </c>
      <c r="L128" s="245">
        <v>13.0</v>
      </c>
      <c r="M128" s="245">
        <v>13.0</v>
      </c>
      <c r="N128" s="246">
        <v>1.5</v>
      </c>
      <c r="O128" s="247">
        <v>1.5</v>
      </c>
      <c r="P128" s="248">
        <v>2.0</v>
      </c>
    </row>
    <row r="129">
      <c r="A129" s="243" t="s">
        <v>1253</v>
      </c>
      <c r="B129" s="244">
        <v>2602.0</v>
      </c>
      <c r="C129" s="243" t="s">
        <v>480</v>
      </c>
      <c r="D129" s="243" t="s">
        <v>481</v>
      </c>
      <c r="E129" s="243" t="s">
        <v>974</v>
      </c>
      <c r="F129" s="245">
        <v>8.0</v>
      </c>
      <c r="G129" s="245">
        <v>9.0</v>
      </c>
      <c r="H129" s="245">
        <v>-1.0</v>
      </c>
      <c r="I129" s="245">
        <v>8.0</v>
      </c>
      <c r="J129" s="245">
        <v>9.0</v>
      </c>
      <c r="K129" s="245">
        <v>-1.0</v>
      </c>
      <c r="L129" s="245">
        <v>15.0</v>
      </c>
      <c r="M129" s="245">
        <v>15.0</v>
      </c>
      <c r="N129" s="246">
        <v>1.5</v>
      </c>
      <c r="O129" s="247">
        <v>2.0</v>
      </c>
      <c r="P129" s="248">
        <v>2.0</v>
      </c>
    </row>
    <row r="130">
      <c r="A130" s="243" t="s">
        <v>386</v>
      </c>
      <c r="B130" s="244">
        <v>2640.0</v>
      </c>
      <c r="C130" s="243" t="s">
        <v>480</v>
      </c>
      <c r="D130" s="243" t="s">
        <v>979</v>
      </c>
      <c r="E130" s="243" t="s">
        <v>980</v>
      </c>
      <c r="F130" s="245">
        <v>8.0</v>
      </c>
      <c r="G130" s="245">
        <v>9.0</v>
      </c>
      <c r="H130" s="245">
        <v>-1.0</v>
      </c>
      <c r="I130" s="245">
        <v>9.0</v>
      </c>
      <c r="J130" s="245">
        <v>10.0</v>
      </c>
      <c r="K130" s="245">
        <v>-1.0</v>
      </c>
      <c r="L130" s="245">
        <v>21.0</v>
      </c>
      <c r="M130" s="245">
        <v>25.0</v>
      </c>
      <c r="N130" s="246">
        <v>2.5</v>
      </c>
      <c r="O130" s="247">
        <v>3.0</v>
      </c>
      <c r="P130" s="248">
        <v>3.5</v>
      </c>
    </row>
    <row r="131">
      <c r="A131" s="243" t="s">
        <v>872</v>
      </c>
      <c r="B131" s="244">
        <v>2653.0</v>
      </c>
      <c r="C131" s="243" t="s">
        <v>480</v>
      </c>
      <c r="D131" s="243" t="s">
        <v>931</v>
      </c>
      <c r="E131" s="243" t="s">
        <v>1009</v>
      </c>
      <c r="F131" s="245">
        <v>5.0</v>
      </c>
      <c r="G131" s="245">
        <v>4.0</v>
      </c>
      <c r="H131" s="245">
        <v>1.0</v>
      </c>
      <c r="I131" s="245">
        <v>5.0</v>
      </c>
      <c r="J131" s="245">
        <v>4.0</v>
      </c>
      <c r="K131" s="245">
        <v>1.0</v>
      </c>
      <c r="L131" s="245">
        <v>12.0</v>
      </c>
      <c r="M131" s="245">
        <v>12.0</v>
      </c>
      <c r="N131" s="246">
        <v>1.5</v>
      </c>
      <c r="O131" s="247">
        <v>1.5</v>
      </c>
      <c r="P131" s="248">
        <v>2.0</v>
      </c>
    </row>
    <row r="132">
      <c r="A132" s="243" t="s">
        <v>628</v>
      </c>
      <c r="B132" s="244">
        <v>2722.0</v>
      </c>
      <c r="C132" s="243" t="s">
        <v>477</v>
      </c>
      <c r="D132" s="243" t="s">
        <v>478</v>
      </c>
      <c r="E132" s="243" t="s">
        <v>1009</v>
      </c>
      <c r="F132" s="245">
        <v>1.0</v>
      </c>
      <c r="G132" s="245">
        <v>1.0</v>
      </c>
      <c r="H132" s="245">
        <v>0.0</v>
      </c>
      <c r="I132" s="245">
        <v>1.0</v>
      </c>
      <c r="J132" s="245">
        <v>1.0</v>
      </c>
      <c r="K132" s="245">
        <v>0.0</v>
      </c>
      <c r="L132" s="245">
        <v>1.0</v>
      </c>
      <c r="M132" s="245">
        <v>1.0</v>
      </c>
      <c r="N132" s="246">
        <v>0.5</v>
      </c>
      <c r="O132" s="247">
        <v>0.5</v>
      </c>
      <c r="P132" s="248">
        <v>0.5</v>
      </c>
    </row>
    <row r="133">
      <c r="A133" s="243" t="s">
        <v>429</v>
      </c>
      <c r="B133" s="244">
        <v>2724.0</v>
      </c>
      <c r="C133" s="243" t="s">
        <v>480</v>
      </c>
      <c r="D133" s="243" t="s">
        <v>481</v>
      </c>
      <c r="E133" s="243" t="s">
        <v>987</v>
      </c>
      <c r="F133" s="245">
        <v>16.0</v>
      </c>
      <c r="G133" s="245">
        <v>16.0</v>
      </c>
      <c r="H133" s="245">
        <v>0.0</v>
      </c>
      <c r="I133" s="245">
        <v>16.0</v>
      </c>
      <c r="J133" s="245">
        <v>16.0</v>
      </c>
      <c r="K133" s="245">
        <v>0.0</v>
      </c>
      <c r="L133" s="245">
        <v>57.0</v>
      </c>
      <c r="M133" s="245">
        <v>57.0</v>
      </c>
      <c r="N133" s="246">
        <v>6.0</v>
      </c>
      <c r="O133" s="247">
        <v>7.0</v>
      </c>
      <c r="P133" s="248">
        <v>7.5</v>
      </c>
    </row>
    <row r="134">
      <c r="A134" s="243" t="s">
        <v>1145</v>
      </c>
      <c r="B134" s="244">
        <v>2728.0</v>
      </c>
      <c r="C134" s="243" t="s">
        <v>480</v>
      </c>
      <c r="D134" s="243" t="s">
        <v>931</v>
      </c>
      <c r="E134" s="243" t="s">
        <v>1000</v>
      </c>
      <c r="F134" s="245">
        <v>3.0</v>
      </c>
      <c r="G134" s="245">
        <v>3.0</v>
      </c>
      <c r="H134" s="245">
        <v>0.0</v>
      </c>
      <c r="I134" s="245">
        <v>3.0</v>
      </c>
      <c r="J134" s="245">
        <v>3.0</v>
      </c>
      <c r="K134" s="245">
        <v>0.0</v>
      </c>
      <c r="L134" s="245">
        <v>6.0</v>
      </c>
      <c r="M134" s="245">
        <v>6.0</v>
      </c>
      <c r="N134" s="246">
        <v>1.0</v>
      </c>
      <c r="O134" s="247">
        <v>1.0</v>
      </c>
      <c r="P134" s="248">
        <v>1.0</v>
      </c>
    </row>
    <row r="135">
      <c r="A135" s="243" t="s">
        <v>819</v>
      </c>
      <c r="B135" s="244">
        <v>2741.0</v>
      </c>
      <c r="C135" s="243" t="s">
        <v>492</v>
      </c>
      <c r="D135" s="243" t="s">
        <v>930</v>
      </c>
      <c r="E135" s="243" t="s">
        <v>1225</v>
      </c>
      <c r="F135" s="245">
        <v>11.0</v>
      </c>
      <c r="G135" s="245">
        <v>12.0</v>
      </c>
      <c r="H135" s="245">
        <v>-1.0</v>
      </c>
      <c r="I135" s="245">
        <v>12.0</v>
      </c>
      <c r="J135" s="245">
        <v>13.0</v>
      </c>
      <c r="K135" s="245">
        <v>-1.0</v>
      </c>
      <c r="L135" s="245">
        <v>36.0</v>
      </c>
      <c r="M135" s="245">
        <v>42.0</v>
      </c>
      <c r="N135" s="246">
        <v>4.5</v>
      </c>
      <c r="O135" s="247">
        <v>5.0</v>
      </c>
      <c r="P135" s="248">
        <v>5.5</v>
      </c>
    </row>
    <row r="136">
      <c r="A136" s="243" t="s">
        <v>837</v>
      </c>
      <c r="B136" s="244">
        <v>2762.0</v>
      </c>
      <c r="C136" s="243" t="s">
        <v>507</v>
      </c>
      <c r="D136" s="243" t="s">
        <v>507</v>
      </c>
      <c r="E136" s="243" t="s">
        <v>1033</v>
      </c>
      <c r="F136" s="245">
        <v>4.0</v>
      </c>
      <c r="G136" s="245">
        <v>4.0</v>
      </c>
      <c r="H136" s="245">
        <v>0.0</v>
      </c>
      <c r="I136" s="245">
        <v>4.0</v>
      </c>
      <c r="J136" s="245">
        <v>4.0</v>
      </c>
      <c r="K136" s="245">
        <v>0.0</v>
      </c>
      <c r="L136" s="245">
        <v>13.0</v>
      </c>
      <c r="M136" s="245">
        <v>13.0</v>
      </c>
      <c r="N136" s="246">
        <v>1.5</v>
      </c>
      <c r="O136" s="247">
        <v>1.5</v>
      </c>
      <c r="P136" s="248">
        <v>2.0</v>
      </c>
    </row>
    <row r="137">
      <c r="A137" s="243" t="s">
        <v>145</v>
      </c>
      <c r="B137" s="244">
        <v>2764.0</v>
      </c>
      <c r="C137" s="243" t="s">
        <v>507</v>
      </c>
      <c r="D137" s="243" t="s">
        <v>512</v>
      </c>
      <c r="E137" s="243" t="s">
        <v>973</v>
      </c>
      <c r="F137" s="245">
        <v>39.0</v>
      </c>
      <c r="G137" s="245">
        <v>41.0</v>
      </c>
      <c r="H137" s="245">
        <v>-2.0</v>
      </c>
      <c r="I137" s="245">
        <v>40.0</v>
      </c>
      <c r="J137" s="245">
        <v>42.0</v>
      </c>
      <c r="K137" s="245">
        <v>-2.0</v>
      </c>
      <c r="L137" s="245">
        <v>406.0</v>
      </c>
      <c r="M137" s="245">
        <v>406.0</v>
      </c>
      <c r="N137" s="246">
        <v>41.0</v>
      </c>
      <c r="O137" s="247">
        <v>47.0</v>
      </c>
      <c r="P137" s="248">
        <v>53.0</v>
      </c>
    </row>
    <row r="138">
      <c r="A138" s="243" t="s">
        <v>73</v>
      </c>
      <c r="B138" s="244">
        <v>2765.0</v>
      </c>
      <c r="C138" s="243" t="s">
        <v>507</v>
      </c>
      <c r="D138" s="243" t="s">
        <v>507</v>
      </c>
      <c r="E138" s="243" t="s">
        <v>1009</v>
      </c>
      <c r="F138" s="245">
        <v>9.0</v>
      </c>
      <c r="G138" s="245">
        <v>10.0</v>
      </c>
      <c r="H138" s="245">
        <v>-1.0</v>
      </c>
      <c r="I138" s="245">
        <v>10.0</v>
      </c>
      <c r="J138" s="245">
        <v>11.0</v>
      </c>
      <c r="K138" s="245">
        <v>-1.0</v>
      </c>
      <c r="L138" s="245">
        <v>13.0</v>
      </c>
      <c r="M138" s="245">
        <v>15.0</v>
      </c>
      <c r="N138" s="246">
        <v>1.5</v>
      </c>
      <c r="O138" s="247">
        <v>2.0</v>
      </c>
      <c r="P138" s="248">
        <v>2.0</v>
      </c>
    </row>
    <row r="139">
      <c r="A139" s="243" t="s">
        <v>787</v>
      </c>
      <c r="B139" s="244">
        <v>2766.0</v>
      </c>
      <c r="C139" s="243" t="s">
        <v>492</v>
      </c>
      <c r="D139" s="243" t="s">
        <v>947</v>
      </c>
      <c r="E139" s="243" t="s">
        <v>980</v>
      </c>
      <c r="F139" s="245">
        <v>12.0</v>
      </c>
      <c r="G139" s="245">
        <v>13.0</v>
      </c>
      <c r="H139" s="245">
        <v>-1.0</v>
      </c>
      <c r="I139" s="245">
        <v>11.0</v>
      </c>
      <c r="J139" s="245">
        <v>12.0</v>
      </c>
      <c r="K139" s="245">
        <v>-1.0</v>
      </c>
      <c r="L139" s="245">
        <v>30.0</v>
      </c>
      <c r="M139" s="245">
        <v>30.0</v>
      </c>
      <c r="N139" s="246">
        <v>3.0</v>
      </c>
      <c r="O139" s="247">
        <v>3.5</v>
      </c>
      <c r="P139" s="248">
        <v>4.0</v>
      </c>
    </row>
    <row r="140">
      <c r="A140" s="243" t="s">
        <v>895</v>
      </c>
      <c r="B140" s="244">
        <v>2769.0</v>
      </c>
      <c r="C140" s="243" t="s">
        <v>480</v>
      </c>
      <c r="D140" s="243" t="s">
        <v>481</v>
      </c>
      <c r="E140" s="243" t="s">
        <v>983</v>
      </c>
      <c r="F140" s="245">
        <v>4.0</v>
      </c>
      <c r="G140" s="245">
        <v>3.0</v>
      </c>
      <c r="H140" s="245">
        <v>1.0</v>
      </c>
      <c r="I140" s="245">
        <v>4.0</v>
      </c>
      <c r="J140" s="245">
        <v>3.0</v>
      </c>
      <c r="K140" s="245">
        <v>1.0</v>
      </c>
      <c r="L140" s="245">
        <v>5.0</v>
      </c>
      <c r="M140" s="245">
        <v>5.0</v>
      </c>
      <c r="N140" s="246">
        <v>0.5</v>
      </c>
      <c r="O140" s="247">
        <v>1.0</v>
      </c>
      <c r="P140" s="248">
        <v>1.0</v>
      </c>
    </row>
    <row r="141">
      <c r="A141" s="243" t="s">
        <v>246</v>
      </c>
      <c r="B141" s="244">
        <v>2788.0</v>
      </c>
      <c r="C141" s="243" t="s">
        <v>480</v>
      </c>
      <c r="D141" s="243" t="s">
        <v>481</v>
      </c>
      <c r="E141" s="243" t="s">
        <v>976</v>
      </c>
      <c r="F141" s="245">
        <v>16.0</v>
      </c>
      <c r="G141" s="245">
        <v>16.0</v>
      </c>
      <c r="H141" s="245">
        <v>0.0</v>
      </c>
      <c r="I141" s="245">
        <v>16.0</v>
      </c>
      <c r="J141" s="245">
        <v>16.0</v>
      </c>
      <c r="K141" s="245">
        <v>0.0</v>
      </c>
      <c r="L141" s="245">
        <v>57.0</v>
      </c>
      <c r="M141" s="245">
        <v>57.0</v>
      </c>
      <c r="N141" s="246">
        <v>6.0</v>
      </c>
      <c r="O141" s="247">
        <v>7.0</v>
      </c>
      <c r="P141" s="248">
        <v>7.5</v>
      </c>
    </row>
    <row r="142">
      <c r="A142" s="243" t="s">
        <v>1211</v>
      </c>
      <c r="B142" s="244">
        <v>2809.0</v>
      </c>
      <c r="C142" s="243" t="s">
        <v>477</v>
      </c>
      <c r="D142" s="243" t="s">
        <v>478</v>
      </c>
      <c r="E142" s="243" t="s">
        <v>974</v>
      </c>
      <c r="F142" s="245">
        <v>1.0</v>
      </c>
      <c r="G142" s="245">
        <v>1.0</v>
      </c>
      <c r="H142" s="245">
        <v>0.0</v>
      </c>
      <c r="I142" s="245">
        <v>1.0</v>
      </c>
      <c r="J142" s="245">
        <v>1.0</v>
      </c>
      <c r="K142" s="245">
        <v>0.0</v>
      </c>
      <c r="L142" s="245">
        <v>1.0</v>
      </c>
      <c r="M142" s="245">
        <v>1.0</v>
      </c>
      <c r="N142" s="246">
        <v>0.5</v>
      </c>
      <c r="O142" s="247">
        <v>0.5</v>
      </c>
      <c r="P142" s="248">
        <v>0.5</v>
      </c>
    </row>
    <row r="143">
      <c r="A143" s="243" t="s">
        <v>347</v>
      </c>
      <c r="B143" s="244">
        <v>2814.0</v>
      </c>
      <c r="C143" s="243" t="s">
        <v>477</v>
      </c>
      <c r="D143" s="243" t="s">
        <v>478</v>
      </c>
      <c r="E143" s="243" t="s">
        <v>1000</v>
      </c>
      <c r="F143" s="245">
        <v>12.0</v>
      </c>
      <c r="G143" s="245">
        <v>12.0</v>
      </c>
      <c r="H143" s="245">
        <v>0.0</v>
      </c>
      <c r="I143" s="245">
        <v>12.0</v>
      </c>
      <c r="J143" s="245">
        <v>12.0</v>
      </c>
      <c r="K143" s="245">
        <v>0.0</v>
      </c>
      <c r="L143" s="245">
        <v>60.0</v>
      </c>
      <c r="M143" s="245">
        <v>60.0</v>
      </c>
      <c r="N143" s="246">
        <v>6.0</v>
      </c>
      <c r="O143" s="247">
        <v>7.0</v>
      </c>
      <c r="P143" s="248">
        <v>8.0</v>
      </c>
    </row>
    <row r="144">
      <c r="A144" s="243" t="s">
        <v>709</v>
      </c>
      <c r="B144" s="244">
        <v>2815.0</v>
      </c>
      <c r="C144" s="243" t="s">
        <v>477</v>
      </c>
      <c r="D144" s="243" t="s">
        <v>478</v>
      </c>
      <c r="E144" s="243" t="s">
        <v>1033</v>
      </c>
      <c r="F144" s="245">
        <v>12.0</v>
      </c>
      <c r="G144" s="245">
        <v>11.0</v>
      </c>
      <c r="H144" s="245">
        <v>1.0</v>
      </c>
      <c r="I144" s="245">
        <v>12.0</v>
      </c>
      <c r="J144" s="245">
        <v>11.0</v>
      </c>
      <c r="K144" s="245">
        <v>1.0</v>
      </c>
      <c r="L144" s="245">
        <v>20.0</v>
      </c>
      <c r="M144" s="245">
        <v>20.0</v>
      </c>
      <c r="N144" s="246">
        <v>2.0</v>
      </c>
      <c r="O144" s="247">
        <v>2.5</v>
      </c>
      <c r="P144" s="248">
        <v>3.0</v>
      </c>
    </row>
    <row r="145">
      <c r="A145" s="243" t="s">
        <v>717</v>
      </c>
      <c r="B145" s="244">
        <v>2816.0</v>
      </c>
      <c r="C145" s="243" t="s">
        <v>480</v>
      </c>
      <c r="D145" s="243" t="s">
        <v>1019</v>
      </c>
      <c r="E145" s="243" t="s">
        <v>987</v>
      </c>
      <c r="F145" s="245">
        <v>18.0</v>
      </c>
      <c r="G145" s="245">
        <v>18.0</v>
      </c>
      <c r="H145" s="245">
        <v>0.0</v>
      </c>
      <c r="I145" s="245">
        <v>20.0</v>
      </c>
      <c r="J145" s="245">
        <v>20.0</v>
      </c>
      <c r="K145" s="245">
        <v>0.0</v>
      </c>
      <c r="L145" s="245">
        <v>72.0</v>
      </c>
      <c r="M145" s="245">
        <v>85.0</v>
      </c>
      <c r="N145" s="246">
        <v>8.5</v>
      </c>
      <c r="O145" s="247">
        <v>10.0</v>
      </c>
      <c r="P145" s="248">
        <v>11.5</v>
      </c>
    </row>
    <row r="146">
      <c r="A146" s="243" t="s">
        <v>1254</v>
      </c>
      <c r="B146" s="244">
        <v>2818.0</v>
      </c>
      <c r="C146" s="243" t="s">
        <v>492</v>
      </c>
      <c r="D146" s="243" t="s">
        <v>930</v>
      </c>
      <c r="E146" s="243" t="s">
        <v>991</v>
      </c>
      <c r="F146" s="245">
        <v>7.0</v>
      </c>
      <c r="G146" s="245">
        <v>7.0</v>
      </c>
      <c r="H146" s="245">
        <v>0.0</v>
      </c>
      <c r="I146" s="245">
        <v>8.0</v>
      </c>
      <c r="J146" s="245">
        <v>8.0</v>
      </c>
      <c r="K146" s="245">
        <v>0.0</v>
      </c>
      <c r="L146" s="245">
        <v>15.0</v>
      </c>
      <c r="M146" s="245">
        <v>17.0</v>
      </c>
      <c r="N146" s="246">
        <v>2.0</v>
      </c>
      <c r="O146" s="247">
        <v>2.0</v>
      </c>
      <c r="P146" s="248">
        <v>2.5</v>
      </c>
    </row>
    <row r="147">
      <c r="A147" s="243" t="s">
        <v>1185</v>
      </c>
      <c r="B147" s="244">
        <v>2839.0</v>
      </c>
      <c r="C147" s="243" t="s">
        <v>492</v>
      </c>
      <c r="D147" s="243" t="s">
        <v>563</v>
      </c>
      <c r="E147" s="243" t="s">
        <v>1033</v>
      </c>
      <c r="F147" s="245">
        <v>8.0</v>
      </c>
      <c r="G147" s="245">
        <v>9.0</v>
      </c>
      <c r="H147" s="245">
        <v>-1.0</v>
      </c>
      <c r="I147" s="245">
        <v>8.0</v>
      </c>
      <c r="J147" s="245">
        <v>9.0</v>
      </c>
      <c r="K147" s="245">
        <v>-1.0</v>
      </c>
      <c r="L147" s="245">
        <v>19.0</v>
      </c>
      <c r="M147" s="245">
        <v>18.0</v>
      </c>
      <c r="N147" s="246">
        <v>2.0</v>
      </c>
      <c r="O147" s="247">
        <v>2.5</v>
      </c>
      <c r="P147" s="248">
        <v>2.5</v>
      </c>
    </row>
    <row r="148">
      <c r="A148" s="243" t="s">
        <v>282</v>
      </c>
      <c r="B148" s="244">
        <v>2841.0</v>
      </c>
      <c r="C148" s="243" t="s">
        <v>507</v>
      </c>
      <c r="D148" s="243" t="s">
        <v>512</v>
      </c>
      <c r="E148" s="243" t="s">
        <v>976</v>
      </c>
      <c r="F148" s="245">
        <v>38.0</v>
      </c>
      <c r="G148" s="245">
        <v>37.0</v>
      </c>
      <c r="H148" s="245">
        <v>1.0</v>
      </c>
      <c r="I148" s="245">
        <v>39.0</v>
      </c>
      <c r="J148" s="245">
        <v>38.0</v>
      </c>
      <c r="K148" s="245">
        <v>1.0</v>
      </c>
      <c r="L148" s="245">
        <v>383.0</v>
      </c>
      <c r="M148" s="245">
        <v>383.0</v>
      </c>
      <c r="N148" s="246">
        <v>38.5</v>
      </c>
      <c r="O148" s="247">
        <v>44.5</v>
      </c>
      <c r="P148" s="248">
        <v>50.0</v>
      </c>
    </row>
    <row r="149">
      <c r="A149" s="243" t="s">
        <v>456</v>
      </c>
      <c r="B149" s="244">
        <v>2845.0</v>
      </c>
      <c r="C149" s="243" t="s">
        <v>477</v>
      </c>
      <c r="D149" s="243" t="s">
        <v>478</v>
      </c>
      <c r="E149" s="243" t="s">
        <v>987</v>
      </c>
      <c r="F149" s="245">
        <v>1.0</v>
      </c>
      <c r="G149" s="245">
        <v>1.0</v>
      </c>
      <c r="H149" s="245">
        <v>0.0</v>
      </c>
      <c r="I149" s="245">
        <v>1.0</v>
      </c>
      <c r="J149" s="245">
        <v>1.0</v>
      </c>
      <c r="K149" s="245">
        <v>0.0</v>
      </c>
      <c r="L149" s="245">
        <v>1.0</v>
      </c>
      <c r="M149" s="245">
        <v>1.0</v>
      </c>
      <c r="N149" s="246">
        <v>0.5</v>
      </c>
      <c r="O149" s="247">
        <v>0.5</v>
      </c>
      <c r="P149" s="248">
        <v>0.5</v>
      </c>
    </row>
    <row r="150">
      <c r="A150" s="243" t="s">
        <v>256</v>
      </c>
      <c r="B150" s="244">
        <v>2848.0</v>
      </c>
      <c r="C150" s="243" t="s">
        <v>492</v>
      </c>
      <c r="D150" s="243" t="s">
        <v>934</v>
      </c>
      <c r="E150" s="243" t="s">
        <v>973</v>
      </c>
      <c r="F150" s="245">
        <v>18.0</v>
      </c>
      <c r="G150" s="245">
        <v>18.0</v>
      </c>
      <c r="H150" s="245">
        <v>0.0</v>
      </c>
      <c r="I150" s="245">
        <v>17.0</v>
      </c>
      <c r="J150" s="245">
        <v>17.0</v>
      </c>
      <c r="K150" s="245">
        <v>0.0</v>
      </c>
      <c r="L150" s="245">
        <v>62.0</v>
      </c>
      <c r="M150" s="245">
        <v>59.0</v>
      </c>
      <c r="N150" s="246">
        <v>6.0</v>
      </c>
      <c r="O150" s="247">
        <v>7.0</v>
      </c>
      <c r="P150" s="248">
        <v>8.0</v>
      </c>
    </row>
    <row r="151">
      <c r="A151" s="243" t="s">
        <v>718</v>
      </c>
      <c r="B151" s="244">
        <v>4177.0</v>
      </c>
      <c r="C151" s="243" t="s">
        <v>480</v>
      </c>
      <c r="D151" s="243" t="s">
        <v>937</v>
      </c>
      <c r="E151" s="243" t="s">
        <v>973</v>
      </c>
      <c r="F151" s="245">
        <v>14.0</v>
      </c>
      <c r="G151" s="245">
        <v>14.0</v>
      </c>
      <c r="H151" s="245">
        <v>0.0</v>
      </c>
      <c r="I151" s="245">
        <v>15.0</v>
      </c>
      <c r="J151" s="245">
        <v>15.0</v>
      </c>
      <c r="K151" s="245">
        <v>0.0</v>
      </c>
      <c r="L151" s="245">
        <v>40.0</v>
      </c>
      <c r="M151" s="245">
        <v>45.0</v>
      </c>
      <c r="N151" s="246">
        <v>4.5</v>
      </c>
      <c r="O151" s="247">
        <v>5.5</v>
      </c>
      <c r="P151" s="248">
        <v>6.0</v>
      </c>
    </row>
    <row r="152">
      <c r="A152" s="243" t="s">
        <v>720</v>
      </c>
      <c r="B152" s="244">
        <v>4179.0</v>
      </c>
      <c r="C152" s="243" t="s">
        <v>507</v>
      </c>
      <c r="D152" s="243" t="s">
        <v>507</v>
      </c>
      <c r="E152" s="243" t="s">
        <v>976</v>
      </c>
      <c r="F152" s="245">
        <v>24.0</v>
      </c>
      <c r="G152" s="245">
        <v>25.0</v>
      </c>
      <c r="H152" s="245">
        <v>-1.0</v>
      </c>
      <c r="I152" s="245">
        <v>25.0</v>
      </c>
      <c r="J152" s="245">
        <v>26.0</v>
      </c>
      <c r="K152" s="245">
        <v>-1.0</v>
      </c>
      <c r="L152" s="245">
        <v>102.0</v>
      </c>
      <c r="M152" s="245">
        <v>105.0</v>
      </c>
      <c r="N152" s="246">
        <v>10.5</v>
      </c>
      <c r="O152" s="247">
        <v>12.5</v>
      </c>
      <c r="P152" s="248">
        <v>14.0</v>
      </c>
    </row>
    <row r="153">
      <c r="A153" s="243" t="s">
        <v>438</v>
      </c>
      <c r="B153" s="244">
        <v>4186.0</v>
      </c>
      <c r="C153" s="243" t="s">
        <v>492</v>
      </c>
      <c r="D153" s="243" t="s">
        <v>492</v>
      </c>
      <c r="E153" s="243" t="s">
        <v>1000</v>
      </c>
      <c r="F153" s="245">
        <v>10.0</v>
      </c>
      <c r="G153" s="245">
        <v>10.0</v>
      </c>
      <c r="H153" s="245">
        <v>0.0</v>
      </c>
      <c r="I153" s="245">
        <v>9.0</v>
      </c>
      <c r="J153" s="245">
        <v>9.0</v>
      </c>
      <c r="K153" s="245">
        <v>0.0</v>
      </c>
      <c r="L153" s="245">
        <v>18.0</v>
      </c>
      <c r="M153" s="245">
        <v>16.0</v>
      </c>
      <c r="N153" s="246">
        <v>2.0</v>
      </c>
      <c r="O153" s="247">
        <v>2.0</v>
      </c>
      <c r="P153" s="248">
        <v>2.5</v>
      </c>
    </row>
    <row r="154">
      <c r="A154" s="243" t="s">
        <v>444</v>
      </c>
      <c r="B154" s="244">
        <v>4199.0</v>
      </c>
      <c r="C154" s="243" t="s">
        <v>492</v>
      </c>
      <c r="D154" s="243" t="s">
        <v>934</v>
      </c>
      <c r="E154" s="243" t="s">
        <v>991</v>
      </c>
      <c r="F154" s="245">
        <v>18.0</v>
      </c>
      <c r="G154" s="245">
        <v>19.0</v>
      </c>
      <c r="H154" s="245">
        <v>-1.0</v>
      </c>
      <c r="I154" s="245">
        <v>18.0</v>
      </c>
      <c r="J154" s="245">
        <v>19.0</v>
      </c>
      <c r="K154" s="245">
        <v>-1.0</v>
      </c>
      <c r="L154" s="245">
        <v>51.0</v>
      </c>
      <c r="M154" s="245">
        <v>51.0</v>
      </c>
      <c r="N154" s="246">
        <v>5.5</v>
      </c>
      <c r="O154" s="247">
        <v>6.0</v>
      </c>
      <c r="P154" s="248">
        <v>7.0</v>
      </c>
    </row>
    <row r="155">
      <c r="A155" s="243" t="s">
        <v>820</v>
      </c>
      <c r="B155" s="244">
        <v>4210.0</v>
      </c>
      <c r="C155" s="243" t="s">
        <v>480</v>
      </c>
      <c r="D155" s="243" t="s">
        <v>481</v>
      </c>
      <c r="E155" s="243" t="s">
        <v>975</v>
      </c>
      <c r="F155" s="245">
        <v>8.0</v>
      </c>
      <c r="G155" s="245">
        <v>8.0</v>
      </c>
      <c r="H155" s="245">
        <v>0.0</v>
      </c>
      <c r="I155" s="245">
        <v>8.0</v>
      </c>
      <c r="J155" s="245">
        <v>8.0</v>
      </c>
      <c r="K155" s="245">
        <v>0.0</v>
      </c>
      <c r="L155" s="245">
        <v>13.0</v>
      </c>
      <c r="M155" s="245">
        <v>13.0</v>
      </c>
      <c r="N155" s="246">
        <v>1.5</v>
      </c>
      <c r="O155" s="247">
        <v>1.5</v>
      </c>
      <c r="P155" s="248">
        <v>2.0</v>
      </c>
    </row>
    <row r="156">
      <c r="A156" s="243" t="s">
        <v>866</v>
      </c>
      <c r="B156" s="244">
        <v>4220.0</v>
      </c>
      <c r="C156" s="243" t="s">
        <v>492</v>
      </c>
      <c r="D156" s="243" t="s">
        <v>930</v>
      </c>
      <c r="E156" s="243" t="s">
        <v>987</v>
      </c>
      <c r="F156" s="245">
        <v>10.0</v>
      </c>
      <c r="G156" s="245">
        <v>10.0</v>
      </c>
      <c r="H156" s="245">
        <v>0.0</v>
      </c>
      <c r="I156" s="245">
        <v>11.0</v>
      </c>
      <c r="J156" s="245">
        <v>11.0</v>
      </c>
      <c r="K156" s="245">
        <v>0.0</v>
      </c>
      <c r="L156" s="245">
        <v>19.0</v>
      </c>
      <c r="M156" s="245">
        <v>23.0</v>
      </c>
      <c r="N156" s="246">
        <v>2.5</v>
      </c>
      <c r="O156" s="247">
        <v>3.0</v>
      </c>
      <c r="P156" s="248">
        <v>3.0</v>
      </c>
    </row>
    <row r="157">
      <c r="A157" s="243" t="s">
        <v>607</v>
      </c>
      <c r="B157" s="244">
        <v>4237.0</v>
      </c>
      <c r="C157" s="243" t="s">
        <v>480</v>
      </c>
      <c r="D157" s="243" t="s">
        <v>1227</v>
      </c>
      <c r="E157" s="243" t="s">
        <v>976</v>
      </c>
      <c r="F157" s="245">
        <v>13.0</v>
      </c>
      <c r="G157" s="245">
        <v>14.0</v>
      </c>
      <c r="H157" s="245">
        <v>-1.0</v>
      </c>
      <c r="I157" s="245">
        <v>15.0</v>
      </c>
      <c r="J157" s="245">
        <v>16.0</v>
      </c>
      <c r="K157" s="245">
        <v>-1.0</v>
      </c>
      <c r="L157" s="245">
        <v>29.0</v>
      </c>
      <c r="M157" s="245">
        <v>40.0</v>
      </c>
      <c r="N157" s="246">
        <v>4.0</v>
      </c>
      <c r="O157" s="247">
        <v>5.0</v>
      </c>
      <c r="P157" s="248">
        <v>5.5</v>
      </c>
    </row>
    <row r="158">
      <c r="A158" s="243" t="s">
        <v>1255</v>
      </c>
      <c r="B158" s="244">
        <v>4245.0</v>
      </c>
      <c r="C158" s="243" t="s">
        <v>480</v>
      </c>
      <c r="D158" s="243" t="s">
        <v>481</v>
      </c>
      <c r="E158" s="243" t="s">
        <v>988</v>
      </c>
      <c r="F158" s="245">
        <v>7.0</v>
      </c>
      <c r="G158" s="245">
        <v>8.0</v>
      </c>
      <c r="H158" s="245">
        <v>-1.0</v>
      </c>
      <c r="I158" s="245">
        <v>7.0</v>
      </c>
      <c r="J158" s="245">
        <v>8.0</v>
      </c>
      <c r="K158" s="245">
        <v>-1.0</v>
      </c>
      <c r="L158" s="245">
        <v>12.0</v>
      </c>
      <c r="M158" s="245">
        <v>12.0</v>
      </c>
      <c r="N158" s="246">
        <v>1.5</v>
      </c>
      <c r="O158" s="247">
        <v>1.5</v>
      </c>
      <c r="P158" s="248">
        <v>2.0</v>
      </c>
    </row>
    <row r="159">
      <c r="A159" s="243" t="s">
        <v>228</v>
      </c>
      <c r="B159" s="244">
        <v>4263.0</v>
      </c>
      <c r="C159" s="243" t="s">
        <v>480</v>
      </c>
      <c r="D159" s="243" t="s">
        <v>481</v>
      </c>
      <c r="E159" s="243" t="s">
        <v>993</v>
      </c>
      <c r="F159" s="245">
        <v>3.0</v>
      </c>
      <c r="G159" s="245">
        <v>3.0</v>
      </c>
      <c r="H159" s="245">
        <v>0.0</v>
      </c>
      <c r="I159" s="245">
        <v>3.0</v>
      </c>
      <c r="J159" s="245">
        <v>3.0</v>
      </c>
      <c r="K159" s="245">
        <v>0.0</v>
      </c>
      <c r="L159" s="245">
        <v>4.0</v>
      </c>
      <c r="M159" s="245">
        <v>4.0</v>
      </c>
      <c r="N159" s="246">
        <v>0.5</v>
      </c>
      <c r="O159" s="247">
        <v>0.5</v>
      </c>
      <c r="P159" s="248">
        <v>1.0</v>
      </c>
    </row>
    <row r="160">
      <c r="A160" s="243" t="s">
        <v>1256</v>
      </c>
      <c r="B160" s="244">
        <v>4268.0</v>
      </c>
      <c r="C160" s="243" t="s">
        <v>507</v>
      </c>
      <c r="D160" s="243" t="s">
        <v>512</v>
      </c>
      <c r="E160" s="243" t="s">
        <v>973</v>
      </c>
      <c r="F160" s="245">
        <v>8.0</v>
      </c>
      <c r="G160" s="245">
        <v>8.0</v>
      </c>
      <c r="H160" s="245">
        <v>0.0</v>
      </c>
      <c r="I160" s="245">
        <v>7.0</v>
      </c>
      <c r="J160" s="245">
        <v>7.0</v>
      </c>
      <c r="K160" s="245">
        <v>0.0</v>
      </c>
      <c r="L160" s="245">
        <v>20.0</v>
      </c>
      <c r="M160" s="245">
        <v>16.0</v>
      </c>
      <c r="N160" s="246">
        <v>2.0</v>
      </c>
      <c r="O160" s="247">
        <v>2.0</v>
      </c>
      <c r="P160" s="248">
        <v>2.5</v>
      </c>
    </row>
    <row r="161">
      <c r="A161" s="243" t="s">
        <v>867</v>
      </c>
      <c r="B161" s="244">
        <v>4270.0</v>
      </c>
      <c r="C161" s="243" t="s">
        <v>477</v>
      </c>
      <c r="D161" s="243" t="s">
        <v>478</v>
      </c>
      <c r="E161" s="243" t="s">
        <v>980</v>
      </c>
      <c r="F161" s="245">
        <v>1.0</v>
      </c>
      <c r="G161" s="245">
        <v>1.0</v>
      </c>
      <c r="H161" s="245">
        <v>0.0</v>
      </c>
      <c r="I161" s="245">
        <v>1.0</v>
      </c>
      <c r="J161" s="245">
        <v>1.0</v>
      </c>
      <c r="K161" s="245">
        <v>0.0</v>
      </c>
      <c r="L161" s="245">
        <v>1.0</v>
      </c>
      <c r="M161" s="245">
        <v>1.0</v>
      </c>
      <c r="N161" s="246">
        <v>0.5</v>
      </c>
      <c r="O161" s="247">
        <v>0.5</v>
      </c>
      <c r="P161" s="248">
        <v>0.5</v>
      </c>
    </row>
    <row r="162">
      <c r="A162" s="243" t="s">
        <v>707</v>
      </c>
      <c r="B162" s="244">
        <v>4284.0</v>
      </c>
      <c r="C162" s="243" t="s">
        <v>480</v>
      </c>
      <c r="D162" s="243" t="s">
        <v>1152</v>
      </c>
      <c r="E162" s="243" t="s">
        <v>974</v>
      </c>
      <c r="F162" s="245">
        <v>9.0</v>
      </c>
      <c r="G162" s="245">
        <v>9.0</v>
      </c>
      <c r="H162" s="245">
        <v>0.0</v>
      </c>
      <c r="I162" s="245">
        <v>9.0</v>
      </c>
      <c r="J162" s="245">
        <v>9.0</v>
      </c>
      <c r="K162" s="245">
        <v>0.0</v>
      </c>
      <c r="L162" s="245">
        <v>18.0</v>
      </c>
      <c r="M162" s="245">
        <v>18.0</v>
      </c>
      <c r="N162" s="246">
        <v>2.0</v>
      </c>
      <c r="O162" s="247">
        <v>2.5</v>
      </c>
      <c r="P162" s="248">
        <v>2.5</v>
      </c>
    </row>
    <row r="163">
      <c r="A163" s="243" t="s">
        <v>609</v>
      </c>
      <c r="B163" s="244">
        <v>4287.0</v>
      </c>
      <c r="C163" s="243" t="s">
        <v>492</v>
      </c>
      <c r="D163" s="243" t="s">
        <v>930</v>
      </c>
      <c r="E163" s="243" t="s">
        <v>987</v>
      </c>
      <c r="F163" s="245">
        <v>9.0</v>
      </c>
      <c r="G163" s="245">
        <v>9.0</v>
      </c>
      <c r="H163" s="245">
        <v>0.0</v>
      </c>
      <c r="I163" s="245">
        <v>10.0</v>
      </c>
      <c r="J163" s="245">
        <v>10.0</v>
      </c>
      <c r="K163" s="245">
        <v>0.0</v>
      </c>
      <c r="L163" s="245">
        <v>16.0</v>
      </c>
      <c r="M163" s="245">
        <v>20.0</v>
      </c>
      <c r="N163" s="246">
        <v>2.0</v>
      </c>
      <c r="O163" s="247">
        <v>2.5</v>
      </c>
      <c r="P163" s="248">
        <v>3.0</v>
      </c>
    </row>
    <row r="164">
      <c r="A164" s="243" t="s">
        <v>633</v>
      </c>
      <c r="B164" s="244">
        <v>4292.0</v>
      </c>
      <c r="C164" s="243" t="s">
        <v>480</v>
      </c>
      <c r="D164" s="243" t="s">
        <v>931</v>
      </c>
      <c r="E164" s="243" t="s">
        <v>991</v>
      </c>
      <c r="F164" s="245">
        <v>20.0</v>
      </c>
      <c r="G164" s="245">
        <v>20.0</v>
      </c>
      <c r="H164" s="245">
        <v>0.0</v>
      </c>
      <c r="I164" s="245">
        <v>20.0</v>
      </c>
      <c r="J164" s="245">
        <v>20.0</v>
      </c>
      <c r="K164" s="245">
        <v>0.0</v>
      </c>
      <c r="L164" s="245">
        <v>80.0</v>
      </c>
      <c r="M164" s="245">
        <v>80.0</v>
      </c>
      <c r="N164" s="246">
        <v>8.0</v>
      </c>
      <c r="O164" s="247">
        <v>9.5</v>
      </c>
      <c r="P164" s="248">
        <v>10.5</v>
      </c>
    </row>
    <row r="165">
      <c r="A165" s="243" t="s">
        <v>261</v>
      </c>
      <c r="B165" s="244">
        <v>4312.0</v>
      </c>
      <c r="C165" s="243" t="s">
        <v>477</v>
      </c>
      <c r="D165" s="243" t="s">
        <v>478</v>
      </c>
      <c r="E165" s="243" t="s">
        <v>991</v>
      </c>
      <c r="F165" s="245">
        <v>14.0</v>
      </c>
      <c r="G165" s="245">
        <v>15.0</v>
      </c>
      <c r="H165" s="245">
        <v>-1.0</v>
      </c>
      <c r="I165" s="245">
        <v>14.0</v>
      </c>
      <c r="J165" s="245">
        <v>15.0</v>
      </c>
      <c r="K165" s="245">
        <v>-1.0</v>
      </c>
      <c r="L165" s="245">
        <v>78.0</v>
      </c>
      <c r="M165" s="245">
        <v>78.0</v>
      </c>
      <c r="N165" s="246">
        <v>8.0</v>
      </c>
      <c r="O165" s="247">
        <v>9.0</v>
      </c>
      <c r="P165" s="248">
        <v>10.5</v>
      </c>
    </row>
    <row r="166">
      <c r="A166" s="243" t="s">
        <v>756</v>
      </c>
      <c r="B166" s="244">
        <v>4317.0</v>
      </c>
      <c r="C166" s="243" t="s">
        <v>480</v>
      </c>
      <c r="D166" s="243" t="s">
        <v>481</v>
      </c>
      <c r="E166" s="243" t="s">
        <v>988</v>
      </c>
      <c r="F166" s="245">
        <v>8.0</v>
      </c>
      <c r="G166" s="245">
        <v>8.0</v>
      </c>
      <c r="H166" s="245">
        <v>0.0</v>
      </c>
      <c r="I166" s="245">
        <v>8.0</v>
      </c>
      <c r="J166" s="245">
        <v>8.0</v>
      </c>
      <c r="K166" s="245">
        <v>0.0</v>
      </c>
      <c r="L166" s="245">
        <v>20.0</v>
      </c>
      <c r="M166" s="245">
        <v>20.0</v>
      </c>
      <c r="N166" s="246">
        <v>2.0</v>
      </c>
      <c r="O166" s="247">
        <v>2.5</v>
      </c>
      <c r="P166" s="248">
        <v>3.0</v>
      </c>
    </row>
    <row r="167">
      <c r="A167" s="243" t="s">
        <v>658</v>
      </c>
      <c r="B167" s="244">
        <v>4342.0</v>
      </c>
      <c r="C167" s="243" t="s">
        <v>492</v>
      </c>
      <c r="D167" s="243" t="s">
        <v>930</v>
      </c>
      <c r="E167" s="243" t="s">
        <v>983</v>
      </c>
      <c r="F167" s="245">
        <v>8.0</v>
      </c>
      <c r="G167" s="245">
        <v>7.0</v>
      </c>
      <c r="H167" s="245">
        <v>1.0</v>
      </c>
      <c r="I167" s="245">
        <v>8.0</v>
      </c>
      <c r="J167" s="245">
        <v>8.0</v>
      </c>
      <c r="K167" s="245">
        <v>0.0</v>
      </c>
      <c r="L167" s="245">
        <v>16.0</v>
      </c>
      <c r="M167" s="245">
        <v>20.0</v>
      </c>
      <c r="N167" s="246">
        <v>2.0</v>
      </c>
      <c r="O167" s="247">
        <v>2.5</v>
      </c>
      <c r="P167" s="248">
        <v>3.0</v>
      </c>
    </row>
    <row r="168">
      <c r="A168" s="243" t="s">
        <v>842</v>
      </c>
      <c r="B168" s="244">
        <v>4349.0</v>
      </c>
      <c r="C168" s="243" t="s">
        <v>492</v>
      </c>
      <c r="D168" s="243" t="s">
        <v>930</v>
      </c>
      <c r="E168" s="243" t="s">
        <v>1233</v>
      </c>
      <c r="F168" s="245">
        <v>2.0</v>
      </c>
      <c r="G168" s="245">
        <v>1.0</v>
      </c>
      <c r="H168" s="245">
        <v>1.0</v>
      </c>
      <c r="I168" s="245">
        <v>2.0</v>
      </c>
      <c r="J168" s="245">
        <v>1.0</v>
      </c>
      <c r="K168" s="245">
        <v>1.0</v>
      </c>
      <c r="L168" s="245">
        <v>4.0</v>
      </c>
      <c r="M168" s="245">
        <v>5.0</v>
      </c>
      <c r="N168" s="246">
        <v>0.5</v>
      </c>
      <c r="O168" s="247">
        <v>1.0</v>
      </c>
      <c r="P168" s="248">
        <v>1.0</v>
      </c>
    </row>
    <row r="169">
      <c r="A169" s="243" t="s">
        <v>1257</v>
      </c>
      <c r="B169" s="244">
        <v>4351.0</v>
      </c>
      <c r="C169" s="243" t="s">
        <v>477</v>
      </c>
      <c r="D169" s="243" t="s">
        <v>478</v>
      </c>
      <c r="E169" s="243" t="s">
        <v>1222</v>
      </c>
      <c r="F169" s="245">
        <v>1.0</v>
      </c>
      <c r="G169" s="245">
        <v>1.0</v>
      </c>
      <c r="H169" s="245">
        <v>0.0</v>
      </c>
      <c r="I169" s="245">
        <v>1.0</v>
      </c>
      <c r="J169" s="245">
        <v>1.0</v>
      </c>
      <c r="K169" s="245">
        <v>0.0</v>
      </c>
      <c r="L169" s="245">
        <v>1.0</v>
      </c>
      <c r="M169" s="245">
        <v>1.0</v>
      </c>
      <c r="N169" s="246">
        <v>0.5</v>
      </c>
      <c r="O169" s="247">
        <v>0.5</v>
      </c>
      <c r="P169" s="248">
        <v>0.5</v>
      </c>
    </row>
    <row r="170">
      <c r="A170" s="243" t="s">
        <v>767</v>
      </c>
      <c r="B170" s="244">
        <v>4359.0</v>
      </c>
      <c r="C170" s="243" t="s">
        <v>507</v>
      </c>
      <c r="D170" s="243" t="s">
        <v>512</v>
      </c>
      <c r="E170" s="243" t="s">
        <v>975</v>
      </c>
      <c r="F170" s="245">
        <v>14.0</v>
      </c>
      <c r="G170" s="245">
        <v>13.0</v>
      </c>
      <c r="H170" s="245">
        <v>1.0</v>
      </c>
      <c r="I170" s="245">
        <v>13.0</v>
      </c>
      <c r="J170" s="245">
        <v>12.0</v>
      </c>
      <c r="K170" s="245">
        <v>1.0</v>
      </c>
      <c r="L170" s="245">
        <v>55.0</v>
      </c>
      <c r="M170" s="245">
        <v>50.0</v>
      </c>
      <c r="N170" s="246">
        <v>5.0</v>
      </c>
      <c r="O170" s="247">
        <v>6.0</v>
      </c>
      <c r="P170" s="248">
        <v>6.5</v>
      </c>
    </row>
    <row r="171">
      <c r="A171" s="243" t="s">
        <v>183</v>
      </c>
      <c r="B171" s="244">
        <v>4360.0</v>
      </c>
      <c r="C171" s="243" t="s">
        <v>477</v>
      </c>
      <c r="D171" s="243" t="s">
        <v>478</v>
      </c>
      <c r="E171" s="243" t="s">
        <v>987</v>
      </c>
      <c r="F171" s="245">
        <v>2.0</v>
      </c>
      <c r="G171" s="245">
        <v>2.0</v>
      </c>
      <c r="H171" s="245">
        <v>0.0</v>
      </c>
      <c r="I171" s="245">
        <v>2.0</v>
      </c>
      <c r="J171" s="245">
        <v>2.0</v>
      </c>
      <c r="K171" s="245">
        <v>0.0</v>
      </c>
      <c r="L171" s="245">
        <v>4.0</v>
      </c>
      <c r="M171" s="245">
        <v>4.0</v>
      </c>
      <c r="N171" s="246">
        <v>0.5</v>
      </c>
      <c r="O171" s="247">
        <v>0.5</v>
      </c>
      <c r="P171" s="248">
        <v>1.0</v>
      </c>
    </row>
    <row r="172">
      <c r="A172" s="243" t="s">
        <v>863</v>
      </c>
      <c r="B172" s="244">
        <v>4364.0</v>
      </c>
      <c r="C172" s="243" t="s">
        <v>492</v>
      </c>
      <c r="D172" s="243" t="s">
        <v>543</v>
      </c>
      <c r="E172" s="243" t="s">
        <v>975</v>
      </c>
      <c r="F172" s="245">
        <v>8.0</v>
      </c>
      <c r="G172" s="245">
        <v>9.0</v>
      </c>
      <c r="H172" s="245">
        <v>-1.0</v>
      </c>
      <c r="I172" s="245">
        <v>7.0</v>
      </c>
      <c r="J172" s="245">
        <v>8.0</v>
      </c>
      <c r="K172" s="245">
        <v>-1.0</v>
      </c>
      <c r="L172" s="245">
        <v>40.0</v>
      </c>
      <c r="M172" s="245">
        <v>35.0</v>
      </c>
      <c r="N172" s="246">
        <v>3.5</v>
      </c>
      <c r="O172" s="247">
        <v>4.5</v>
      </c>
      <c r="P172" s="248">
        <v>5.0</v>
      </c>
    </row>
    <row r="173">
      <c r="A173" s="243" t="s">
        <v>423</v>
      </c>
      <c r="B173" s="244">
        <v>4371.0</v>
      </c>
      <c r="C173" s="243" t="s">
        <v>507</v>
      </c>
      <c r="D173" s="243" t="s">
        <v>507</v>
      </c>
      <c r="E173" s="243" t="s">
        <v>987</v>
      </c>
      <c r="F173" s="245">
        <v>10.0</v>
      </c>
      <c r="G173" s="245">
        <v>11.0</v>
      </c>
      <c r="H173" s="245">
        <v>-1.0</v>
      </c>
      <c r="I173" s="245">
        <v>11.0</v>
      </c>
      <c r="J173" s="245">
        <v>12.0</v>
      </c>
      <c r="K173" s="245">
        <v>-1.0</v>
      </c>
      <c r="L173" s="245">
        <v>22.0</v>
      </c>
      <c r="M173" s="245">
        <v>22.0</v>
      </c>
      <c r="N173" s="246">
        <v>2.5</v>
      </c>
      <c r="O173" s="247">
        <v>3.0</v>
      </c>
      <c r="P173" s="248">
        <v>3.0</v>
      </c>
    </row>
    <row r="174">
      <c r="A174" s="243" t="s">
        <v>277</v>
      </c>
      <c r="B174" s="244">
        <v>4374.0</v>
      </c>
      <c r="C174" s="243" t="s">
        <v>480</v>
      </c>
      <c r="D174" s="243" t="s">
        <v>481</v>
      </c>
      <c r="E174" s="243" t="s">
        <v>972</v>
      </c>
      <c r="F174" s="245">
        <v>4.0</v>
      </c>
      <c r="G174" s="245">
        <v>4.0</v>
      </c>
      <c r="H174" s="245">
        <v>0.0</v>
      </c>
      <c r="I174" s="245">
        <v>4.0</v>
      </c>
      <c r="J174" s="245">
        <v>4.0</v>
      </c>
      <c r="K174" s="245">
        <v>0.0</v>
      </c>
      <c r="L174" s="245">
        <v>6.0</v>
      </c>
      <c r="M174" s="245">
        <v>6.0</v>
      </c>
      <c r="N174" s="246">
        <v>1.0</v>
      </c>
      <c r="O174" s="247">
        <v>1.0</v>
      </c>
      <c r="P174" s="248">
        <v>1.0</v>
      </c>
    </row>
    <row r="175">
      <c r="A175" s="243" t="s">
        <v>1258</v>
      </c>
      <c r="B175" s="244">
        <v>4376.0</v>
      </c>
      <c r="C175" s="243" t="s">
        <v>492</v>
      </c>
      <c r="D175" s="243" t="s">
        <v>934</v>
      </c>
      <c r="E175" s="243" t="s">
        <v>1222</v>
      </c>
      <c r="F175" s="245">
        <v>9.0</v>
      </c>
      <c r="G175" s="245">
        <v>10.0</v>
      </c>
      <c r="H175" s="245">
        <v>-1.0</v>
      </c>
      <c r="I175" s="245">
        <v>9.0</v>
      </c>
      <c r="J175" s="245">
        <v>10.0</v>
      </c>
      <c r="K175" s="245">
        <v>-1.0</v>
      </c>
      <c r="L175" s="245">
        <v>23.0</v>
      </c>
      <c r="M175" s="245">
        <v>23.0</v>
      </c>
      <c r="N175" s="246">
        <v>2.5</v>
      </c>
      <c r="O175" s="247">
        <v>3.0</v>
      </c>
      <c r="P175" s="248">
        <v>3.0</v>
      </c>
    </row>
    <row r="176">
      <c r="A176" s="243" t="s">
        <v>714</v>
      </c>
      <c r="B176" s="244">
        <v>4377.0</v>
      </c>
      <c r="C176" s="243" t="s">
        <v>492</v>
      </c>
      <c r="D176" s="243" t="s">
        <v>934</v>
      </c>
      <c r="E176" s="243" t="s">
        <v>1000</v>
      </c>
      <c r="F176" s="245">
        <v>9.0</v>
      </c>
      <c r="G176" s="245">
        <v>10.0</v>
      </c>
      <c r="H176" s="245">
        <v>-1.0</v>
      </c>
      <c r="I176" s="245">
        <v>9.0</v>
      </c>
      <c r="J176" s="245">
        <v>10.0</v>
      </c>
      <c r="K176" s="245">
        <v>-1.0</v>
      </c>
      <c r="L176" s="245">
        <v>17.0</v>
      </c>
      <c r="M176" s="245">
        <v>17.0</v>
      </c>
      <c r="N176" s="246">
        <v>2.0</v>
      </c>
      <c r="O176" s="247">
        <v>2.0</v>
      </c>
      <c r="P176" s="248">
        <v>2.5</v>
      </c>
    </row>
    <row r="177">
      <c r="A177" s="243" t="s">
        <v>853</v>
      </c>
      <c r="B177" s="244">
        <v>4378.0</v>
      </c>
      <c r="C177" s="243" t="s">
        <v>480</v>
      </c>
      <c r="D177" s="243" t="s">
        <v>1022</v>
      </c>
      <c r="E177" s="243" t="s">
        <v>1033</v>
      </c>
      <c r="F177" s="245">
        <v>7.0</v>
      </c>
      <c r="G177" s="245">
        <v>7.0</v>
      </c>
      <c r="H177" s="245">
        <v>0.0</v>
      </c>
      <c r="I177" s="245">
        <v>7.0</v>
      </c>
      <c r="J177" s="245">
        <v>8.0</v>
      </c>
      <c r="K177" s="245">
        <v>-1.0</v>
      </c>
      <c r="L177" s="245">
        <v>15.0</v>
      </c>
      <c r="M177" s="245">
        <v>16.0</v>
      </c>
      <c r="N177" s="246">
        <v>2.0</v>
      </c>
      <c r="O177" s="247">
        <v>2.0</v>
      </c>
      <c r="P177" s="248">
        <v>2.5</v>
      </c>
    </row>
    <row r="178">
      <c r="A178" s="243" t="s">
        <v>838</v>
      </c>
      <c r="B178" s="244">
        <v>4385.0</v>
      </c>
      <c r="C178" s="243" t="s">
        <v>480</v>
      </c>
      <c r="D178" s="243" t="s">
        <v>521</v>
      </c>
      <c r="E178" s="243" t="s">
        <v>972</v>
      </c>
      <c r="F178" s="245">
        <v>5.0</v>
      </c>
      <c r="G178" s="245">
        <v>4.0</v>
      </c>
      <c r="H178" s="245">
        <v>1.0</v>
      </c>
      <c r="I178" s="245">
        <v>5.0</v>
      </c>
      <c r="J178" s="245">
        <v>4.0</v>
      </c>
      <c r="K178" s="245">
        <v>1.0</v>
      </c>
      <c r="L178" s="245">
        <v>8.0</v>
      </c>
      <c r="M178" s="245">
        <v>7.0</v>
      </c>
      <c r="N178" s="246">
        <v>1.0</v>
      </c>
      <c r="O178" s="247">
        <v>1.0</v>
      </c>
      <c r="P178" s="248">
        <v>1.0</v>
      </c>
    </row>
    <row r="179">
      <c r="A179" s="243" t="s">
        <v>1259</v>
      </c>
      <c r="B179" s="244">
        <v>4386.0</v>
      </c>
      <c r="C179" s="243" t="s">
        <v>480</v>
      </c>
      <c r="D179" s="243" t="s">
        <v>931</v>
      </c>
      <c r="E179" s="243" t="s">
        <v>974</v>
      </c>
      <c r="F179" s="245">
        <v>2.0</v>
      </c>
      <c r="G179" s="245">
        <v>2.0</v>
      </c>
      <c r="H179" s="245">
        <v>0.0</v>
      </c>
      <c r="I179" s="245">
        <v>2.0</v>
      </c>
      <c r="J179" s="245">
        <v>2.0</v>
      </c>
      <c r="K179" s="245">
        <v>0.0</v>
      </c>
      <c r="L179" s="245">
        <v>6.0</v>
      </c>
      <c r="M179" s="245">
        <v>6.0</v>
      </c>
      <c r="N179" s="246">
        <v>1.0</v>
      </c>
      <c r="O179" s="247">
        <v>1.0</v>
      </c>
      <c r="P179" s="248">
        <v>1.0</v>
      </c>
    </row>
    <row r="180">
      <c r="A180" s="243" t="s">
        <v>761</v>
      </c>
      <c r="B180" s="244">
        <v>4401.0</v>
      </c>
      <c r="C180" s="243" t="s">
        <v>480</v>
      </c>
      <c r="D180" s="243" t="s">
        <v>481</v>
      </c>
      <c r="E180" s="243" t="s">
        <v>991</v>
      </c>
      <c r="F180" s="245">
        <v>4.0</v>
      </c>
      <c r="G180" s="245">
        <v>4.0</v>
      </c>
      <c r="H180" s="245">
        <v>0.0</v>
      </c>
      <c r="I180" s="245">
        <v>4.0</v>
      </c>
      <c r="J180" s="245">
        <v>4.0</v>
      </c>
      <c r="K180" s="245">
        <v>0.0</v>
      </c>
      <c r="L180" s="245">
        <v>9.0</v>
      </c>
      <c r="M180" s="245">
        <v>9.0</v>
      </c>
      <c r="N180" s="246">
        <v>1.0</v>
      </c>
      <c r="O180" s="247">
        <v>1.5</v>
      </c>
      <c r="P180" s="248">
        <v>1.5</v>
      </c>
    </row>
    <row r="181">
      <c r="A181" s="243" t="s">
        <v>1194</v>
      </c>
      <c r="B181" s="244">
        <v>4404.0</v>
      </c>
      <c r="C181" s="243" t="s">
        <v>492</v>
      </c>
      <c r="D181" s="243" t="s">
        <v>492</v>
      </c>
      <c r="E181" s="243" t="s">
        <v>1026</v>
      </c>
      <c r="F181" s="245">
        <v>5.0</v>
      </c>
      <c r="G181" s="245">
        <v>5.0</v>
      </c>
      <c r="H181" s="245">
        <v>0.0</v>
      </c>
      <c r="I181" s="245">
        <v>4.0</v>
      </c>
      <c r="J181" s="245">
        <v>4.0</v>
      </c>
      <c r="K181" s="245">
        <v>0.0</v>
      </c>
      <c r="L181" s="245">
        <v>10.0</v>
      </c>
      <c r="M181" s="245">
        <v>8.0</v>
      </c>
      <c r="N181" s="246">
        <v>1.0</v>
      </c>
      <c r="O181" s="247">
        <v>1.0</v>
      </c>
      <c r="P181" s="248">
        <v>1.5</v>
      </c>
    </row>
    <row r="182">
      <c r="A182" s="243" t="s">
        <v>816</v>
      </c>
      <c r="B182" s="244">
        <v>4409.0</v>
      </c>
      <c r="C182" s="243" t="s">
        <v>480</v>
      </c>
      <c r="D182" s="243" t="s">
        <v>481</v>
      </c>
      <c r="E182" s="243" t="s">
        <v>987</v>
      </c>
      <c r="F182" s="245">
        <v>11.0</v>
      </c>
      <c r="G182" s="245">
        <v>11.0</v>
      </c>
      <c r="H182" s="245">
        <v>0.0</v>
      </c>
      <c r="I182" s="245">
        <v>11.0</v>
      </c>
      <c r="J182" s="245">
        <v>11.0</v>
      </c>
      <c r="K182" s="245">
        <v>0.0</v>
      </c>
      <c r="L182" s="245">
        <v>26.0</v>
      </c>
      <c r="M182" s="245">
        <v>26.0</v>
      </c>
      <c r="N182" s="246">
        <v>3.0</v>
      </c>
      <c r="O182" s="247">
        <v>3.0</v>
      </c>
      <c r="P182" s="248">
        <v>3.5</v>
      </c>
    </row>
    <row r="183">
      <c r="A183" s="243" t="s">
        <v>613</v>
      </c>
      <c r="B183" s="244">
        <v>4421.0</v>
      </c>
      <c r="C183" s="243" t="s">
        <v>480</v>
      </c>
      <c r="D183" s="243" t="s">
        <v>931</v>
      </c>
      <c r="E183" s="243" t="s">
        <v>975</v>
      </c>
      <c r="F183" s="245">
        <v>5.0</v>
      </c>
      <c r="G183" s="245">
        <v>5.0</v>
      </c>
      <c r="H183" s="245">
        <v>0.0</v>
      </c>
      <c r="I183" s="245">
        <v>5.0</v>
      </c>
      <c r="J183" s="245">
        <v>5.0</v>
      </c>
      <c r="K183" s="245">
        <v>0.0</v>
      </c>
      <c r="L183" s="245">
        <v>8.0</v>
      </c>
      <c r="M183" s="245">
        <v>8.0</v>
      </c>
      <c r="N183" s="246">
        <v>1.0</v>
      </c>
      <c r="O183" s="247">
        <v>1.0</v>
      </c>
      <c r="P183" s="248">
        <v>1.5</v>
      </c>
    </row>
    <row r="184">
      <c r="A184" s="243" t="s">
        <v>699</v>
      </c>
      <c r="B184" s="244">
        <v>4423.0</v>
      </c>
      <c r="C184" s="243" t="s">
        <v>492</v>
      </c>
      <c r="D184" s="243" t="s">
        <v>492</v>
      </c>
      <c r="E184" s="243" t="s">
        <v>985</v>
      </c>
      <c r="F184" s="245">
        <v>6.0</v>
      </c>
      <c r="G184" s="245">
        <v>6.0</v>
      </c>
      <c r="H184" s="245">
        <v>0.0</v>
      </c>
      <c r="I184" s="245">
        <v>4.0</v>
      </c>
      <c r="J184" s="245">
        <v>5.0</v>
      </c>
      <c r="K184" s="245">
        <v>-1.0</v>
      </c>
      <c r="L184" s="245">
        <v>11.0</v>
      </c>
      <c r="M184" s="245">
        <v>9.0</v>
      </c>
      <c r="N184" s="246">
        <v>1.0</v>
      </c>
      <c r="O184" s="247">
        <v>1.5</v>
      </c>
      <c r="P184" s="248">
        <v>1.5</v>
      </c>
    </row>
    <row r="185">
      <c r="A185" s="243" t="s">
        <v>622</v>
      </c>
      <c r="B185" s="244">
        <v>4425.0</v>
      </c>
      <c r="C185" s="243" t="s">
        <v>477</v>
      </c>
      <c r="D185" s="243" t="s">
        <v>478</v>
      </c>
      <c r="E185" s="243" t="s">
        <v>1233</v>
      </c>
      <c r="F185" s="245">
        <v>7.0</v>
      </c>
      <c r="G185" s="245">
        <v>6.0</v>
      </c>
      <c r="H185" s="245">
        <v>1.0</v>
      </c>
      <c r="I185" s="245">
        <v>7.0</v>
      </c>
      <c r="J185" s="245">
        <v>6.0</v>
      </c>
      <c r="K185" s="245">
        <v>1.0</v>
      </c>
      <c r="L185" s="245">
        <v>21.0</v>
      </c>
      <c r="M185" s="245">
        <v>21.0</v>
      </c>
      <c r="N185" s="246">
        <v>2.5</v>
      </c>
      <c r="O185" s="247">
        <v>2.5</v>
      </c>
      <c r="P185" s="248">
        <v>3.0</v>
      </c>
    </row>
    <row r="186">
      <c r="A186" s="243" t="s">
        <v>462</v>
      </c>
      <c r="B186" s="244">
        <v>4427.0</v>
      </c>
      <c r="C186" s="243" t="s">
        <v>492</v>
      </c>
      <c r="D186" s="243" t="s">
        <v>934</v>
      </c>
      <c r="E186" s="243" t="s">
        <v>1026</v>
      </c>
      <c r="F186" s="245">
        <v>11.0</v>
      </c>
      <c r="G186" s="245">
        <v>11.0</v>
      </c>
      <c r="H186" s="245">
        <v>0.0</v>
      </c>
      <c r="I186" s="245">
        <v>11.0</v>
      </c>
      <c r="J186" s="245">
        <v>11.0</v>
      </c>
      <c r="K186" s="245">
        <v>0.0</v>
      </c>
      <c r="L186" s="245">
        <v>26.0</v>
      </c>
      <c r="M186" s="245">
        <v>26.0</v>
      </c>
      <c r="N186" s="246">
        <v>3.0</v>
      </c>
      <c r="O186" s="247">
        <v>3.0</v>
      </c>
      <c r="P186" s="248">
        <v>3.5</v>
      </c>
    </row>
    <row r="187">
      <c r="A187" s="243" t="s">
        <v>393</v>
      </c>
      <c r="B187" s="244">
        <v>4431.0</v>
      </c>
      <c r="C187" s="243" t="s">
        <v>477</v>
      </c>
      <c r="D187" s="243" t="s">
        <v>478</v>
      </c>
      <c r="E187" s="243" t="s">
        <v>980</v>
      </c>
      <c r="F187" s="245">
        <v>13.0</v>
      </c>
      <c r="G187" s="245">
        <v>13.0</v>
      </c>
      <c r="H187" s="245">
        <v>0.0</v>
      </c>
      <c r="I187" s="245">
        <v>13.0</v>
      </c>
      <c r="J187" s="245">
        <v>13.0</v>
      </c>
      <c r="K187" s="245">
        <v>0.0</v>
      </c>
      <c r="L187" s="245">
        <v>55.0</v>
      </c>
      <c r="M187" s="245">
        <v>55.0</v>
      </c>
      <c r="N187" s="246">
        <v>5.5</v>
      </c>
      <c r="O187" s="247">
        <v>6.5</v>
      </c>
      <c r="P187" s="248">
        <v>7.5</v>
      </c>
    </row>
    <row r="188">
      <c r="A188" s="243" t="s">
        <v>631</v>
      </c>
      <c r="B188" s="244">
        <v>4433.0</v>
      </c>
      <c r="C188" s="243" t="s">
        <v>480</v>
      </c>
      <c r="D188" s="243" t="s">
        <v>944</v>
      </c>
      <c r="E188" s="243" t="s">
        <v>975</v>
      </c>
      <c r="F188" s="245">
        <v>6.0</v>
      </c>
      <c r="G188" s="245">
        <v>7.0</v>
      </c>
      <c r="H188" s="245">
        <v>-1.0</v>
      </c>
      <c r="I188" s="245">
        <v>7.0</v>
      </c>
      <c r="J188" s="245">
        <v>8.0</v>
      </c>
      <c r="K188" s="245">
        <v>-1.0</v>
      </c>
      <c r="L188" s="245">
        <v>16.0</v>
      </c>
      <c r="M188" s="245">
        <v>19.0</v>
      </c>
      <c r="N188" s="246">
        <v>2.0</v>
      </c>
      <c r="O188" s="247">
        <v>2.5</v>
      </c>
      <c r="P188" s="248">
        <v>2.5</v>
      </c>
    </row>
    <row r="189">
      <c r="A189" s="243" t="s">
        <v>1020</v>
      </c>
      <c r="B189" s="244">
        <v>4436.0</v>
      </c>
      <c r="C189" s="243" t="s">
        <v>507</v>
      </c>
      <c r="D189" s="243" t="s">
        <v>507</v>
      </c>
      <c r="E189" s="243" t="s">
        <v>1009</v>
      </c>
      <c r="F189" s="245">
        <v>12.0</v>
      </c>
      <c r="G189" s="245">
        <v>12.0</v>
      </c>
      <c r="H189" s="245">
        <v>0.0</v>
      </c>
      <c r="I189" s="245">
        <v>12.0</v>
      </c>
      <c r="J189" s="245">
        <v>12.0</v>
      </c>
      <c r="K189" s="245">
        <v>0.0</v>
      </c>
      <c r="L189" s="245">
        <v>20.0</v>
      </c>
      <c r="M189" s="245">
        <v>20.0</v>
      </c>
      <c r="N189" s="246">
        <v>2.0</v>
      </c>
      <c r="O189" s="247">
        <v>2.5</v>
      </c>
      <c r="P189" s="248">
        <v>3.0</v>
      </c>
    </row>
    <row r="190">
      <c r="A190" s="243" t="s">
        <v>1260</v>
      </c>
      <c r="B190" s="244">
        <v>4458.0</v>
      </c>
      <c r="C190" s="243" t="s">
        <v>480</v>
      </c>
      <c r="D190" s="243" t="s">
        <v>938</v>
      </c>
      <c r="E190" s="243" t="s">
        <v>1233</v>
      </c>
      <c r="F190" s="245">
        <v>5.0</v>
      </c>
      <c r="G190" s="245">
        <v>5.0</v>
      </c>
      <c r="H190" s="245">
        <v>0.0</v>
      </c>
      <c r="I190" s="245">
        <v>5.0</v>
      </c>
      <c r="J190" s="245">
        <v>5.0</v>
      </c>
      <c r="K190" s="245">
        <v>0.0</v>
      </c>
      <c r="L190" s="245">
        <v>8.0</v>
      </c>
      <c r="M190" s="245">
        <v>8.0</v>
      </c>
      <c r="N190" s="246">
        <v>1.0</v>
      </c>
      <c r="O190" s="247">
        <v>1.0</v>
      </c>
      <c r="P190" s="248">
        <v>1.5</v>
      </c>
    </row>
    <row r="191">
      <c r="A191" s="243" t="s">
        <v>637</v>
      </c>
      <c r="B191" s="244">
        <v>4459.0</v>
      </c>
      <c r="C191" s="243" t="s">
        <v>492</v>
      </c>
      <c r="D191" s="243" t="s">
        <v>930</v>
      </c>
      <c r="E191" s="243" t="s">
        <v>1000</v>
      </c>
      <c r="F191" s="245">
        <v>7.0</v>
      </c>
      <c r="G191" s="245">
        <v>7.0</v>
      </c>
      <c r="H191" s="245">
        <v>0.0</v>
      </c>
      <c r="I191" s="245">
        <v>7.0</v>
      </c>
      <c r="J191" s="245">
        <v>7.0</v>
      </c>
      <c r="K191" s="245">
        <v>0.0</v>
      </c>
      <c r="L191" s="245">
        <v>11.0</v>
      </c>
      <c r="M191" s="245">
        <v>12.0</v>
      </c>
      <c r="N191" s="246">
        <v>1.5</v>
      </c>
      <c r="O191" s="247">
        <v>1.5</v>
      </c>
      <c r="P191" s="248">
        <v>2.0</v>
      </c>
    </row>
    <row r="192">
      <c r="A192" s="243" t="s">
        <v>897</v>
      </c>
      <c r="B192" s="244">
        <v>4461.0</v>
      </c>
      <c r="C192" s="243" t="s">
        <v>480</v>
      </c>
      <c r="D192" s="243" t="s">
        <v>1019</v>
      </c>
      <c r="E192" s="243" t="s">
        <v>975</v>
      </c>
      <c r="F192" s="245">
        <v>6.0</v>
      </c>
      <c r="G192" s="245">
        <v>6.0</v>
      </c>
      <c r="H192" s="245">
        <v>0.0</v>
      </c>
      <c r="I192" s="245">
        <v>7.0</v>
      </c>
      <c r="J192" s="245">
        <v>7.0</v>
      </c>
      <c r="K192" s="245">
        <v>0.0</v>
      </c>
      <c r="L192" s="245">
        <v>10.0</v>
      </c>
      <c r="M192" s="245">
        <v>12.0</v>
      </c>
      <c r="N192" s="246">
        <v>1.5</v>
      </c>
      <c r="O192" s="247">
        <v>1.5</v>
      </c>
      <c r="P192" s="248">
        <v>2.0</v>
      </c>
    </row>
    <row r="193">
      <c r="A193" s="243" t="s">
        <v>835</v>
      </c>
      <c r="B193" s="244">
        <v>4463.0</v>
      </c>
      <c r="C193" s="243" t="s">
        <v>507</v>
      </c>
      <c r="D193" s="243" t="s">
        <v>507</v>
      </c>
      <c r="E193" s="243" t="s">
        <v>1222</v>
      </c>
      <c r="F193" s="245">
        <v>4.0</v>
      </c>
      <c r="G193" s="245">
        <v>3.0</v>
      </c>
      <c r="H193" s="245">
        <v>1.0</v>
      </c>
      <c r="I193" s="245">
        <v>4.0</v>
      </c>
      <c r="J193" s="245">
        <v>3.0</v>
      </c>
      <c r="K193" s="245">
        <v>1.0</v>
      </c>
      <c r="L193" s="245">
        <v>15.0</v>
      </c>
      <c r="M193" s="245">
        <v>15.0</v>
      </c>
      <c r="N193" s="246">
        <v>1.5</v>
      </c>
      <c r="O193" s="247">
        <v>2.0</v>
      </c>
      <c r="P193" s="248">
        <v>2.0</v>
      </c>
    </row>
    <row r="194">
      <c r="A194" s="243" t="s">
        <v>779</v>
      </c>
      <c r="B194" s="244">
        <v>4465.0</v>
      </c>
      <c r="C194" s="243" t="s">
        <v>492</v>
      </c>
      <c r="D194" s="243" t="s">
        <v>934</v>
      </c>
      <c r="E194" s="243" t="s">
        <v>976</v>
      </c>
      <c r="F194" s="245">
        <v>10.0</v>
      </c>
      <c r="G194" s="245">
        <v>10.0</v>
      </c>
      <c r="H194" s="245">
        <v>0.0</v>
      </c>
      <c r="I194" s="245">
        <v>9.0</v>
      </c>
      <c r="J194" s="245">
        <v>9.0</v>
      </c>
      <c r="K194" s="245">
        <v>0.0</v>
      </c>
      <c r="L194" s="245">
        <v>18.0</v>
      </c>
      <c r="M194" s="245">
        <v>18.0</v>
      </c>
      <c r="N194" s="246">
        <v>2.0</v>
      </c>
      <c r="O194" s="247">
        <v>2.5</v>
      </c>
      <c r="P194" s="248">
        <v>2.5</v>
      </c>
    </row>
    <row r="195">
      <c r="A195" s="243" t="s">
        <v>629</v>
      </c>
      <c r="B195" s="244">
        <v>4486.0</v>
      </c>
      <c r="C195" s="243" t="s">
        <v>492</v>
      </c>
      <c r="D195" s="243" t="s">
        <v>563</v>
      </c>
      <c r="E195" s="243" t="s">
        <v>974</v>
      </c>
      <c r="F195" s="245">
        <v>12.0</v>
      </c>
      <c r="G195" s="245">
        <v>12.0</v>
      </c>
      <c r="H195" s="245">
        <v>0.0</v>
      </c>
      <c r="I195" s="245">
        <v>11.0</v>
      </c>
      <c r="J195" s="245">
        <v>11.0</v>
      </c>
      <c r="K195" s="245">
        <v>0.0</v>
      </c>
      <c r="L195" s="245">
        <v>32.0</v>
      </c>
      <c r="M195" s="245">
        <v>30.0</v>
      </c>
      <c r="N195" s="246">
        <v>3.0</v>
      </c>
      <c r="O195" s="247">
        <v>3.5</v>
      </c>
      <c r="P195" s="248">
        <v>4.0</v>
      </c>
    </row>
    <row r="196">
      <c r="A196" s="243" t="s">
        <v>1261</v>
      </c>
      <c r="B196" s="244">
        <v>4491.0</v>
      </c>
      <c r="C196" s="243" t="s">
        <v>477</v>
      </c>
      <c r="D196" s="243" t="s">
        <v>478</v>
      </c>
      <c r="E196" s="243" t="s">
        <v>983</v>
      </c>
      <c r="F196" s="245">
        <v>1.0</v>
      </c>
      <c r="G196" s="245">
        <v>1.0</v>
      </c>
      <c r="H196" s="245">
        <v>0.0</v>
      </c>
      <c r="I196" s="245">
        <v>1.0</v>
      </c>
      <c r="J196" s="245">
        <v>1.0</v>
      </c>
      <c r="K196" s="245">
        <v>0.0</v>
      </c>
      <c r="L196" s="245">
        <v>1.0</v>
      </c>
      <c r="M196" s="245">
        <v>1.0</v>
      </c>
      <c r="N196" s="246">
        <v>0.5</v>
      </c>
      <c r="O196" s="247">
        <v>0.5</v>
      </c>
      <c r="P196" s="248">
        <v>0.5</v>
      </c>
    </row>
    <row r="197">
      <c r="A197" s="243" t="s">
        <v>881</v>
      </c>
      <c r="B197" s="244">
        <v>4493.0</v>
      </c>
      <c r="C197" s="243" t="s">
        <v>480</v>
      </c>
      <c r="D197" s="243" t="s">
        <v>481</v>
      </c>
      <c r="E197" s="243" t="s">
        <v>983</v>
      </c>
      <c r="F197" s="245">
        <v>5.0</v>
      </c>
      <c r="G197" s="245">
        <v>5.0</v>
      </c>
      <c r="H197" s="245">
        <v>0.0</v>
      </c>
      <c r="I197" s="245">
        <v>5.0</v>
      </c>
      <c r="J197" s="245">
        <v>5.0</v>
      </c>
      <c r="K197" s="245">
        <v>0.0</v>
      </c>
      <c r="L197" s="245">
        <v>7.0</v>
      </c>
      <c r="M197" s="245">
        <v>7.0</v>
      </c>
      <c r="N197" s="246">
        <v>1.0</v>
      </c>
      <c r="O197" s="247">
        <v>1.0</v>
      </c>
      <c r="P197" s="248">
        <v>1.0</v>
      </c>
    </row>
    <row r="198">
      <c r="A198" s="243" t="s">
        <v>902</v>
      </c>
      <c r="B198" s="244">
        <v>4498.0</v>
      </c>
      <c r="C198" s="243" t="s">
        <v>492</v>
      </c>
      <c r="D198" s="243" t="s">
        <v>934</v>
      </c>
      <c r="E198" s="243" t="s">
        <v>1222</v>
      </c>
      <c r="F198" s="245">
        <v>5.0</v>
      </c>
      <c r="G198" s="245">
        <v>4.0</v>
      </c>
      <c r="H198" s="245">
        <v>1.0</v>
      </c>
      <c r="I198" s="245">
        <v>5.0</v>
      </c>
      <c r="J198" s="245">
        <v>4.0</v>
      </c>
      <c r="K198" s="245">
        <v>1.0</v>
      </c>
      <c r="L198" s="245">
        <v>8.0</v>
      </c>
      <c r="M198" s="245">
        <v>8.0</v>
      </c>
      <c r="N198" s="246">
        <v>1.0</v>
      </c>
      <c r="O198" s="247">
        <v>1.0</v>
      </c>
      <c r="P198" s="248">
        <v>1.5</v>
      </c>
    </row>
    <row r="199">
      <c r="A199" s="243" t="s">
        <v>892</v>
      </c>
      <c r="B199" s="244">
        <v>4502.0</v>
      </c>
      <c r="C199" s="243" t="s">
        <v>480</v>
      </c>
      <c r="D199" s="243" t="s">
        <v>931</v>
      </c>
      <c r="E199" s="243" t="s">
        <v>998</v>
      </c>
      <c r="F199" s="245">
        <v>5.0</v>
      </c>
      <c r="G199" s="245">
        <v>5.0</v>
      </c>
      <c r="H199" s="245">
        <v>0.0</v>
      </c>
      <c r="I199" s="245">
        <v>5.0</v>
      </c>
      <c r="J199" s="245">
        <v>5.0</v>
      </c>
      <c r="K199" s="245">
        <v>0.0</v>
      </c>
      <c r="L199" s="245">
        <v>11.0</v>
      </c>
      <c r="M199" s="245">
        <v>11.0</v>
      </c>
      <c r="N199" s="246">
        <v>1.5</v>
      </c>
      <c r="O199" s="247">
        <v>1.5</v>
      </c>
      <c r="P199" s="248">
        <v>1.5</v>
      </c>
    </row>
    <row r="200">
      <c r="A200" s="243" t="s">
        <v>306</v>
      </c>
      <c r="B200" s="244">
        <v>4510.0</v>
      </c>
      <c r="C200" s="243" t="s">
        <v>507</v>
      </c>
      <c r="D200" s="243" t="s">
        <v>507</v>
      </c>
      <c r="E200" s="243" t="s">
        <v>991</v>
      </c>
      <c r="F200" s="245">
        <v>24.0</v>
      </c>
      <c r="G200" s="245">
        <v>25.0</v>
      </c>
      <c r="H200" s="245">
        <v>-1.0</v>
      </c>
      <c r="I200" s="245">
        <v>25.0</v>
      </c>
      <c r="J200" s="245">
        <v>26.0</v>
      </c>
      <c r="K200" s="245">
        <v>-1.0</v>
      </c>
      <c r="L200" s="245">
        <v>200.0</v>
      </c>
      <c r="M200" s="245">
        <v>203.0</v>
      </c>
      <c r="N200" s="246">
        <v>20.5</v>
      </c>
      <c r="O200" s="247">
        <v>23.5</v>
      </c>
      <c r="P200" s="248">
        <v>26.5</v>
      </c>
    </row>
    <row r="201">
      <c r="A201" s="243" t="s">
        <v>731</v>
      </c>
      <c r="B201" s="244">
        <v>4530.0</v>
      </c>
      <c r="C201" s="243" t="s">
        <v>480</v>
      </c>
      <c r="D201" s="243" t="s">
        <v>931</v>
      </c>
      <c r="E201" s="243" t="s">
        <v>1225</v>
      </c>
      <c r="F201" s="245">
        <v>7.0</v>
      </c>
      <c r="G201" s="245">
        <v>6.0</v>
      </c>
      <c r="H201" s="245">
        <v>1.0</v>
      </c>
      <c r="I201" s="245">
        <v>7.0</v>
      </c>
      <c r="J201" s="245">
        <v>6.0</v>
      </c>
      <c r="K201" s="245">
        <v>1.0</v>
      </c>
      <c r="L201" s="245">
        <v>13.0</v>
      </c>
      <c r="M201" s="245">
        <v>13.0</v>
      </c>
      <c r="N201" s="246">
        <v>1.5</v>
      </c>
      <c r="O201" s="247">
        <v>1.5</v>
      </c>
      <c r="P201" s="248">
        <v>2.0</v>
      </c>
    </row>
    <row r="202">
      <c r="A202" s="243" t="s">
        <v>1029</v>
      </c>
      <c r="B202" s="244">
        <v>4657.0</v>
      </c>
      <c r="C202" s="243" t="s">
        <v>480</v>
      </c>
      <c r="D202" s="243" t="s">
        <v>938</v>
      </c>
      <c r="E202" s="243" t="s">
        <v>988</v>
      </c>
      <c r="F202" s="245">
        <v>4.0</v>
      </c>
      <c r="G202" s="245">
        <v>3.0</v>
      </c>
      <c r="H202" s="245">
        <v>1.0</v>
      </c>
      <c r="I202" s="245">
        <v>4.0</v>
      </c>
      <c r="J202" s="245">
        <v>3.0</v>
      </c>
      <c r="K202" s="245">
        <v>1.0</v>
      </c>
      <c r="L202" s="245">
        <v>12.0</v>
      </c>
      <c r="M202" s="245">
        <v>12.0</v>
      </c>
      <c r="N202" s="246">
        <v>1.5</v>
      </c>
      <c r="O202" s="247">
        <v>1.5</v>
      </c>
      <c r="P202" s="248">
        <v>2.0</v>
      </c>
    </row>
    <row r="203">
      <c r="A203" s="243" t="s">
        <v>1262</v>
      </c>
      <c r="B203" s="244">
        <v>4658.0</v>
      </c>
      <c r="C203" s="243" t="s">
        <v>492</v>
      </c>
      <c r="D203" s="243" t="s">
        <v>563</v>
      </c>
      <c r="E203" s="243" t="s">
        <v>1033</v>
      </c>
      <c r="F203" s="245">
        <v>5.0</v>
      </c>
      <c r="G203" s="245">
        <v>5.0</v>
      </c>
      <c r="H203" s="245">
        <v>0.0</v>
      </c>
      <c r="I203" s="245">
        <v>5.0</v>
      </c>
      <c r="J203" s="245">
        <v>5.0</v>
      </c>
      <c r="K203" s="245">
        <v>0.0</v>
      </c>
      <c r="L203" s="245">
        <v>13.0</v>
      </c>
      <c r="M203" s="245">
        <v>13.0</v>
      </c>
      <c r="N203" s="246">
        <v>1.5</v>
      </c>
      <c r="O203" s="247">
        <v>1.5</v>
      </c>
      <c r="P203" s="248">
        <v>2.0</v>
      </c>
    </row>
    <row r="204">
      <c r="A204" s="243" t="s">
        <v>950</v>
      </c>
      <c r="B204" s="244">
        <v>4661.0</v>
      </c>
      <c r="C204" s="243" t="s">
        <v>507</v>
      </c>
      <c r="D204" s="243" t="s">
        <v>512</v>
      </c>
      <c r="E204" s="243" t="s">
        <v>987</v>
      </c>
      <c r="F204" s="245">
        <v>34.0</v>
      </c>
      <c r="G204" s="245">
        <v>35.0</v>
      </c>
      <c r="H204" s="245">
        <v>-1.0</v>
      </c>
      <c r="I204" s="245">
        <v>34.0</v>
      </c>
      <c r="J204" s="245">
        <v>36.0</v>
      </c>
      <c r="K204" s="245">
        <v>-2.0</v>
      </c>
      <c r="L204" s="245">
        <v>155.0</v>
      </c>
      <c r="M204" s="245">
        <v>155.0</v>
      </c>
      <c r="N204" s="246">
        <v>15.5</v>
      </c>
      <c r="O204" s="247">
        <v>18.0</v>
      </c>
      <c r="P204" s="248">
        <v>20.5</v>
      </c>
    </row>
    <row r="205">
      <c r="A205" s="243" t="s">
        <v>846</v>
      </c>
      <c r="B205" s="244">
        <v>4662.0</v>
      </c>
      <c r="C205" s="243" t="s">
        <v>492</v>
      </c>
      <c r="D205" s="243" t="s">
        <v>563</v>
      </c>
      <c r="E205" s="243" t="s">
        <v>976</v>
      </c>
      <c r="F205" s="245">
        <v>7.0</v>
      </c>
      <c r="G205" s="245">
        <v>5.0</v>
      </c>
      <c r="H205" s="245">
        <v>2.0</v>
      </c>
      <c r="I205" s="245">
        <v>6.0</v>
      </c>
      <c r="J205" s="245">
        <v>4.0</v>
      </c>
      <c r="K205" s="245">
        <v>2.0</v>
      </c>
      <c r="L205" s="245">
        <v>21.0</v>
      </c>
      <c r="M205" s="245">
        <v>20.0</v>
      </c>
      <c r="N205" s="246">
        <v>2.0</v>
      </c>
      <c r="O205" s="247">
        <v>2.5</v>
      </c>
      <c r="P205" s="248">
        <v>3.0</v>
      </c>
    </row>
    <row r="206">
      <c r="A206" s="243" t="s">
        <v>697</v>
      </c>
      <c r="B206" s="244">
        <v>4665.0</v>
      </c>
      <c r="C206" s="243" t="s">
        <v>480</v>
      </c>
      <c r="D206" s="243" t="s">
        <v>481</v>
      </c>
      <c r="E206" s="243" t="s">
        <v>972</v>
      </c>
      <c r="F206" s="245">
        <v>7.0</v>
      </c>
      <c r="G206" s="245">
        <v>7.0</v>
      </c>
      <c r="H206" s="245">
        <v>0.0</v>
      </c>
      <c r="I206" s="245">
        <v>7.0</v>
      </c>
      <c r="J206" s="245">
        <v>7.0</v>
      </c>
      <c r="K206" s="245">
        <v>0.0</v>
      </c>
      <c r="L206" s="245">
        <v>15.0</v>
      </c>
      <c r="M206" s="245">
        <v>15.0</v>
      </c>
      <c r="N206" s="246">
        <v>1.5</v>
      </c>
      <c r="O206" s="247">
        <v>2.0</v>
      </c>
      <c r="P206" s="248">
        <v>2.0</v>
      </c>
    </row>
    <row r="207">
      <c r="A207" s="243" t="s">
        <v>750</v>
      </c>
      <c r="B207" s="244">
        <v>4686.0</v>
      </c>
      <c r="C207" s="243" t="s">
        <v>492</v>
      </c>
      <c r="D207" s="243" t="s">
        <v>930</v>
      </c>
      <c r="E207" s="243" t="s">
        <v>991</v>
      </c>
      <c r="F207" s="245">
        <v>7.0</v>
      </c>
      <c r="G207" s="245">
        <v>8.0</v>
      </c>
      <c r="H207" s="245">
        <v>-1.0</v>
      </c>
      <c r="I207" s="245">
        <v>8.0</v>
      </c>
      <c r="J207" s="245">
        <v>9.0</v>
      </c>
      <c r="K207" s="245">
        <v>-1.0</v>
      </c>
      <c r="L207" s="245">
        <v>19.0</v>
      </c>
      <c r="M207" s="245">
        <v>22.0</v>
      </c>
      <c r="N207" s="246">
        <v>2.5</v>
      </c>
      <c r="O207" s="247">
        <v>3.0</v>
      </c>
      <c r="P207" s="248">
        <v>3.0</v>
      </c>
    </row>
    <row r="208">
      <c r="A208" s="243" t="s">
        <v>1088</v>
      </c>
      <c r="B208" s="244">
        <v>4711.0</v>
      </c>
      <c r="C208" s="243" t="s">
        <v>492</v>
      </c>
      <c r="D208" s="243" t="s">
        <v>1089</v>
      </c>
      <c r="E208" s="243" t="s">
        <v>976</v>
      </c>
      <c r="F208" s="245">
        <v>4.0</v>
      </c>
      <c r="G208" s="245">
        <v>4.0</v>
      </c>
      <c r="H208" s="245">
        <v>0.0</v>
      </c>
      <c r="I208" s="245">
        <v>4.0</v>
      </c>
      <c r="J208" s="245">
        <v>5.0</v>
      </c>
      <c r="K208" s="245">
        <v>-1.0</v>
      </c>
      <c r="L208" s="245">
        <v>7.0</v>
      </c>
      <c r="M208" s="245">
        <v>9.0</v>
      </c>
      <c r="N208" s="246">
        <v>1.0</v>
      </c>
      <c r="O208" s="247">
        <v>1.5</v>
      </c>
      <c r="P208" s="248">
        <v>1.5</v>
      </c>
    </row>
    <row r="209">
      <c r="A209" s="243" t="s">
        <v>753</v>
      </c>
      <c r="B209" s="244">
        <v>4730.0</v>
      </c>
      <c r="C209" s="243" t="s">
        <v>507</v>
      </c>
      <c r="D209" s="243" t="s">
        <v>507</v>
      </c>
      <c r="E209" s="243" t="s">
        <v>980</v>
      </c>
      <c r="F209" s="245">
        <v>27.0</v>
      </c>
      <c r="G209" s="245">
        <v>28.0</v>
      </c>
      <c r="H209" s="245">
        <v>-1.0</v>
      </c>
      <c r="I209" s="245">
        <v>28.0</v>
      </c>
      <c r="J209" s="245">
        <v>29.0</v>
      </c>
      <c r="K209" s="245">
        <v>-1.0</v>
      </c>
      <c r="L209" s="245">
        <v>222.0</v>
      </c>
      <c r="M209" s="245">
        <v>222.0</v>
      </c>
      <c r="N209" s="246">
        <v>22.5</v>
      </c>
      <c r="O209" s="247">
        <v>26.0</v>
      </c>
      <c r="P209" s="248">
        <v>29.0</v>
      </c>
    </row>
    <row r="210">
      <c r="A210" s="243" t="s">
        <v>72</v>
      </c>
      <c r="B210" s="244">
        <v>4734.0</v>
      </c>
      <c r="C210" s="243" t="s">
        <v>480</v>
      </c>
      <c r="D210" s="243" t="s">
        <v>931</v>
      </c>
      <c r="E210" s="243" t="s">
        <v>1009</v>
      </c>
      <c r="F210" s="245">
        <v>8.0</v>
      </c>
      <c r="G210" s="245">
        <v>8.0</v>
      </c>
      <c r="H210" s="245">
        <v>0.0</v>
      </c>
      <c r="I210" s="245">
        <v>8.0</v>
      </c>
      <c r="J210" s="245">
        <v>8.0</v>
      </c>
      <c r="K210" s="245">
        <v>0.0</v>
      </c>
      <c r="L210" s="245">
        <v>16.0</v>
      </c>
      <c r="M210" s="245">
        <v>16.0</v>
      </c>
      <c r="N210" s="246">
        <v>2.0</v>
      </c>
      <c r="O210" s="247">
        <v>2.0</v>
      </c>
      <c r="P210" s="248">
        <v>2.5</v>
      </c>
    </row>
    <row r="211">
      <c r="A211" s="243" t="s">
        <v>769</v>
      </c>
      <c r="B211" s="244">
        <v>4751.0</v>
      </c>
      <c r="C211" s="243" t="s">
        <v>480</v>
      </c>
      <c r="D211" s="243" t="s">
        <v>481</v>
      </c>
      <c r="E211" s="243" t="s">
        <v>991</v>
      </c>
      <c r="F211" s="245">
        <v>13.0</v>
      </c>
      <c r="G211" s="245">
        <v>14.0</v>
      </c>
      <c r="H211" s="245">
        <v>-1.0</v>
      </c>
      <c r="I211" s="245">
        <v>13.0</v>
      </c>
      <c r="J211" s="245">
        <v>14.0</v>
      </c>
      <c r="K211" s="245">
        <v>-1.0</v>
      </c>
      <c r="L211" s="245">
        <v>41.0</v>
      </c>
      <c r="M211" s="245">
        <v>41.0</v>
      </c>
      <c r="N211" s="246">
        <v>4.5</v>
      </c>
      <c r="O211" s="247">
        <v>5.0</v>
      </c>
      <c r="P211" s="248">
        <v>5.5</v>
      </c>
    </row>
    <row r="212">
      <c r="A212" s="243" t="s">
        <v>321</v>
      </c>
      <c r="B212" s="244">
        <v>4772.0</v>
      </c>
      <c r="C212" s="243" t="s">
        <v>480</v>
      </c>
      <c r="D212" s="243" t="s">
        <v>931</v>
      </c>
      <c r="E212" s="243" t="s">
        <v>988</v>
      </c>
      <c r="F212" s="245">
        <v>9.0</v>
      </c>
      <c r="G212" s="245">
        <v>10.0</v>
      </c>
      <c r="H212" s="245">
        <v>-1.0</v>
      </c>
      <c r="I212" s="245">
        <v>9.0</v>
      </c>
      <c r="J212" s="245">
        <v>10.0</v>
      </c>
      <c r="K212" s="245">
        <v>-1.0</v>
      </c>
      <c r="L212" s="245">
        <v>27.0</v>
      </c>
      <c r="M212" s="245">
        <v>27.0</v>
      </c>
      <c r="N212" s="246">
        <v>3.0</v>
      </c>
      <c r="O212" s="247">
        <v>3.5</v>
      </c>
      <c r="P212" s="248">
        <v>4.0</v>
      </c>
    </row>
    <row r="213">
      <c r="A213" s="243" t="s">
        <v>405</v>
      </c>
      <c r="B213" s="244">
        <v>4777.0</v>
      </c>
      <c r="C213" s="243" t="s">
        <v>492</v>
      </c>
      <c r="D213" s="243" t="s">
        <v>930</v>
      </c>
      <c r="E213" s="243" t="s">
        <v>987</v>
      </c>
      <c r="F213" s="245">
        <v>16.0</v>
      </c>
      <c r="G213" s="245">
        <v>16.0</v>
      </c>
      <c r="H213" s="245">
        <v>0.0</v>
      </c>
      <c r="I213" s="245">
        <v>19.0</v>
      </c>
      <c r="J213" s="245">
        <v>19.0</v>
      </c>
      <c r="K213" s="245">
        <v>0.0</v>
      </c>
      <c r="L213" s="245">
        <v>57.0</v>
      </c>
      <c r="M213" s="245">
        <v>70.0</v>
      </c>
      <c r="N213" s="246">
        <v>7.0</v>
      </c>
      <c r="O213" s="247">
        <v>8.5</v>
      </c>
      <c r="P213" s="248">
        <v>9.5</v>
      </c>
    </row>
    <row r="214">
      <c r="A214" s="243" t="s">
        <v>688</v>
      </c>
      <c r="B214" s="244">
        <v>4816.0</v>
      </c>
      <c r="C214" s="243" t="s">
        <v>480</v>
      </c>
      <c r="D214" s="243" t="s">
        <v>1227</v>
      </c>
      <c r="E214" s="243" t="s">
        <v>991</v>
      </c>
      <c r="F214" s="245">
        <v>11.0</v>
      </c>
      <c r="G214" s="245">
        <v>12.0</v>
      </c>
      <c r="H214" s="245">
        <v>-1.0</v>
      </c>
      <c r="I214" s="245">
        <v>11.0</v>
      </c>
      <c r="J214" s="245">
        <v>12.0</v>
      </c>
      <c r="K214" s="245">
        <v>-1.0</v>
      </c>
      <c r="L214" s="245">
        <v>39.0</v>
      </c>
      <c r="M214" s="245">
        <v>39.0</v>
      </c>
      <c r="N214" s="246">
        <v>4.0</v>
      </c>
      <c r="O214" s="247">
        <v>4.5</v>
      </c>
      <c r="P214" s="248">
        <v>5.5</v>
      </c>
    </row>
    <row r="215">
      <c r="A215" s="243" t="s">
        <v>151</v>
      </c>
      <c r="B215" s="244">
        <v>4856.0</v>
      </c>
      <c r="C215" s="243" t="s">
        <v>492</v>
      </c>
      <c r="D215" s="243" t="s">
        <v>935</v>
      </c>
      <c r="E215" s="243" t="s">
        <v>991</v>
      </c>
      <c r="F215" s="245">
        <v>10.0</v>
      </c>
      <c r="G215" s="245">
        <v>11.0</v>
      </c>
      <c r="H215" s="245">
        <v>-1.0</v>
      </c>
      <c r="I215" s="245">
        <v>9.0</v>
      </c>
      <c r="J215" s="245">
        <v>10.0</v>
      </c>
      <c r="K215" s="245">
        <v>-1.0</v>
      </c>
      <c r="L215" s="245">
        <v>35.0</v>
      </c>
      <c r="M215" s="245">
        <v>35.0</v>
      </c>
      <c r="N215" s="246">
        <v>3.5</v>
      </c>
      <c r="O215" s="247">
        <v>4.5</v>
      </c>
      <c r="P215" s="248">
        <v>5.0</v>
      </c>
    </row>
    <row r="216">
      <c r="A216" s="243" t="s">
        <v>830</v>
      </c>
      <c r="B216" s="244">
        <v>4867.0</v>
      </c>
      <c r="C216" s="243" t="s">
        <v>477</v>
      </c>
      <c r="D216" s="243" t="s">
        <v>478</v>
      </c>
      <c r="E216" s="243" t="s">
        <v>1225</v>
      </c>
      <c r="F216" s="245">
        <v>8.0</v>
      </c>
      <c r="G216" s="245">
        <v>8.0</v>
      </c>
      <c r="H216" s="245">
        <v>0.0</v>
      </c>
      <c r="I216" s="245">
        <v>8.0</v>
      </c>
      <c r="J216" s="245">
        <v>8.0</v>
      </c>
      <c r="K216" s="245">
        <v>0.0</v>
      </c>
      <c r="L216" s="245">
        <v>23.0</v>
      </c>
      <c r="M216" s="245">
        <v>23.0</v>
      </c>
      <c r="N216" s="246">
        <v>2.5</v>
      </c>
      <c r="O216" s="247">
        <v>3.0</v>
      </c>
      <c r="P216" s="248">
        <v>3.0</v>
      </c>
    </row>
    <row r="217">
      <c r="A217" s="243" t="s">
        <v>763</v>
      </c>
      <c r="B217" s="244">
        <v>4870.0</v>
      </c>
      <c r="C217" s="243" t="s">
        <v>492</v>
      </c>
      <c r="D217" s="243" t="s">
        <v>930</v>
      </c>
      <c r="E217" s="243" t="s">
        <v>975</v>
      </c>
      <c r="F217" s="245">
        <v>3.0</v>
      </c>
      <c r="G217" s="245">
        <v>2.0</v>
      </c>
      <c r="H217" s="245">
        <v>1.0</v>
      </c>
      <c r="I217" s="245">
        <v>3.0</v>
      </c>
      <c r="J217" s="245">
        <v>2.0</v>
      </c>
      <c r="K217" s="245">
        <v>1.0</v>
      </c>
      <c r="L217" s="245">
        <v>3.0</v>
      </c>
      <c r="M217" s="245">
        <v>3.0</v>
      </c>
      <c r="N217" s="246">
        <v>0.5</v>
      </c>
      <c r="O217" s="247">
        <v>0.5</v>
      </c>
      <c r="P217" s="248">
        <v>0.5</v>
      </c>
    </row>
    <row r="218">
      <c r="A218" s="243" t="s">
        <v>273</v>
      </c>
      <c r="B218" s="244">
        <v>4871.0</v>
      </c>
      <c r="C218" s="243" t="s">
        <v>507</v>
      </c>
      <c r="D218" s="243" t="s">
        <v>512</v>
      </c>
      <c r="E218" s="243" t="s">
        <v>973</v>
      </c>
      <c r="F218" s="245">
        <v>32.0</v>
      </c>
      <c r="G218" s="245">
        <v>31.0</v>
      </c>
      <c r="H218" s="245">
        <v>1.0</v>
      </c>
      <c r="I218" s="245">
        <v>31.0</v>
      </c>
      <c r="J218" s="245">
        <v>30.0</v>
      </c>
      <c r="K218" s="245">
        <v>1.0</v>
      </c>
      <c r="L218" s="245">
        <v>260.0</v>
      </c>
      <c r="M218" s="245">
        <v>257.0</v>
      </c>
      <c r="N218" s="246">
        <v>26.0</v>
      </c>
      <c r="O218" s="247">
        <v>30.0</v>
      </c>
      <c r="P218" s="248">
        <v>33.5</v>
      </c>
    </row>
    <row r="219">
      <c r="A219" s="243" t="s">
        <v>606</v>
      </c>
      <c r="B219" s="244">
        <v>4887.0</v>
      </c>
      <c r="C219" s="243" t="s">
        <v>480</v>
      </c>
      <c r="D219" s="243" t="s">
        <v>521</v>
      </c>
      <c r="E219" s="243" t="s">
        <v>980</v>
      </c>
      <c r="F219" s="245">
        <v>13.0</v>
      </c>
      <c r="G219" s="245">
        <v>13.0</v>
      </c>
      <c r="H219" s="245">
        <v>0.0</v>
      </c>
      <c r="I219" s="245">
        <v>12.0</v>
      </c>
      <c r="J219" s="245">
        <v>12.0</v>
      </c>
      <c r="K219" s="245">
        <v>0.0</v>
      </c>
      <c r="L219" s="245">
        <v>45.0</v>
      </c>
      <c r="M219" s="245">
        <v>40.0</v>
      </c>
      <c r="N219" s="246">
        <v>4.0</v>
      </c>
      <c r="O219" s="247">
        <v>5.0</v>
      </c>
      <c r="P219" s="248">
        <v>5.5</v>
      </c>
    </row>
    <row r="220">
      <c r="A220" s="243" t="s">
        <v>891</v>
      </c>
      <c r="B220" s="244">
        <v>4890.0</v>
      </c>
      <c r="C220" s="243" t="s">
        <v>492</v>
      </c>
      <c r="D220" s="243" t="s">
        <v>930</v>
      </c>
      <c r="E220" s="243" t="s">
        <v>972</v>
      </c>
      <c r="F220" s="245">
        <v>5.0</v>
      </c>
      <c r="G220" s="245">
        <v>5.0</v>
      </c>
      <c r="H220" s="245">
        <v>0.0</v>
      </c>
      <c r="I220" s="245">
        <v>6.0</v>
      </c>
      <c r="J220" s="245">
        <v>6.0</v>
      </c>
      <c r="K220" s="245">
        <v>0.0</v>
      </c>
      <c r="L220" s="245">
        <v>9.0</v>
      </c>
      <c r="M220" s="245">
        <v>11.0</v>
      </c>
      <c r="N220" s="246">
        <v>1.5</v>
      </c>
      <c r="O220" s="247">
        <v>1.5</v>
      </c>
      <c r="P220" s="248">
        <v>1.5</v>
      </c>
    </row>
    <row r="221">
      <c r="A221" s="243" t="s">
        <v>869</v>
      </c>
      <c r="B221" s="244">
        <v>4892.0</v>
      </c>
      <c r="C221" s="243" t="s">
        <v>492</v>
      </c>
      <c r="D221" s="243" t="s">
        <v>563</v>
      </c>
      <c r="E221" s="243" t="s">
        <v>988</v>
      </c>
      <c r="F221" s="245">
        <v>5.0</v>
      </c>
      <c r="G221" s="245">
        <v>5.0</v>
      </c>
      <c r="H221" s="245">
        <v>0.0</v>
      </c>
      <c r="I221" s="245">
        <v>5.0</v>
      </c>
      <c r="J221" s="245">
        <v>5.0</v>
      </c>
      <c r="K221" s="245">
        <v>0.0</v>
      </c>
      <c r="L221" s="245">
        <v>12.0</v>
      </c>
      <c r="M221" s="245">
        <v>11.0</v>
      </c>
      <c r="N221" s="246">
        <v>1.5</v>
      </c>
      <c r="O221" s="247">
        <v>1.5</v>
      </c>
      <c r="P221" s="248">
        <v>1.5</v>
      </c>
    </row>
    <row r="222">
      <c r="A222" s="243" t="s">
        <v>645</v>
      </c>
      <c r="B222" s="244">
        <v>4896.0</v>
      </c>
      <c r="C222" s="243" t="s">
        <v>492</v>
      </c>
      <c r="D222" s="243" t="s">
        <v>947</v>
      </c>
      <c r="E222" s="243" t="s">
        <v>1225</v>
      </c>
      <c r="F222" s="245">
        <v>9.0</v>
      </c>
      <c r="G222" s="245">
        <v>9.0</v>
      </c>
      <c r="H222" s="245">
        <v>0.0</v>
      </c>
      <c r="I222" s="245">
        <v>8.0</v>
      </c>
      <c r="J222" s="245">
        <v>8.0</v>
      </c>
      <c r="K222" s="245">
        <v>0.0</v>
      </c>
      <c r="L222" s="245">
        <v>21.0</v>
      </c>
      <c r="M222" s="245">
        <v>23.0</v>
      </c>
      <c r="N222" s="246">
        <v>2.5</v>
      </c>
      <c r="O222" s="247">
        <v>3.0</v>
      </c>
      <c r="P222" s="248">
        <v>3.0</v>
      </c>
    </row>
    <row r="223">
      <c r="A223" s="243" t="s">
        <v>1263</v>
      </c>
      <c r="B223" s="244">
        <v>4904.0</v>
      </c>
      <c r="C223" s="243" t="s">
        <v>480</v>
      </c>
      <c r="D223" s="243" t="s">
        <v>481</v>
      </c>
      <c r="E223" s="243" t="s">
        <v>1225</v>
      </c>
      <c r="F223" s="245">
        <v>7.0</v>
      </c>
      <c r="G223" s="245">
        <v>7.0</v>
      </c>
      <c r="H223" s="245">
        <v>0.0</v>
      </c>
      <c r="I223" s="245">
        <v>7.0</v>
      </c>
      <c r="J223" s="245">
        <v>7.0</v>
      </c>
      <c r="K223" s="245">
        <v>0.0</v>
      </c>
      <c r="L223" s="245">
        <v>15.0</v>
      </c>
      <c r="M223" s="245">
        <v>15.0</v>
      </c>
      <c r="N223" s="246">
        <v>1.5</v>
      </c>
      <c r="O223" s="247">
        <v>2.0</v>
      </c>
      <c r="P223" s="248">
        <v>2.0</v>
      </c>
    </row>
    <row r="224">
      <c r="A224" s="243" t="s">
        <v>754</v>
      </c>
      <c r="B224" s="244">
        <v>4911.0</v>
      </c>
      <c r="C224" s="243" t="s">
        <v>492</v>
      </c>
      <c r="D224" s="243" t="s">
        <v>492</v>
      </c>
      <c r="E224" s="243" t="s">
        <v>976</v>
      </c>
      <c r="F224" s="245">
        <v>20.0</v>
      </c>
      <c r="G224" s="245">
        <v>20.0</v>
      </c>
      <c r="H224" s="245">
        <v>0.0</v>
      </c>
      <c r="I224" s="245">
        <v>19.0</v>
      </c>
      <c r="J224" s="245">
        <v>19.0</v>
      </c>
      <c r="K224" s="245">
        <v>0.0</v>
      </c>
      <c r="L224" s="245">
        <v>66.0</v>
      </c>
      <c r="M224" s="245">
        <v>66.0</v>
      </c>
      <c r="N224" s="246">
        <v>7.0</v>
      </c>
      <c r="O224" s="247">
        <v>8.0</v>
      </c>
      <c r="P224" s="248">
        <v>9.0</v>
      </c>
    </row>
    <row r="225">
      <c r="A225" s="243" t="s">
        <v>758</v>
      </c>
      <c r="B225" s="244">
        <v>4923.0</v>
      </c>
      <c r="C225" s="243" t="s">
        <v>507</v>
      </c>
      <c r="D225" s="243" t="s">
        <v>512</v>
      </c>
      <c r="E225" s="243" t="s">
        <v>1222</v>
      </c>
      <c r="F225" s="245">
        <v>13.0</v>
      </c>
      <c r="G225" s="245">
        <v>12.0</v>
      </c>
      <c r="H225" s="245">
        <v>1.0</v>
      </c>
      <c r="I225" s="245">
        <v>12.0</v>
      </c>
      <c r="J225" s="245">
        <v>11.0</v>
      </c>
      <c r="K225" s="245">
        <v>1.0</v>
      </c>
      <c r="L225" s="245">
        <v>55.0</v>
      </c>
      <c r="M225" s="245">
        <v>50.0</v>
      </c>
      <c r="N225" s="246">
        <v>5.0</v>
      </c>
      <c r="O225" s="247">
        <v>6.0</v>
      </c>
      <c r="P225" s="248">
        <v>6.5</v>
      </c>
    </row>
    <row r="226">
      <c r="A226" s="243" t="s">
        <v>775</v>
      </c>
      <c r="B226" s="244">
        <v>4925.0</v>
      </c>
      <c r="C226" s="243" t="s">
        <v>480</v>
      </c>
      <c r="D226" s="243" t="s">
        <v>1022</v>
      </c>
      <c r="E226" s="243" t="s">
        <v>1225</v>
      </c>
      <c r="F226" s="245">
        <v>4.0</v>
      </c>
      <c r="G226" s="245">
        <v>5.0</v>
      </c>
      <c r="H226" s="245">
        <v>-1.0</v>
      </c>
      <c r="I226" s="245">
        <v>6.0</v>
      </c>
      <c r="J226" s="245">
        <v>6.0</v>
      </c>
      <c r="K226" s="245">
        <v>0.0</v>
      </c>
      <c r="L226" s="245">
        <v>8.0</v>
      </c>
      <c r="M226" s="245">
        <v>9.0</v>
      </c>
      <c r="N226" s="246">
        <v>1.0</v>
      </c>
      <c r="O226" s="247">
        <v>1.5</v>
      </c>
      <c r="P226" s="248">
        <v>1.5</v>
      </c>
    </row>
    <row r="227">
      <c r="A227" s="243" t="s">
        <v>1031</v>
      </c>
      <c r="B227" s="244">
        <v>4929.0</v>
      </c>
      <c r="C227" s="243" t="s">
        <v>477</v>
      </c>
      <c r="D227" s="243" t="s">
        <v>478</v>
      </c>
      <c r="E227" s="243" t="s">
        <v>975</v>
      </c>
      <c r="F227" s="245">
        <v>1.0</v>
      </c>
      <c r="G227" s="245">
        <v>1.0</v>
      </c>
      <c r="H227" s="245">
        <v>0.0</v>
      </c>
      <c r="I227" s="245">
        <v>1.0</v>
      </c>
      <c r="J227" s="245">
        <v>1.0</v>
      </c>
      <c r="K227" s="245">
        <v>0.0</v>
      </c>
      <c r="L227" s="245">
        <v>1.0</v>
      </c>
      <c r="M227" s="245">
        <v>1.0</v>
      </c>
      <c r="N227" s="246">
        <v>0.5</v>
      </c>
      <c r="O227" s="247">
        <v>0.5</v>
      </c>
      <c r="P227" s="248">
        <v>0.5</v>
      </c>
    </row>
    <row r="228">
      <c r="A228" s="243" t="s">
        <v>139</v>
      </c>
      <c r="B228" s="244">
        <v>4947.0</v>
      </c>
      <c r="C228" s="243" t="s">
        <v>492</v>
      </c>
      <c r="D228" s="243" t="s">
        <v>930</v>
      </c>
      <c r="E228" s="243" t="s">
        <v>980</v>
      </c>
      <c r="F228" s="245">
        <v>7.0</v>
      </c>
      <c r="G228" s="245">
        <v>4.0</v>
      </c>
      <c r="H228" s="245">
        <v>3.0</v>
      </c>
      <c r="I228" s="245">
        <v>8.0</v>
      </c>
      <c r="J228" s="245">
        <v>5.0</v>
      </c>
      <c r="K228" s="245">
        <v>3.0</v>
      </c>
      <c r="L228" s="245">
        <v>38.0</v>
      </c>
      <c r="M228" s="245">
        <v>48.0</v>
      </c>
      <c r="N228" s="246">
        <v>5.0</v>
      </c>
      <c r="O228" s="247">
        <v>6.0</v>
      </c>
      <c r="P228" s="248">
        <v>6.5</v>
      </c>
    </row>
    <row r="229">
      <c r="A229" s="243" t="s">
        <v>735</v>
      </c>
      <c r="B229" s="244">
        <v>4957.0</v>
      </c>
      <c r="C229" s="243" t="s">
        <v>477</v>
      </c>
      <c r="D229" s="243" t="s">
        <v>478</v>
      </c>
      <c r="E229" s="243" t="s">
        <v>983</v>
      </c>
      <c r="F229" s="245">
        <v>7.0</v>
      </c>
      <c r="G229" s="245">
        <v>7.0</v>
      </c>
      <c r="H229" s="245">
        <v>0.0</v>
      </c>
      <c r="I229" s="245">
        <v>7.0</v>
      </c>
      <c r="J229" s="245">
        <v>7.0</v>
      </c>
      <c r="K229" s="245">
        <v>0.0</v>
      </c>
      <c r="L229" s="245">
        <v>30.0</v>
      </c>
      <c r="M229" s="245">
        <v>30.0</v>
      </c>
      <c r="N229" s="246">
        <v>3.0</v>
      </c>
      <c r="O229" s="247">
        <v>3.5</v>
      </c>
      <c r="P229" s="248">
        <v>4.0</v>
      </c>
    </row>
    <row r="230">
      <c r="A230" s="243" t="s">
        <v>1264</v>
      </c>
      <c r="B230" s="244">
        <v>4958.0</v>
      </c>
      <c r="C230" s="243" t="s">
        <v>480</v>
      </c>
      <c r="D230" s="243" t="s">
        <v>1022</v>
      </c>
      <c r="E230" s="243" t="s">
        <v>1225</v>
      </c>
      <c r="F230" s="245">
        <v>5.0</v>
      </c>
      <c r="G230" s="245">
        <v>5.0</v>
      </c>
      <c r="H230" s="245">
        <v>0.0</v>
      </c>
      <c r="I230" s="245">
        <v>5.0</v>
      </c>
      <c r="J230" s="245">
        <v>5.0</v>
      </c>
      <c r="K230" s="245">
        <v>0.0</v>
      </c>
      <c r="L230" s="245">
        <v>8.0</v>
      </c>
      <c r="M230" s="245">
        <v>8.0</v>
      </c>
      <c r="N230" s="246">
        <v>1.0</v>
      </c>
      <c r="O230" s="247">
        <v>1.0</v>
      </c>
      <c r="P230" s="248">
        <v>1.5</v>
      </c>
    </row>
    <row r="231">
      <c r="A231" s="243" t="s">
        <v>840</v>
      </c>
      <c r="B231" s="244">
        <v>4965.0</v>
      </c>
      <c r="C231" s="243" t="s">
        <v>492</v>
      </c>
      <c r="D231" s="243" t="s">
        <v>930</v>
      </c>
      <c r="E231" s="243" t="s">
        <v>975</v>
      </c>
      <c r="F231" s="245">
        <v>6.0</v>
      </c>
      <c r="G231" s="245">
        <v>6.0</v>
      </c>
      <c r="H231" s="245">
        <v>0.0</v>
      </c>
      <c r="I231" s="245">
        <v>6.0</v>
      </c>
      <c r="J231" s="245">
        <v>6.0</v>
      </c>
      <c r="K231" s="245">
        <v>0.0</v>
      </c>
      <c r="L231" s="245">
        <v>13.0</v>
      </c>
      <c r="M231" s="245">
        <v>15.0</v>
      </c>
      <c r="N231" s="246">
        <v>1.5</v>
      </c>
      <c r="O231" s="247">
        <v>2.0</v>
      </c>
      <c r="P231" s="248">
        <v>2.0</v>
      </c>
    </row>
    <row r="232">
      <c r="A232" s="243" t="s">
        <v>702</v>
      </c>
      <c r="B232" s="244">
        <v>4970.0</v>
      </c>
      <c r="C232" s="243" t="s">
        <v>492</v>
      </c>
      <c r="D232" s="243" t="s">
        <v>1056</v>
      </c>
      <c r="E232" s="243" t="s">
        <v>1026</v>
      </c>
      <c r="F232" s="245">
        <v>10.0</v>
      </c>
      <c r="G232" s="245">
        <v>9.0</v>
      </c>
      <c r="H232" s="245">
        <v>1.0</v>
      </c>
      <c r="I232" s="245">
        <v>10.0</v>
      </c>
      <c r="J232" s="245">
        <v>9.0</v>
      </c>
      <c r="K232" s="245">
        <v>1.0</v>
      </c>
      <c r="L232" s="245">
        <v>24.0</v>
      </c>
      <c r="M232" s="245">
        <v>22.0</v>
      </c>
      <c r="N232" s="246">
        <v>2.5</v>
      </c>
      <c r="O232" s="247">
        <v>3.0</v>
      </c>
      <c r="P232" s="248">
        <v>3.0</v>
      </c>
    </row>
    <row r="233">
      <c r="A233" s="243" t="s">
        <v>732</v>
      </c>
      <c r="B233" s="244">
        <v>4973.0</v>
      </c>
      <c r="C233" s="243" t="s">
        <v>492</v>
      </c>
      <c r="D233" s="243" t="s">
        <v>930</v>
      </c>
      <c r="E233" s="243" t="s">
        <v>976</v>
      </c>
      <c r="F233" s="245">
        <v>6.0</v>
      </c>
      <c r="G233" s="245">
        <v>7.0</v>
      </c>
      <c r="H233" s="245">
        <v>-1.0</v>
      </c>
      <c r="I233" s="245">
        <v>7.0</v>
      </c>
      <c r="J233" s="245">
        <v>8.0</v>
      </c>
      <c r="K233" s="245">
        <v>-1.0</v>
      </c>
      <c r="L233" s="245">
        <v>12.0</v>
      </c>
      <c r="M233" s="245">
        <v>14.0</v>
      </c>
      <c r="N233" s="246">
        <v>1.5</v>
      </c>
      <c r="O233" s="247">
        <v>2.0</v>
      </c>
      <c r="P233" s="248">
        <v>2.0</v>
      </c>
    </row>
    <row r="234">
      <c r="A234" s="243" t="s">
        <v>667</v>
      </c>
      <c r="B234" s="244">
        <v>4976.0</v>
      </c>
      <c r="C234" s="243" t="s">
        <v>480</v>
      </c>
      <c r="D234" s="243" t="s">
        <v>937</v>
      </c>
      <c r="E234" s="243" t="s">
        <v>976</v>
      </c>
      <c r="F234" s="245">
        <v>4.0</v>
      </c>
      <c r="G234" s="245">
        <v>4.0</v>
      </c>
      <c r="H234" s="245">
        <v>0.0</v>
      </c>
      <c r="I234" s="245">
        <v>4.0</v>
      </c>
      <c r="J234" s="245">
        <v>5.0</v>
      </c>
      <c r="K234" s="245">
        <v>-1.0</v>
      </c>
      <c r="L234" s="245">
        <v>12.0</v>
      </c>
      <c r="M234" s="245">
        <v>15.0</v>
      </c>
      <c r="N234" s="246">
        <v>1.5</v>
      </c>
      <c r="O234" s="247">
        <v>2.0</v>
      </c>
      <c r="P234" s="248">
        <v>2.0</v>
      </c>
    </row>
    <row r="235">
      <c r="A235" s="243" t="s">
        <v>811</v>
      </c>
      <c r="B235" s="244">
        <v>4982.0</v>
      </c>
      <c r="C235" s="243" t="s">
        <v>480</v>
      </c>
      <c r="D235" s="243" t="s">
        <v>481</v>
      </c>
      <c r="E235" s="243" t="s">
        <v>1009</v>
      </c>
      <c r="F235" s="245">
        <v>7.0</v>
      </c>
      <c r="G235" s="245">
        <v>6.0</v>
      </c>
      <c r="H235" s="245">
        <v>1.0</v>
      </c>
      <c r="I235" s="245">
        <v>7.0</v>
      </c>
      <c r="J235" s="245">
        <v>6.0</v>
      </c>
      <c r="K235" s="245">
        <v>1.0</v>
      </c>
      <c r="L235" s="245">
        <v>17.0</v>
      </c>
      <c r="M235" s="245">
        <v>17.0</v>
      </c>
      <c r="N235" s="246">
        <v>2.0</v>
      </c>
      <c r="O235" s="247">
        <v>2.0</v>
      </c>
      <c r="P235" s="248">
        <v>2.5</v>
      </c>
    </row>
    <row r="236">
      <c r="A236" s="243" t="s">
        <v>1265</v>
      </c>
      <c r="B236" s="244">
        <v>4992.0</v>
      </c>
      <c r="C236" s="243" t="s">
        <v>492</v>
      </c>
      <c r="D236" s="243" t="s">
        <v>563</v>
      </c>
      <c r="E236" s="243" t="s">
        <v>1222</v>
      </c>
      <c r="F236" s="245">
        <v>7.0</v>
      </c>
      <c r="G236" s="245">
        <v>5.0</v>
      </c>
      <c r="H236" s="245">
        <v>2.0</v>
      </c>
      <c r="I236" s="245">
        <v>7.0</v>
      </c>
      <c r="J236" s="245">
        <v>5.0</v>
      </c>
      <c r="K236" s="245">
        <v>2.0</v>
      </c>
      <c r="L236" s="245">
        <v>20.0</v>
      </c>
      <c r="M236" s="245">
        <v>18.0</v>
      </c>
      <c r="N236" s="246">
        <v>2.0</v>
      </c>
      <c r="O236" s="247">
        <v>2.5</v>
      </c>
      <c r="P236" s="248">
        <v>2.5</v>
      </c>
    </row>
    <row r="237">
      <c r="A237" s="243" t="s">
        <v>875</v>
      </c>
      <c r="B237" s="244">
        <v>4994.0</v>
      </c>
      <c r="C237" s="243" t="s">
        <v>480</v>
      </c>
      <c r="D237" s="243" t="s">
        <v>1019</v>
      </c>
      <c r="E237" s="243" t="s">
        <v>972</v>
      </c>
      <c r="F237" s="245">
        <v>7.0</v>
      </c>
      <c r="G237" s="245">
        <v>6.0</v>
      </c>
      <c r="H237" s="245">
        <v>1.0</v>
      </c>
      <c r="I237" s="245">
        <v>8.0</v>
      </c>
      <c r="J237" s="245">
        <v>7.0</v>
      </c>
      <c r="K237" s="245">
        <v>1.0</v>
      </c>
      <c r="L237" s="245">
        <v>12.0</v>
      </c>
      <c r="M237" s="245">
        <v>14.0</v>
      </c>
      <c r="N237" s="246">
        <v>1.5</v>
      </c>
      <c r="O237" s="247">
        <v>2.0</v>
      </c>
      <c r="P237" s="248">
        <v>2.0</v>
      </c>
    </row>
    <row r="238">
      <c r="A238" s="243" t="s">
        <v>730</v>
      </c>
      <c r="B238" s="244">
        <v>5007.0</v>
      </c>
      <c r="C238" s="243" t="s">
        <v>492</v>
      </c>
      <c r="D238" s="243" t="s">
        <v>492</v>
      </c>
      <c r="E238" s="243" t="s">
        <v>972</v>
      </c>
      <c r="F238" s="245">
        <v>9.0</v>
      </c>
      <c r="G238" s="245">
        <v>7.0</v>
      </c>
      <c r="H238" s="245">
        <v>2.0</v>
      </c>
      <c r="I238" s="245">
        <v>9.0</v>
      </c>
      <c r="J238" s="245">
        <v>7.0</v>
      </c>
      <c r="K238" s="245">
        <v>2.0</v>
      </c>
      <c r="L238" s="245">
        <v>21.0</v>
      </c>
      <c r="M238" s="245">
        <v>21.0</v>
      </c>
      <c r="N238" s="246">
        <v>2.5</v>
      </c>
      <c r="O238" s="247">
        <v>2.5</v>
      </c>
      <c r="P238" s="248">
        <v>3.0</v>
      </c>
    </row>
    <row r="239">
      <c r="A239" s="243" t="s">
        <v>615</v>
      </c>
      <c r="B239" s="244">
        <v>5010.0</v>
      </c>
      <c r="C239" s="243" t="s">
        <v>480</v>
      </c>
      <c r="D239" s="243" t="s">
        <v>481</v>
      </c>
      <c r="E239" s="243" t="s">
        <v>1222</v>
      </c>
      <c r="F239" s="245">
        <v>7.0</v>
      </c>
      <c r="G239" s="245">
        <v>6.0</v>
      </c>
      <c r="H239" s="245">
        <v>1.0</v>
      </c>
      <c r="I239" s="245">
        <v>7.0</v>
      </c>
      <c r="J239" s="245">
        <v>6.0</v>
      </c>
      <c r="K239" s="245">
        <v>1.0</v>
      </c>
      <c r="L239" s="245">
        <v>9.0</v>
      </c>
      <c r="M239" s="245">
        <v>9.0</v>
      </c>
      <c r="N239" s="246">
        <v>1.0</v>
      </c>
      <c r="O239" s="247">
        <v>1.5</v>
      </c>
      <c r="P239" s="248">
        <v>1.5</v>
      </c>
    </row>
    <row r="240">
      <c r="A240" s="243" t="s">
        <v>410</v>
      </c>
      <c r="B240" s="244">
        <v>5022.0</v>
      </c>
      <c r="C240" s="243" t="s">
        <v>480</v>
      </c>
      <c r="D240" s="243" t="s">
        <v>481</v>
      </c>
      <c r="E240" s="243" t="s">
        <v>991</v>
      </c>
      <c r="F240" s="245">
        <v>10.0</v>
      </c>
      <c r="G240" s="245">
        <v>10.0</v>
      </c>
      <c r="H240" s="245">
        <v>0.0</v>
      </c>
      <c r="I240" s="245">
        <v>10.0</v>
      </c>
      <c r="J240" s="245">
        <v>10.0</v>
      </c>
      <c r="K240" s="245">
        <v>0.0</v>
      </c>
      <c r="L240" s="245">
        <v>29.0</v>
      </c>
      <c r="M240" s="245">
        <v>29.0</v>
      </c>
      <c r="N240" s="246">
        <v>3.0</v>
      </c>
      <c r="O240" s="247">
        <v>3.5</v>
      </c>
      <c r="P240" s="248">
        <v>4.0</v>
      </c>
    </row>
    <row r="241">
      <c r="A241" s="243" t="s">
        <v>627</v>
      </c>
      <c r="B241" s="244">
        <v>5079.0</v>
      </c>
      <c r="C241" s="243" t="s">
        <v>507</v>
      </c>
      <c r="D241" s="243" t="s">
        <v>512</v>
      </c>
      <c r="E241" s="243" t="s">
        <v>1233</v>
      </c>
      <c r="F241" s="245">
        <v>15.0</v>
      </c>
      <c r="G241" s="245">
        <v>16.0</v>
      </c>
      <c r="H241" s="245">
        <v>-1.0</v>
      </c>
      <c r="I241" s="245">
        <v>14.0</v>
      </c>
      <c r="J241" s="245">
        <v>15.0</v>
      </c>
      <c r="K241" s="245">
        <v>-1.0</v>
      </c>
      <c r="L241" s="245">
        <v>78.0</v>
      </c>
      <c r="M241" s="245">
        <v>75.0</v>
      </c>
      <c r="N241" s="246">
        <v>7.5</v>
      </c>
      <c r="O241" s="247">
        <v>9.0</v>
      </c>
      <c r="P241" s="248">
        <v>10.0</v>
      </c>
    </row>
    <row r="242">
      <c r="A242" s="243" t="s">
        <v>374</v>
      </c>
      <c r="B242" s="244">
        <v>5116.0</v>
      </c>
      <c r="C242" s="243" t="s">
        <v>477</v>
      </c>
      <c r="D242" s="243" t="s">
        <v>478</v>
      </c>
      <c r="E242" s="243" t="s">
        <v>973</v>
      </c>
      <c r="F242" s="245">
        <v>2.0</v>
      </c>
      <c r="G242" s="245">
        <v>2.0</v>
      </c>
      <c r="H242" s="245">
        <v>0.0</v>
      </c>
      <c r="I242" s="245">
        <v>2.0</v>
      </c>
      <c r="J242" s="245">
        <v>2.0</v>
      </c>
      <c r="K242" s="245">
        <v>0.0</v>
      </c>
      <c r="L242" s="245">
        <v>4.0</v>
      </c>
      <c r="M242" s="245">
        <v>4.0</v>
      </c>
      <c r="N242" s="246">
        <v>0.5</v>
      </c>
      <c r="O242" s="247">
        <v>0.5</v>
      </c>
      <c r="P242" s="248">
        <v>1.0</v>
      </c>
    </row>
    <row r="243">
      <c r="A243" s="243" t="s">
        <v>387</v>
      </c>
      <c r="B243" s="244">
        <v>5119.0</v>
      </c>
      <c r="C243" s="243" t="s">
        <v>492</v>
      </c>
      <c r="D243" s="243" t="s">
        <v>543</v>
      </c>
      <c r="E243" s="243" t="s">
        <v>980</v>
      </c>
      <c r="F243" s="245">
        <v>17.0</v>
      </c>
      <c r="G243" s="245">
        <v>17.0</v>
      </c>
      <c r="H243" s="245">
        <v>0.0</v>
      </c>
      <c r="I243" s="245">
        <v>16.0</v>
      </c>
      <c r="J243" s="245">
        <v>16.0</v>
      </c>
      <c r="K243" s="245">
        <v>0.0</v>
      </c>
      <c r="L243" s="245">
        <v>53.0</v>
      </c>
      <c r="M243" s="245">
        <v>48.0</v>
      </c>
      <c r="N243" s="246">
        <v>5.0</v>
      </c>
      <c r="O243" s="247">
        <v>6.0</v>
      </c>
      <c r="P243" s="248">
        <v>6.5</v>
      </c>
    </row>
    <row r="244">
      <c r="A244" s="243" t="s">
        <v>621</v>
      </c>
      <c r="B244" s="244">
        <v>5131.0</v>
      </c>
      <c r="C244" s="243" t="s">
        <v>492</v>
      </c>
      <c r="D244" s="243" t="s">
        <v>930</v>
      </c>
      <c r="E244" s="243" t="s">
        <v>987</v>
      </c>
      <c r="F244" s="245">
        <v>7.0</v>
      </c>
      <c r="G244" s="245">
        <v>7.0</v>
      </c>
      <c r="H244" s="245">
        <v>0.0</v>
      </c>
      <c r="I244" s="245">
        <v>8.0</v>
      </c>
      <c r="J244" s="245">
        <v>8.0</v>
      </c>
      <c r="K244" s="245">
        <v>0.0</v>
      </c>
      <c r="L244" s="245">
        <v>11.0</v>
      </c>
      <c r="M244" s="245">
        <v>13.0</v>
      </c>
      <c r="N244" s="246">
        <v>1.5</v>
      </c>
      <c r="O244" s="247">
        <v>1.5</v>
      </c>
      <c r="P244" s="248">
        <v>2.0</v>
      </c>
    </row>
    <row r="245">
      <c r="A245" s="243" t="s">
        <v>1266</v>
      </c>
      <c r="B245" s="244">
        <v>5286.0</v>
      </c>
      <c r="C245" s="243" t="s">
        <v>492</v>
      </c>
      <c r="D245" s="243" t="s">
        <v>930</v>
      </c>
      <c r="E245" s="243" t="s">
        <v>1000</v>
      </c>
      <c r="F245" s="245">
        <v>1.0</v>
      </c>
      <c r="G245" s="245">
        <v>1.0</v>
      </c>
      <c r="H245" s="245">
        <v>0.0</v>
      </c>
      <c r="I245" s="245">
        <v>1.0</v>
      </c>
      <c r="J245" s="245">
        <v>1.0</v>
      </c>
      <c r="K245" s="245">
        <v>0.0</v>
      </c>
      <c r="L245" s="245">
        <v>2.0</v>
      </c>
      <c r="M245" s="245">
        <v>2.0</v>
      </c>
      <c r="N245" s="246">
        <v>0.5</v>
      </c>
      <c r="O245" s="247">
        <v>0.5</v>
      </c>
      <c r="P245" s="248">
        <v>0.5</v>
      </c>
    </row>
    <row r="246">
      <c r="A246" s="243" t="s">
        <v>692</v>
      </c>
      <c r="B246" s="244">
        <v>5290.0</v>
      </c>
      <c r="C246" s="243" t="s">
        <v>492</v>
      </c>
      <c r="D246" s="243" t="s">
        <v>930</v>
      </c>
      <c r="E246" s="243" t="s">
        <v>985</v>
      </c>
      <c r="F246" s="245">
        <v>4.0</v>
      </c>
      <c r="G246" s="245">
        <v>4.0</v>
      </c>
      <c r="H246" s="245">
        <v>0.0</v>
      </c>
      <c r="I246" s="245">
        <v>5.0</v>
      </c>
      <c r="J246" s="245">
        <v>5.0</v>
      </c>
      <c r="K246" s="245">
        <v>0.0</v>
      </c>
      <c r="L246" s="245">
        <v>10.0</v>
      </c>
      <c r="M246" s="245">
        <v>12.0</v>
      </c>
      <c r="N246" s="246">
        <v>1.5</v>
      </c>
      <c r="O246" s="247">
        <v>1.5</v>
      </c>
      <c r="P246" s="248">
        <v>2.0</v>
      </c>
    </row>
    <row r="247">
      <c r="A247" s="243" t="s">
        <v>1115</v>
      </c>
      <c r="B247" s="244">
        <v>5295.0</v>
      </c>
      <c r="C247" s="243" t="s">
        <v>492</v>
      </c>
      <c r="D247" s="243" t="s">
        <v>1056</v>
      </c>
      <c r="E247" s="243" t="s">
        <v>991</v>
      </c>
      <c r="F247" s="245">
        <v>5.0</v>
      </c>
      <c r="G247" s="245">
        <v>4.0</v>
      </c>
      <c r="H247" s="245">
        <v>1.0</v>
      </c>
      <c r="I247" s="245">
        <v>5.0</v>
      </c>
      <c r="J247" s="245">
        <v>4.0</v>
      </c>
      <c r="K247" s="245">
        <v>1.0</v>
      </c>
      <c r="L247" s="245">
        <v>10.0</v>
      </c>
      <c r="M247" s="245">
        <v>10.0</v>
      </c>
      <c r="N247" s="246">
        <v>1.0</v>
      </c>
      <c r="O247" s="247">
        <v>1.5</v>
      </c>
      <c r="P247" s="248">
        <v>1.5</v>
      </c>
    </row>
    <row r="248">
      <c r="A248" s="243" t="s">
        <v>684</v>
      </c>
      <c r="B248" s="244">
        <v>5297.0</v>
      </c>
      <c r="C248" s="243" t="s">
        <v>507</v>
      </c>
      <c r="D248" s="243" t="s">
        <v>507</v>
      </c>
      <c r="E248" s="243" t="s">
        <v>975</v>
      </c>
      <c r="F248" s="245">
        <v>12.0</v>
      </c>
      <c r="G248" s="245">
        <v>12.0</v>
      </c>
      <c r="H248" s="245">
        <v>0.0</v>
      </c>
      <c r="I248" s="245">
        <v>12.0</v>
      </c>
      <c r="J248" s="245">
        <v>12.0</v>
      </c>
      <c r="K248" s="245">
        <v>0.0</v>
      </c>
      <c r="L248" s="245">
        <v>38.0</v>
      </c>
      <c r="M248" s="245">
        <v>40.0</v>
      </c>
      <c r="N248" s="246">
        <v>4.0</v>
      </c>
      <c r="O248" s="247">
        <v>5.0</v>
      </c>
      <c r="P248" s="248">
        <v>5.5</v>
      </c>
    </row>
    <row r="249">
      <c r="A249" s="243" t="s">
        <v>829</v>
      </c>
      <c r="B249" s="244">
        <v>5298.0</v>
      </c>
      <c r="C249" s="243" t="s">
        <v>492</v>
      </c>
      <c r="D249" s="243" t="s">
        <v>930</v>
      </c>
      <c r="E249" s="243" t="s">
        <v>1009</v>
      </c>
      <c r="F249" s="245">
        <v>2.0</v>
      </c>
      <c r="G249" s="245">
        <v>2.0</v>
      </c>
      <c r="H249" s="245">
        <v>0.0</v>
      </c>
      <c r="I249" s="245">
        <v>3.0</v>
      </c>
      <c r="J249" s="245">
        <v>3.0</v>
      </c>
      <c r="K249" s="245">
        <v>0.0</v>
      </c>
      <c r="L249" s="245">
        <v>10.0</v>
      </c>
      <c r="M249" s="245">
        <v>12.0</v>
      </c>
      <c r="N249" s="246">
        <v>1.5</v>
      </c>
      <c r="O249" s="247">
        <v>1.5</v>
      </c>
      <c r="P249" s="248">
        <v>2.0</v>
      </c>
    </row>
    <row r="250">
      <c r="A250" s="243" t="s">
        <v>653</v>
      </c>
      <c r="B250" s="244">
        <v>5307.0</v>
      </c>
      <c r="C250" s="243" t="s">
        <v>480</v>
      </c>
      <c r="D250" s="243" t="s">
        <v>481</v>
      </c>
      <c r="E250" s="243" t="s">
        <v>985</v>
      </c>
      <c r="F250" s="245">
        <v>3.0</v>
      </c>
      <c r="G250" s="245">
        <v>3.0</v>
      </c>
      <c r="H250" s="245">
        <v>0.0</v>
      </c>
      <c r="I250" s="245">
        <v>3.0</v>
      </c>
      <c r="J250" s="245">
        <v>3.0</v>
      </c>
      <c r="K250" s="245">
        <v>0.0</v>
      </c>
      <c r="L250" s="245">
        <v>5.0</v>
      </c>
      <c r="M250" s="245">
        <v>5.0</v>
      </c>
      <c r="N250" s="246">
        <v>0.5</v>
      </c>
      <c r="O250" s="247">
        <v>1.0</v>
      </c>
      <c r="P250" s="248">
        <v>1.0</v>
      </c>
    </row>
    <row r="251">
      <c r="A251" s="243" t="s">
        <v>1267</v>
      </c>
      <c r="B251" s="244">
        <v>5311.0</v>
      </c>
      <c r="C251" s="243" t="s">
        <v>507</v>
      </c>
      <c r="D251" s="243" t="s">
        <v>512</v>
      </c>
      <c r="E251" s="243" t="s">
        <v>988</v>
      </c>
      <c r="F251" s="245">
        <v>5.0</v>
      </c>
      <c r="G251" s="245">
        <v>3.0</v>
      </c>
      <c r="H251" s="245">
        <v>2.0</v>
      </c>
      <c r="I251" s="245">
        <v>5.0</v>
      </c>
      <c r="J251" s="245">
        <v>3.0</v>
      </c>
      <c r="K251" s="245">
        <v>2.0</v>
      </c>
      <c r="L251" s="245">
        <v>6.0</v>
      </c>
      <c r="M251" s="245">
        <v>6.0</v>
      </c>
      <c r="N251" s="246">
        <v>1.0</v>
      </c>
      <c r="O251" s="247">
        <v>1.0</v>
      </c>
      <c r="P251" s="248">
        <v>1.0</v>
      </c>
    </row>
    <row r="252">
      <c r="A252" s="243" t="s">
        <v>675</v>
      </c>
      <c r="B252" s="244">
        <v>5319.0</v>
      </c>
      <c r="C252" s="243" t="s">
        <v>492</v>
      </c>
      <c r="D252" s="243" t="s">
        <v>492</v>
      </c>
      <c r="E252" s="243" t="s">
        <v>985</v>
      </c>
      <c r="F252" s="245">
        <v>6.0</v>
      </c>
      <c r="G252" s="245">
        <v>5.0</v>
      </c>
      <c r="H252" s="245">
        <v>1.0</v>
      </c>
      <c r="I252" s="245">
        <v>5.0</v>
      </c>
      <c r="J252" s="245">
        <v>4.0</v>
      </c>
      <c r="K252" s="245">
        <v>1.0</v>
      </c>
      <c r="L252" s="245">
        <v>13.0</v>
      </c>
      <c r="M252" s="245">
        <v>13.0</v>
      </c>
      <c r="N252" s="246">
        <v>1.5</v>
      </c>
      <c r="O252" s="247">
        <v>1.5</v>
      </c>
      <c r="P252" s="248">
        <v>2.0</v>
      </c>
    </row>
    <row r="253">
      <c r="A253" s="243" t="s">
        <v>191</v>
      </c>
      <c r="B253" s="244">
        <v>5320.0</v>
      </c>
      <c r="C253" s="243" t="s">
        <v>477</v>
      </c>
      <c r="D253" s="243" t="s">
        <v>478</v>
      </c>
      <c r="E253" s="243" t="s">
        <v>972</v>
      </c>
      <c r="F253" s="245">
        <v>1.0</v>
      </c>
      <c r="G253" s="245">
        <v>1.0</v>
      </c>
      <c r="H253" s="245">
        <v>0.0</v>
      </c>
      <c r="I253" s="245">
        <v>1.0</v>
      </c>
      <c r="J253" s="245">
        <v>1.0</v>
      </c>
      <c r="K253" s="245">
        <v>0.0</v>
      </c>
      <c r="L253" s="245">
        <v>1.0</v>
      </c>
      <c r="M253" s="245">
        <v>1.0</v>
      </c>
      <c r="N253" s="246">
        <v>0.5</v>
      </c>
      <c r="O253" s="247">
        <v>0.5</v>
      </c>
      <c r="P253" s="248">
        <v>0.5</v>
      </c>
    </row>
    <row r="254">
      <c r="A254" s="243" t="s">
        <v>728</v>
      </c>
      <c r="B254" s="244">
        <v>5322.0</v>
      </c>
      <c r="C254" s="243" t="s">
        <v>507</v>
      </c>
      <c r="D254" s="243" t="s">
        <v>935</v>
      </c>
      <c r="E254" s="243" t="s">
        <v>985</v>
      </c>
      <c r="F254" s="245">
        <v>8.0</v>
      </c>
      <c r="G254" s="245">
        <v>8.0</v>
      </c>
      <c r="H254" s="245">
        <v>0.0</v>
      </c>
      <c r="I254" s="245">
        <v>9.0</v>
      </c>
      <c r="J254" s="245">
        <v>9.0</v>
      </c>
      <c r="K254" s="245">
        <v>0.0</v>
      </c>
      <c r="L254" s="245">
        <v>17.0</v>
      </c>
      <c r="M254" s="245">
        <v>20.0</v>
      </c>
      <c r="N254" s="246">
        <v>2.0</v>
      </c>
      <c r="O254" s="247">
        <v>2.5</v>
      </c>
      <c r="P254" s="248">
        <v>3.0</v>
      </c>
    </row>
    <row r="255">
      <c r="A255" s="243" t="s">
        <v>638</v>
      </c>
      <c r="B255" s="244">
        <v>5323.0</v>
      </c>
      <c r="C255" s="243" t="s">
        <v>480</v>
      </c>
      <c r="D255" s="243" t="s">
        <v>481</v>
      </c>
      <c r="E255" s="243" t="s">
        <v>1033</v>
      </c>
      <c r="F255" s="245">
        <v>10.0</v>
      </c>
      <c r="G255" s="245">
        <v>11.0</v>
      </c>
      <c r="H255" s="245">
        <v>-1.0</v>
      </c>
      <c r="I255" s="245">
        <v>10.0</v>
      </c>
      <c r="J255" s="245">
        <v>11.0</v>
      </c>
      <c r="K255" s="245">
        <v>-1.0</v>
      </c>
      <c r="L255" s="245">
        <v>32.0</v>
      </c>
      <c r="M255" s="245">
        <v>32.0</v>
      </c>
      <c r="N255" s="246">
        <v>3.5</v>
      </c>
      <c r="O255" s="247">
        <v>4.0</v>
      </c>
      <c r="P255" s="248">
        <v>4.5</v>
      </c>
    </row>
    <row r="256">
      <c r="A256" s="243" t="s">
        <v>689</v>
      </c>
      <c r="B256" s="244">
        <v>5324.0</v>
      </c>
      <c r="C256" s="243" t="s">
        <v>480</v>
      </c>
      <c r="D256" s="243" t="s">
        <v>1227</v>
      </c>
      <c r="E256" s="243" t="s">
        <v>980</v>
      </c>
      <c r="F256" s="245">
        <v>7.0</v>
      </c>
      <c r="G256" s="245">
        <v>7.0</v>
      </c>
      <c r="H256" s="245">
        <v>0.0</v>
      </c>
      <c r="I256" s="245">
        <v>9.0</v>
      </c>
      <c r="J256" s="245">
        <v>9.0</v>
      </c>
      <c r="K256" s="245">
        <v>0.0</v>
      </c>
      <c r="L256" s="245">
        <v>15.0</v>
      </c>
      <c r="M256" s="245">
        <v>18.0</v>
      </c>
      <c r="N256" s="246">
        <v>2.0</v>
      </c>
      <c r="O256" s="247">
        <v>2.5</v>
      </c>
      <c r="P256" s="248">
        <v>2.5</v>
      </c>
    </row>
    <row r="257">
      <c r="A257" s="243" t="s">
        <v>1268</v>
      </c>
      <c r="B257" s="244">
        <v>5327.0</v>
      </c>
      <c r="C257" s="243" t="s">
        <v>480</v>
      </c>
      <c r="D257" s="243" t="s">
        <v>481</v>
      </c>
      <c r="E257" s="243" t="s">
        <v>985</v>
      </c>
      <c r="F257" s="245">
        <v>4.0</v>
      </c>
      <c r="G257" s="245">
        <v>4.0</v>
      </c>
      <c r="H257" s="245">
        <v>0.0</v>
      </c>
      <c r="I257" s="245">
        <v>4.0</v>
      </c>
      <c r="J257" s="245">
        <v>4.0</v>
      </c>
      <c r="K257" s="245">
        <v>0.0</v>
      </c>
      <c r="L257" s="245">
        <v>6.0</v>
      </c>
      <c r="M257" s="245">
        <v>6.0</v>
      </c>
      <c r="N257" s="246">
        <v>1.0</v>
      </c>
      <c r="O257" s="247">
        <v>1.0</v>
      </c>
      <c r="P257" s="248">
        <v>1.0</v>
      </c>
    </row>
    <row r="258">
      <c r="A258" s="243" t="s">
        <v>844</v>
      </c>
      <c r="B258" s="244">
        <v>5353.0</v>
      </c>
      <c r="C258" s="243" t="s">
        <v>480</v>
      </c>
      <c r="D258" s="243" t="s">
        <v>481</v>
      </c>
      <c r="E258" s="243" t="s">
        <v>985</v>
      </c>
      <c r="F258" s="245">
        <v>3.0</v>
      </c>
      <c r="G258" s="245">
        <v>1.0</v>
      </c>
      <c r="H258" s="245">
        <v>2.0</v>
      </c>
      <c r="I258" s="245">
        <v>3.0</v>
      </c>
      <c r="J258" s="245">
        <v>1.0</v>
      </c>
      <c r="K258" s="245">
        <v>2.0</v>
      </c>
      <c r="L258" s="245">
        <v>1.0</v>
      </c>
      <c r="M258" s="245">
        <v>1.0</v>
      </c>
      <c r="N258" s="246">
        <v>0.5</v>
      </c>
      <c r="O258" s="247">
        <v>0.5</v>
      </c>
      <c r="P258" s="248">
        <v>0.5</v>
      </c>
    </row>
    <row r="259">
      <c r="A259" s="243" t="s">
        <v>815</v>
      </c>
      <c r="B259" s="244">
        <v>5354.0</v>
      </c>
      <c r="C259" s="243" t="s">
        <v>480</v>
      </c>
      <c r="D259" s="243" t="s">
        <v>521</v>
      </c>
      <c r="E259" s="243" t="s">
        <v>980</v>
      </c>
      <c r="F259" s="245">
        <v>12.0</v>
      </c>
      <c r="G259" s="245">
        <v>11.0</v>
      </c>
      <c r="H259" s="245">
        <v>1.0</v>
      </c>
      <c r="I259" s="245">
        <v>11.0</v>
      </c>
      <c r="J259" s="245">
        <v>10.0</v>
      </c>
      <c r="K259" s="245">
        <v>1.0</v>
      </c>
      <c r="L259" s="245">
        <v>42.0</v>
      </c>
      <c r="M259" s="245">
        <v>40.0</v>
      </c>
      <c r="N259" s="246">
        <v>4.0</v>
      </c>
      <c r="O259" s="247">
        <v>5.0</v>
      </c>
      <c r="P259" s="248">
        <v>5.5</v>
      </c>
    </row>
    <row r="260">
      <c r="A260" s="243" t="s">
        <v>894</v>
      </c>
      <c r="B260" s="244">
        <v>5384.0</v>
      </c>
      <c r="C260" s="243" t="s">
        <v>477</v>
      </c>
      <c r="D260" s="243" t="s">
        <v>478</v>
      </c>
      <c r="E260" s="243" t="s">
        <v>988</v>
      </c>
      <c r="F260" s="245">
        <v>1.0</v>
      </c>
      <c r="G260" s="245">
        <v>1.0</v>
      </c>
      <c r="H260" s="245">
        <v>0.0</v>
      </c>
      <c r="I260" s="245">
        <v>1.0</v>
      </c>
      <c r="J260" s="245">
        <v>1.0</v>
      </c>
      <c r="K260" s="245">
        <v>0.0</v>
      </c>
      <c r="L260" s="245">
        <v>1.0</v>
      </c>
      <c r="M260" s="245">
        <v>1.0</v>
      </c>
      <c r="N260" s="246">
        <v>0.5</v>
      </c>
      <c r="O260" s="247">
        <v>0.5</v>
      </c>
      <c r="P260" s="248">
        <v>0.5</v>
      </c>
    </row>
    <row r="261">
      <c r="A261" s="243" t="s">
        <v>843</v>
      </c>
      <c r="B261" s="244">
        <v>5393.0</v>
      </c>
      <c r="C261" s="243" t="s">
        <v>492</v>
      </c>
      <c r="D261" s="243" t="s">
        <v>935</v>
      </c>
      <c r="E261" s="243" t="s">
        <v>985</v>
      </c>
      <c r="F261" s="245">
        <v>21.0</v>
      </c>
      <c r="G261" s="245">
        <v>19.0</v>
      </c>
      <c r="H261" s="245">
        <v>2.0</v>
      </c>
      <c r="I261" s="245">
        <v>20.0</v>
      </c>
      <c r="J261" s="245">
        <v>18.0</v>
      </c>
      <c r="K261" s="245">
        <v>2.0</v>
      </c>
      <c r="L261" s="245">
        <v>107.0</v>
      </c>
      <c r="M261" s="245">
        <v>107.0</v>
      </c>
      <c r="N261" s="246">
        <v>11.0</v>
      </c>
      <c r="O261" s="247">
        <v>12.5</v>
      </c>
      <c r="P261" s="248">
        <v>14.0</v>
      </c>
    </row>
    <row r="262">
      <c r="A262" s="243" t="s">
        <v>1269</v>
      </c>
      <c r="B262" s="244">
        <v>5421.0</v>
      </c>
      <c r="C262" s="243" t="s">
        <v>492</v>
      </c>
      <c r="D262" s="243" t="s">
        <v>934</v>
      </c>
      <c r="E262" s="243" t="s">
        <v>985</v>
      </c>
      <c r="F262" s="245">
        <v>2.0</v>
      </c>
      <c r="G262" s="245">
        <v>1.0</v>
      </c>
      <c r="H262" s="245">
        <v>1.0</v>
      </c>
      <c r="I262" s="245">
        <v>2.0</v>
      </c>
      <c r="J262" s="245">
        <v>1.0</v>
      </c>
      <c r="K262" s="245">
        <v>1.0</v>
      </c>
      <c r="L262" s="245">
        <v>1.0</v>
      </c>
      <c r="M262" s="245">
        <v>1.0</v>
      </c>
      <c r="N262" s="246">
        <v>0.5</v>
      </c>
      <c r="O262" s="247">
        <v>0.5</v>
      </c>
      <c r="P262" s="248">
        <v>0.5</v>
      </c>
    </row>
    <row r="263">
      <c r="A263" s="243" t="s">
        <v>656</v>
      </c>
      <c r="B263" s="244">
        <v>5422.0</v>
      </c>
      <c r="C263" s="243" t="s">
        <v>492</v>
      </c>
      <c r="D263" s="243" t="s">
        <v>563</v>
      </c>
      <c r="E263" s="243" t="s">
        <v>988</v>
      </c>
      <c r="F263" s="245">
        <v>3.0</v>
      </c>
      <c r="G263" s="245">
        <v>2.0</v>
      </c>
      <c r="H263" s="245">
        <v>1.0</v>
      </c>
      <c r="I263" s="245">
        <v>3.0</v>
      </c>
      <c r="J263" s="245">
        <v>2.0</v>
      </c>
      <c r="K263" s="245">
        <v>1.0</v>
      </c>
      <c r="L263" s="245">
        <v>8.0</v>
      </c>
      <c r="M263" s="245">
        <v>7.0</v>
      </c>
      <c r="N263" s="246">
        <v>1.0</v>
      </c>
      <c r="O263" s="247">
        <v>1.0</v>
      </c>
      <c r="P263" s="248">
        <v>1.0</v>
      </c>
    </row>
    <row r="264">
      <c r="A264" s="243" t="s">
        <v>808</v>
      </c>
      <c r="B264" s="244">
        <v>5423.0</v>
      </c>
      <c r="C264" s="243" t="s">
        <v>492</v>
      </c>
      <c r="D264" s="243" t="s">
        <v>930</v>
      </c>
      <c r="E264" s="243" t="s">
        <v>1033</v>
      </c>
      <c r="F264" s="245">
        <v>4.0</v>
      </c>
      <c r="G264" s="245">
        <v>5.0</v>
      </c>
      <c r="H264" s="245">
        <v>-1.0</v>
      </c>
      <c r="I264" s="245">
        <v>6.0</v>
      </c>
      <c r="J264" s="245">
        <v>6.0</v>
      </c>
      <c r="K264" s="245">
        <v>0.0</v>
      </c>
      <c r="L264" s="245">
        <v>10.0</v>
      </c>
      <c r="M264" s="245">
        <v>12.0</v>
      </c>
      <c r="N264" s="246">
        <v>1.5</v>
      </c>
      <c r="O264" s="247">
        <v>1.5</v>
      </c>
      <c r="P264" s="248">
        <v>2.0</v>
      </c>
    </row>
    <row r="265">
      <c r="A265" s="243" t="s">
        <v>827</v>
      </c>
      <c r="B265" s="244">
        <v>5425.0</v>
      </c>
      <c r="C265" s="243" t="s">
        <v>492</v>
      </c>
      <c r="D265" s="243" t="s">
        <v>1038</v>
      </c>
      <c r="E265" s="243" t="s">
        <v>1009</v>
      </c>
      <c r="F265" s="245">
        <v>4.0</v>
      </c>
      <c r="G265" s="245">
        <v>5.0</v>
      </c>
      <c r="H265" s="245">
        <v>-1.0</v>
      </c>
      <c r="I265" s="245">
        <v>6.0</v>
      </c>
      <c r="J265" s="245">
        <v>6.0</v>
      </c>
      <c r="K265" s="245">
        <v>0.0</v>
      </c>
      <c r="L265" s="245">
        <v>10.0</v>
      </c>
      <c r="M265" s="245">
        <v>11.0</v>
      </c>
      <c r="N265" s="246">
        <v>1.5</v>
      </c>
      <c r="O265" s="247">
        <v>1.5</v>
      </c>
      <c r="P265" s="248">
        <v>1.5</v>
      </c>
    </row>
    <row r="266">
      <c r="A266" s="243" t="s">
        <v>736</v>
      </c>
      <c r="B266" s="244">
        <v>5435.0</v>
      </c>
      <c r="C266" s="243" t="s">
        <v>480</v>
      </c>
      <c r="D266" s="243" t="s">
        <v>931</v>
      </c>
      <c r="E266" s="243" t="s">
        <v>974</v>
      </c>
      <c r="F266" s="245">
        <v>6.0</v>
      </c>
      <c r="G266" s="245">
        <v>7.0</v>
      </c>
      <c r="H266" s="245">
        <v>-1.0</v>
      </c>
      <c r="I266" s="245">
        <v>6.0</v>
      </c>
      <c r="J266" s="245">
        <v>7.0</v>
      </c>
      <c r="K266" s="245">
        <v>-1.0</v>
      </c>
      <c r="L266" s="245">
        <v>17.0</v>
      </c>
      <c r="M266" s="245">
        <v>17.0</v>
      </c>
      <c r="N266" s="246">
        <v>2.0</v>
      </c>
      <c r="O266" s="247">
        <v>2.0</v>
      </c>
      <c r="P266" s="248">
        <v>2.5</v>
      </c>
    </row>
    <row r="267">
      <c r="A267" s="243" t="s">
        <v>1270</v>
      </c>
      <c r="B267" s="244">
        <v>5436.0</v>
      </c>
      <c r="C267" s="243" t="s">
        <v>507</v>
      </c>
      <c r="D267" s="243" t="s">
        <v>512</v>
      </c>
      <c r="E267" s="243" t="s">
        <v>1233</v>
      </c>
      <c r="F267" s="245">
        <v>2.0</v>
      </c>
      <c r="G267" s="245">
        <v>1.0</v>
      </c>
      <c r="H267" s="245">
        <v>1.0</v>
      </c>
      <c r="I267" s="245">
        <v>2.0</v>
      </c>
      <c r="J267" s="245">
        <v>1.0</v>
      </c>
      <c r="K267" s="245">
        <v>1.0</v>
      </c>
      <c r="L267" s="245">
        <v>2.0</v>
      </c>
      <c r="M267" s="245">
        <v>2.0</v>
      </c>
      <c r="N267" s="246">
        <v>0.5</v>
      </c>
      <c r="O267" s="247">
        <v>0.5</v>
      </c>
      <c r="P267" s="248">
        <v>0.5</v>
      </c>
    </row>
    <row r="268">
      <c r="A268" s="243" t="s">
        <v>1271</v>
      </c>
      <c r="B268" s="244">
        <v>5447.0</v>
      </c>
      <c r="C268" s="243" t="s">
        <v>480</v>
      </c>
      <c r="D268" s="243" t="s">
        <v>481</v>
      </c>
      <c r="E268" s="243" t="s">
        <v>1233</v>
      </c>
      <c r="F268" s="245">
        <v>3.0</v>
      </c>
      <c r="G268" s="245">
        <v>3.0</v>
      </c>
      <c r="H268" s="245">
        <v>0.0</v>
      </c>
      <c r="I268" s="245">
        <v>3.0</v>
      </c>
      <c r="J268" s="245">
        <v>3.0</v>
      </c>
      <c r="K268" s="245">
        <v>0.0</v>
      </c>
      <c r="L268" s="245">
        <v>8.0</v>
      </c>
      <c r="M268" s="245">
        <v>8.0</v>
      </c>
      <c r="N268" s="246">
        <v>1.0</v>
      </c>
      <c r="O268" s="247">
        <v>1.0</v>
      </c>
      <c r="P268" s="248">
        <v>1.5</v>
      </c>
    </row>
    <row r="269">
      <c r="A269" s="243" t="s">
        <v>635</v>
      </c>
      <c r="B269" s="244">
        <v>5449.0</v>
      </c>
      <c r="C269" s="243" t="s">
        <v>480</v>
      </c>
      <c r="D269" s="243" t="s">
        <v>931</v>
      </c>
      <c r="E269" s="243" t="s">
        <v>1033</v>
      </c>
      <c r="F269" s="245">
        <v>8.0</v>
      </c>
      <c r="G269" s="245">
        <v>8.0</v>
      </c>
      <c r="H269" s="245">
        <v>0.0</v>
      </c>
      <c r="I269" s="245">
        <v>8.0</v>
      </c>
      <c r="J269" s="245">
        <v>8.0</v>
      </c>
      <c r="K269" s="245">
        <v>0.0</v>
      </c>
      <c r="L269" s="245">
        <v>20.0</v>
      </c>
      <c r="M269" s="245">
        <v>20.0</v>
      </c>
      <c r="N269" s="246">
        <v>2.0</v>
      </c>
      <c r="O269" s="247">
        <v>2.5</v>
      </c>
      <c r="P269" s="248">
        <v>3.0</v>
      </c>
    </row>
    <row r="270">
      <c r="A270" s="243" t="s">
        <v>79</v>
      </c>
      <c r="B270" s="244">
        <v>5453.0</v>
      </c>
      <c r="C270" s="243" t="s">
        <v>492</v>
      </c>
      <c r="D270" s="243" t="s">
        <v>930</v>
      </c>
      <c r="E270" s="243" t="s">
        <v>972</v>
      </c>
      <c r="F270" s="245">
        <v>8.0</v>
      </c>
      <c r="G270" s="245">
        <v>8.0</v>
      </c>
      <c r="H270" s="245">
        <v>0.0</v>
      </c>
      <c r="I270" s="245">
        <v>9.0</v>
      </c>
      <c r="J270" s="245">
        <v>9.0</v>
      </c>
      <c r="K270" s="245">
        <v>0.0</v>
      </c>
      <c r="L270" s="245">
        <v>20.0</v>
      </c>
      <c r="M270" s="245">
        <v>22.0</v>
      </c>
      <c r="N270" s="246">
        <v>2.5</v>
      </c>
      <c r="O270" s="247">
        <v>3.0</v>
      </c>
      <c r="P270" s="248">
        <v>3.0</v>
      </c>
    </row>
    <row r="271">
      <c r="A271" s="243" t="s">
        <v>1101</v>
      </c>
      <c r="B271" s="244">
        <v>5457.0</v>
      </c>
      <c r="C271" s="243" t="s">
        <v>492</v>
      </c>
      <c r="D271" s="243" t="s">
        <v>492</v>
      </c>
      <c r="E271" s="243" t="s">
        <v>1222</v>
      </c>
      <c r="F271" s="245">
        <v>4.0</v>
      </c>
      <c r="G271" s="245">
        <v>3.0</v>
      </c>
      <c r="H271" s="245">
        <v>1.0</v>
      </c>
      <c r="I271" s="245">
        <v>4.0</v>
      </c>
      <c r="J271" s="245">
        <v>3.0</v>
      </c>
      <c r="K271" s="245">
        <v>1.0</v>
      </c>
      <c r="L271" s="245">
        <v>8.0</v>
      </c>
      <c r="M271" s="245">
        <v>8.0</v>
      </c>
      <c r="N271" s="246">
        <v>1.0</v>
      </c>
      <c r="O271" s="247">
        <v>1.0</v>
      </c>
      <c r="P271" s="248">
        <v>1.5</v>
      </c>
    </row>
    <row r="272">
      <c r="A272" s="243" t="s">
        <v>619</v>
      </c>
      <c r="B272" s="244">
        <v>5471.0</v>
      </c>
      <c r="C272" s="243" t="s">
        <v>507</v>
      </c>
      <c r="D272" s="243" t="s">
        <v>512</v>
      </c>
      <c r="E272" s="243" t="s">
        <v>1225</v>
      </c>
      <c r="F272" s="245">
        <v>11.0</v>
      </c>
      <c r="G272" s="245">
        <v>12.0</v>
      </c>
      <c r="H272" s="245">
        <v>-1.0</v>
      </c>
      <c r="I272" s="245">
        <v>11.0</v>
      </c>
      <c r="J272" s="245">
        <v>12.0</v>
      </c>
      <c r="K272" s="245">
        <v>-1.0</v>
      </c>
      <c r="L272" s="245">
        <v>31.0</v>
      </c>
      <c r="M272" s="245">
        <v>27.0</v>
      </c>
      <c r="N272" s="246">
        <v>3.0</v>
      </c>
      <c r="O272" s="247">
        <v>3.5</v>
      </c>
      <c r="P272" s="248">
        <v>4.0</v>
      </c>
    </row>
    <row r="273">
      <c r="A273" s="243" t="s">
        <v>1272</v>
      </c>
      <c r="B273" s="244">
        <v>5480.0</v>
      </c>
      <c r="C273" s="243" t="s">
        <v>480</v>
      </c>
      <c r="D273" s="243" t="s">
        <v>938</v>
      </c>
      <c r="E273" s="243" t="s">
        <v>1222</v>
      </c>
      <c r="F273" s="245">
        <v>4.0</v>
      </c>
      <c r="G273" s="245">
        <v>4.0</v>
      </c>
      <c r="H273" s="245">
        <v>0.0</v>
      </c>
      <c r="I273" s="245">
        <v>4.0</v>
      </c>
      <c r="J273" s="245">
        <v>4.0</v>
      </c>
      <c r="K273" s="245">
        <v>0.0</v>
      </c>
      <c r="L273" s="245">
        <v>6.0</v>
      </c>
      <c r="M273" s="245">
        <v>6.0</v>
      </c>
      <c r="N273" s="246">
        <v>1.0</v>
      </c>
      <c r="O273" s="247">
        <v>1.0</v>
      </c>
      <c r="P273" s="248">
        <v>1.0</v>
      </c>
    </row>
    <row r="274">
      <c r="A274" s="243" t="s">
        <v>885</v>
      </c>
      <c r="B274" s="244">
        <v>5481.0</v>
      </c>
      <c r="C274" s="243" t="s">
        <v>480</v>
      </c>
      <c r="D274" s="243" t="s">
        <v>521</v>
      </c>
      <c r="E274" s="243" t="s">
        <v>987</v>
      </c>
      <c r="F274" s="245">
        <v>4.0</v>
      </c>
      <c r="G274" s="245">
        <v>4.0</v>
      </c>
      <c r="H274" s="245">
        <v>0.0</v>
      </c>
      <c r="I274" s="245">
        <v>4.0</v>
      </c>
      <c r="J274" s="245">
        <v>4.0</v>
      </c>
      <c r="K274" s="245">
        <v>0.0</v>
      </c>
      <c r="L274" s="245">
        <v>12.0</v>
      </c>
      <c r="M274" s="245">
        <v>12.0</v>
      </c>
      <c r="N274" s="246">
        <v>1.5</v>
      </c>
      <c r="O274" s="247">
        <v>1.5</v>
      </c>
      <c r="P274" s="248">
        <v>2.0</v>
      </c>
    </row>
    <row r="275">
      <c r="A275" s="243" t="s">
        <v>1273</v>
      </c>
      <c r="B275" s="244">
        <v>5484.0</v>
      </c>
      <c r="C275" s="243" t="s">
        <v>480</v>
      </c>
      <c r="D275" s="243" t="s">
        <v>481</v>
      </c>
      <c r="E275" s="243" t="s">
        <v>1233</v>
      </c>
      <c r="F275" s="245">
        <v>4.0</v>
      </c>
      <c r="G275" s="245">
        <v>4.0</v>
      </c>
      <c r="H275" s="245">
        <v>0.0</v>
      </c>
      <c r="I275" s="245">
        <v>4.0</v>
      </c>
      <c r="J275" s="245">
        <v>4.0</v>
      </c>
      <c r="K275" s="245">
        <v>0.0</v>
      </c>
      <c r="L275" s="245">
        <v>6.0</v>
      </c>
      <c r="M275" s="245">
        <v>6.0</v>
      </c>
      <c r="N275" s="246">
        <v>1.0</v>
      </c>
      <c r="O275" s="247">
        <v>1.0</v>
      </c>
      <c r="P275" s="248">
        <v>1.0</v>
      </c>
    </row>
    <row r="276">
      <c r="A276" s="243" t="s">
        <v>1274</v>
      </c>
      <c r="B276" s="244">
        <v>5485.0</v>
      </c>
      <c r="C276" s="243" t="s">
        <v>492</v>
      </c>
      <c r="D276" s="243" t="s">
        <v>1056</v>
      </c>
      <c r="E276" s="243" t="s">
        <v>1233</v>
      </c>
      <c r="F276" s="245">
        <v>4.0</v>
      </c>
      <c r="G276" s="245">
        <v>4.0</v>
      </c>
      <c r="H276" s="245">
        <v>0.0</v>
      </c>
      <c r="I276" s="245">
        <v>4.0</v>
      </c>
      <c r="J276" s="245">
        <v>4.0</v>
      </c>
      <c r="K276" s="245">
        <v>0.0</v>
      </c>
      <c r="L276" s="245">
        <v>6.0</v>
      </c>
      <c r="M276" s="245">
        <v>6.0</v>
      </c>
      <c r="N276" s="246">
        <v>1.0</v>
      </c>
      <c r="O276" s="247">
        <v>1.0</v>
      </c>
      <c r="P276" s="248">
        <v>1.0</v>
      </c>
    </row>
    <row r="277">
      <c r="A277" s="243" t="s">
        <v>1275</v>
      </c>
      <c r="B277" s="244">
        <v>5486.0</v>
      </c>
      <c r="C277" s="243" t="s">
        <v>492</v>
      </c>
      <c r="D277" s="243" t="s">
        <v>492</v>
      </c>
      <c r="E277" s="243" t="s">
        <v>1233</v>
      </c>
      <c r="F277" s="245">
        <v>2.0</v>
      </c>
      <c r="G277" s="245">
        <v>1.0</v>
      </c>
      <c r="H277" s="245">
        <v>1.0</v>
      </c>
      <c r="I277" s="245">
        <v>2.0</v>
      </c>
      <c r="J277" s="245">
        <v>1.0</v>
      </c>
      <c r="K277" s="245">
        <v>1.0</v>
      </c>
      <c r="L277" s="245">
        <v>1.0</v>
      </c>
      <c r="M277" s="245">
        <v>1.0</v>
      </c>
      <c r="N277" s="246">
        <v>0.5</v>
      </c>
      <c r="O277" s="247">
        <v>0.5</v>
      </c>
      <c r="P277" s="248">
        <v>0.5</v>
      </c>
    </row>
    <row r="278">
      <c r="A278" s="243" t="s">
        <v>861</v>
      </c>
      <c r="B278" s="244">
        <v>5498.0</v>
      </c>
      <c r="C278" s="243" t="s">
        <v>480</v>
      </c>
      <c r="D278" s="243" t="s">
        <v>481</v>
      </c>
      <c r="E278" s="243" t="s">
        <v>1009</v>
      </c>
      <c r="F278" s="245">
        <v>8.0</v>
      </c>
      <c r="G278" s="245">
        <v>8.0</v>
      </c>
      <c r="H278" s="245">
        <v>0.0</v>
      </c>
      <c r="I278" s="245">
        <v>8.0</v>
      </c>
      <c r="J278" s="245">
        <v>8.0</v>
      </c>
      <c r="K278" s="245">
        <v>0.0</v>
      </c>
      <c r="L278" s="245">
        <v>15.0</v>
      </c>
      <c r="M278" s="245">
        <v>15.0</v>
      </c>
      <c r="N278" s="246">
        <v>1.5</v>
      </c>
      <c r="O278" s="247">
        <v>2.0</v>
      </c>
      <c r="P278" s="248">
        <v>2.0</v>
      </c>
    </row>
    <row r="279">
      <c r="A279" s="243" t="s">
        <v>903</v>
      </c>
      <c r="B279" s="244">
        <v>5500.0</v>
      </c>
      <c r="C279" s="243" t="s">
        <v>507</v>
      </c>
      <c r="D279" s="243" t="s">
        <v>935</v>
      </c>
      <c r="E279" s="243" t="s">
        <v>985</v>
      </c>
      <c r="F279" s="245">
        <v>6.0</v>
      </c>
      <c r="G279" s="245">
        <v>4.0</v>
      </c>
      <c r="H279" s="245">
        <v>2.0</v>
      </c>
      <c r="I279" s="245">
        <v>6.0</v>
      </c>
      <c r="J279" s="245">
        <v>4.0</v>
      </c>
      <c r="K279" s="245">
        <v>2.0</v>
      </c>
      <c r="L279" s="245">
        <v>13.0</v>
      </c>
      <c r="M279" s="245">
        <v>13.0</v>
      </c>
      <c r="N279" s="246">
        <v>1.5</v>
      </c>
      <c r="O279" s="247">
        <v>1.5</v>
      </c>
      <c r="P279" s="248">
        <v>2.0</v>
      </c>
    </row>
    <row r="280">
      <c r="A280" s="243" t="s">
        <v>1037</v>
      </c>
      <c r="B280" s="244">
        <v>5504.0</v>
      </c>
      <c r="C280" s="243" t="s">
        <v>492</v>
      </c>
      <c r="D280" s="243" t="s">
        <v>930</v>
      </c>
      <c r="E280" s="243" t="s">
        <v>998</v>
      </c>
      <c r="F280" s="245">
        <v>5.0</v>
      </c>
      <c r="G280" s="245">
        <v>5.0</v>
      </c>
      <c r="H280" s="245">
        <v>0.0</v>
      </c>
      <c r="I280" s="245">
        <v>5.0</v>
      </c>
      <c r="J280" s="245">
        <v>5.0</v>
      </c>
      <c r="K280" s="245">
        <v>0.0</v>
      </c>
      <c r="L280" s="245">
        <v>9.0</v>
      </c>
      <c r="M280" s="245">
        <v>10.0</v>
      </c>
      <c r="N280" s="246">
        <v>1.0</v>
      </c>
      <c r="O280" s="247">
        <v>1.5</v>
      </c>
      <c r="P280" s="248">
        <v>1.5</v>
      </c>
    </row>
    <row r="281">
      <c r="A281" s="243" t="s">
        <v>1054</v>
      </c>
      <c r="B281" s="244">
        <v>5506.0</v>
      </c>
      <c r="C281" s="243" t="s">
        <v>507</v>
      </c>
      <c r="D281" s="243" t="s">
        <v>507</v>
      </c>
      <c r="E281" s="243" t="s">
        <v>1026</v>
      </c>
      <c r="F281" s="245">
        <v>9.0</v>
      </c>
      <c r="G281" s="245">
        <v>9.0</v>
      </c>
      <c r="H281" s="245">
        <v>0.0</v>
      </c>
      <c r="I281" s="245">
        <v>9.0</v>
      </c>
      <c r="J281" s="245">
        <v>9.0</v>
      </c>
      <c r="K281" s="245">
        <v>0.0</v>
      </c>
      <c r="L281" s="245">
        <v>10.0</v>
      </c>
      <c r="M281" s="245">
        <v>10.0</v>
      </c>
      <c r="N281" s="246">
        <v>1.0</v>
      </c>
      <c r="O281" s="247">
        <v>1.5</v>
      </c>
      <c r="P281" s="248">
        <v>1.5</v>
      </c>
    </row>
    <row r="282">
      <c r="A282" s="243" t="s">
        <v>1276</v>
      </c>
      <c r="B282" s="244">
        <v>5507.0</v>
      </c>
      <c r="C282" s="243" t="s">
        <v>492</v>
      </c>
      <c r="D282" s="243" t="s">
        <v>492</v>
      </c>
      <c r="E282" s="243" t="s">
        <v>1233</v>
      </c>
      <c r="F282" s="245">
        <v>6.0</v>
      </c>
      <c r="G282" s="245">
        <v>7.0</v>
      </c>
      <c r="H282" s="245">
        <v>-1.0</v>
      </c>
      <c r="I282" s="245">
        <v>6.0</v>
      </c>
      <c r="J282" s="245">
        <v>7.0</v>
      </c>
      <c r="K282" s="245">
        <v>-1.0</v>
      </c>
      <c r="L282" s="245">
        <v>15.0</v>
      </c>
      <c r="M282" s="245">
        <v>14.0</v>
      </c>
      <c r="N282" s="246">
        <v>1.5</v>
      </c>
      <c r="O282" s="247">
        <v>2.0</v>
      </c>
      <c r="P282" s="248">
        <v>2.0</v>
      </c>
    </row>
    <row r="283">
      <c r="A283" s="243" t="s">
        <v>751</v>
      </c>
      <c r="B283" s="244">
        <v>5513.0</v>
      </c>
      <c r="C283" s="243" t="s">
        <v>480</v>
      </c>
      <c r="D283" s="243" t="s">
        <v>521</v>
      </c>
      <c r="E283" s="243" t="s">
        <v>973</v>
      </c>
      <c r="F283" s="245">
        <v>16.0</v>
      </c>
      <c r="G283" s="245">
        <v>16.0</v>
      </c>
      <c r="H283" s="245">
        <v>0.0</v>
      </c>
      <c r="I283" s="245">
        <v>15.0</v>
      </c>
      <c r="J283" s="245">
        <v>15.0</v>
      </c>
      <c r="K283" s="245">
        <v>0.0</v>
      </c>
      <c r="L283" s="245">
        <v>45.0</v>
      </c>
      <c r="M283" s="245">
        <v>45.0</v>
      </c>
      <c r="N283" s="246">
        <v>4.5</v>
      </c>
      <c r="O283" s="247">
        <v>5.5</v>
      </c>
      <c r="P283" s="248">
        <v>6.0</v>
      </c>
    </row>
    <row r="284">
      <c r="A284" s="243" t="s">
        <v>770</v>
      </c>
      <c r="B284" s="244">
        <v>5514.0</v>
      </c>
      <c r="C284" s="243" t="s">
        <v>480</v>
      </c>
      <c r="D284" s="243" t="s">
        <v>1022</v>
      </c>
      <c r="E284" s="243" t="s">
        <v>1026</v>
      </c>
      <c r="F284" s="245">
        <v>9.0</v>
      </c>
      <c r="G284" s="245">
        <v>9.0</v>
      </c>
      <c r="H284" s="245">
        <v>0.0</v>
      </c>
      <c r="I284" s="245">
        <v>10.0</v>
      </c>
      <c r="J284" s="245">
        <v>10.0</v>
      </c>
      <c r="K284" s="245">
        <v>0.0</v>
      </c>
      <c r="L284" s="245">
        <v>16.0</v>
      </c>
      <c r="M284" s="245">
        <v>18.0</v>
      </c>
      <c r="N284" s="246">
        <v>2.0</v>
      </c>
      <c r="O284" s="247">
        <v>2.5</v>
      </c>
      <c r="P284" s="248">
        <v>2.5</v>
      </c>
    </row>
    <row r="285">
      <c r="A285" s="243" t="s">
        <v>1277</v>
      </c>
      <c r="B285" s="244">
        <v>5516.0</v>
      </c>
      <c r="C285" s="243" t="s">
        <v>492</v>
      </c>
      <c r="D285" s="243" t="s">
        <v>930</v>
      </c>
      <c r="E285" s="243" t="s">
        <v>1225</v>
      </c>
      <c r="F285" s="245">
        <v>2.0</v>
      </c>
      <c r="G285" s="245">
        <v>2.0</v>
      </c>
      <c r="H285" s="245">
        <v>0.0</v>
      </c>
      <c r="I285" s="245">
        <v>2.0</v>
      </c>
      <c r="J285" s="245">
        <v>2.0</v>
      </c>
      <c r="K285" s="245">
        <v>0.0</v>
      </c>
      <c r="L285" s="245">
        <v>2.0</v>
      </c>
      <c r="M285" s="245">
        <v>2.0</v>
      </c>
      <c r="N285" s="246">
        <v>0.5</v>
      </c>
      <c r="O285" s="247">
        <v>0.5</v>
      </c>
      <c r="P285" s="248">
        <v>0.5</v>
      </c>
    </row>
    <row r="286">
      <c r="A286" s="243" t="s">
        <v>431</v>
      </c>
      <c r="B286" s="244">
        <v>5520.0</v>
      </c>
      <c r="C286" s="243" t="s">
        <v>480</v>
      </c>
      <c r="D286" s="243" t="s">
        <v>944</v>
      </c>
      <c r="E286" s="243" t="s">
        <v>976</v>
      </c>
      <c r="F286" s="245">
        <v>10.0</v>
      </c>
      <c r="G286" s="245">
        <v>9.0</v>
      </c>
      <c r="H286" s="245">
        <v>1.0</v>
      </c>
      <c r="I286" s="245">
        <v>11.0</v>
      </c>
      <c r="J286" s="245">
        <v>10.0</v>
      </c>
      <c r="K286" s="245">
        <v>1.0</v>
      </c>
      <c r="L286" s="245">
        <v>35.0</v>
      </c>
      <c r="M286" s="245">
        <v>42.0</v>
      </c>
      <c r="N286" s="246">
        <v>4.5</v>
      </c>
      <c r="O286" s="247">
        <v>5.0</v>
      </c>
      <c r="P286" s="248">
        <v>5.5</v>
      </c>
    </row>
    <row r="287">
      <c r="A287" s="243" t="s">
        <v>1278</v>
      </c>
      <c r="B287" s="244">
        <v>5521.0</v>
      </c>
      <c r="C287" s="243" t="s">
        <v>477</v>
      </c>
      <c r="D287" s="243" t="s">
        <v>478</v>
      </c>
      <c r="E287" s="243" t="s">
        <v>1233</v>
      </c>
      <c r="F287" s="245">
        <v>1.0</v>
      </c>
      <c r="G287" s="245">
        <v>1.0</v>
      </c>
      <c r="H287" s="245">
        <v>0.0</v>
      </c>
      <c r="I287" s="245">
        <v>1.0</v>
      </c>
      <c r="J287" s="245">
        <v>1.0</v>
      </c>
      <c r="K287" s="245">
        <v>0.0</v>
      </c>
      <c r="L287" s="245">
        <v>1.0</v>
      </c>
      <c r="M287" s="245">
        <v>1.0</v>
      </c>
      <c r="N287" s="246">
        <v>0.5</v>
      </c>
      <c r="O287" s="247">
        <v>0.5</v>
      </c>
      <c r="P287" s="248">
        <v>0.5</v>
      </c>
    </row>
    <row r="288">
      <c r="A288" s="243" t="s">
        <v>269</v>
      </c>
      <c r="B288" s="244">
        <v>5526.0</v>
      </c>
      <c r="C288" s="243" t="s">
        <v>480</v>
      </c>
      <c r="D288" s="243" t="s">
        <v>481</v>
      </c>
      <c r="E288" s="243" t="s">
        <v>980</v>
      </c>
      <c r="F288" s="245">
        <v>7.0</v>
      </c>
      <c r="G288" s="245">
        <v>8.0</v>
      </c>
      <c r="H288" s="245">
        <v>-1.0</v>
      </c>
      <c r="I288" s="245">
        <v>7.0</v>
      </c>
      <c r="J288" s="245">
        <v>8.0</v>
      </c>
      <c r="K288" s="245">
        <v>-1.0</v>
      </c>
      <c r="L288" s="245">
        <v>12.0</v>
      </c>
      <c r="M288" s="245">
        <v>12.0</v>
      </c>
      <c r="N288" s="246">
        <v>1.5</v>
      </c>
      <c r="O288" s="247">
        <v>1.5</v>
      </c>
      <c r="P288" s="248">
        <v>2.0</v>
      </c>
    </row>
    <row r="289">
      <c r="A289" s="243" t="s">
        <v>876</v>
      </c>
      <c r="B289" s="244">
        <v>5527.0</v>
      </c>
      <c r="C289" s="243" t="s">
        <v>480</v>
      </c>
      <c r="D289" s="243" t="s">
        <v>938</v>
      </c>
      <c r="E289" s="243" t="s">
        <v>1026</v>
      </c>
      <c r="F289" s="245">
        <v>7.0</v>
      </c>
      <c r="G289" s="245">
        <v>6.0</v>
      </c>
      <c r="H289" s="245">
        <v>1.0</v>
      </c>
      <c r="I289" s="245">
        <v>7.0</v>
      </c>
      <c r="J289" s="245">
        <v>6.0</v>
      </c>
      <c r="K289" s="245">
        <v>1.0</v>
      </c>
      <c r="L289" s="245">
        <v>9.0</v>
      </c>
      <c r="M289" s="245">
        <v>9.0</v>
      </c>
      <c r="N289" s="246">
        <v>1.0</v>
      </c>
      <c r="O289" s="247">
        <v>1.5</v>
      </c>
      <c r="P289" s="248">
        <v>1.5</v>
      </c>
    </row>
    <row r="290">
      <c r="A290" s="243" t="s">
        <v>1016</v>
      </c>
      <c r="B290" s="244">
        <v>5532.0</v>
      </c>
      <c r="C290" s="243" t="s">
        <v>480</v>
      </c>
      <c r="D290" s="243" t="s">
        <v>931</v>
      </c>
      <c r="E290" s="243" t="s">
        <v>983</v>
      </c>
      <c r="F290" s="245">
        <v>5.0</v>
      </c>
      <c r="G290" s="245">
        <v>5.0</v>
      </c>
      <c r="H290" s="245">
        <v>0.0</v>
      </c>
      <c r="I290" s="245">
        <v>5.0</v>
      </c>
      <c r="J290" s="245">
        <v>5.0</v>
      </c>
      <c r="K290" s="245">
        <v>0.0</v>
      </c>
      <c r="L290" s="245">
        <v>8.0</v>
      </c>
      <c r="M290" s="245">
        <v>8.0</v>
      </c>
      <c r="N290" s="246">
        <v>1.0</v>
      </c>
      <c r="O290" s="247">
        <v>1.0</v>
      </c>
      <c r="P290" s="248">
        <v>1.5</v>
      </c>
    </row>
    <row r="291">
      <c r="A291" s="243" t="s">
        <v>1279</v>
      </c>
      <c r="B291" s="244">
        <v>5533.0</v>
      </c>
      <c r="C291" s="243" t="s">
        <v>480</v>
      </c>
      <c r="D291" s="243" t="s">
        <v>937</v>
      </c>
      <c r="E291" s="243" t="s">
        <v>976</v>
      </c>
      <c r="F291" s="245">
        <v>2.0</v>
      </c>
      <c r="G291" s="245">
        <v>2.0</v>
      </c>
      <c r="H291" s="245">
        <v>0.0</v>
      </c>
      <c r="I291" s="245">
        <v>3.0</v>
      </c>
      <c r="J291" s="245">
        <v>3.0</v>
      </c>
      <c r="K291" s="245">
        <v>0.0</v>
      </c>
      <c r="L291" s="245">
        <v>4.0</v>
      </c>
      <c r="M291" s="245">
        <v>5.0</v>
      </c>
      <c r="N291" s="246">
        <v>0.5</v>
      </c>
      <c r="O291" s="247">
        <v>1.0</v>
      </c>
      <c r="P291" s="248">
        <v>1.0</v>
      </c>
    </row>
    <row r="292">
      <c r="A292" s="243" t="s">
        <v>1280</v>
      </c>
      <c r="B292" s="244">
        <v>5554.0</v>
      </c>
      <c r="C292" s="243" t="s">
        <v>480</v>
      </c>
      <c r="D292" s="243" t="s">
        <v>937</v>
      </c>
      <c r="E292" s="243" t="s">
        <v>983</v>
      </c>
      <c r="F292" s="245">
        <v>5.0</v>
      </c>
      <c r="G292" s="245">
        <v>5.0</v>
      </c>
      <c r="H292" s="245">
        <v>0.0</v>
      </c>
      <c r="I292" s="245">
        <v>5.0</v>
      </c>
      <c r="J292" s="245">
        <v>5.0</v>
      </c>
      <c r="K292" s="245">
        <v>0.0</v>
      </c>
      <c r="L292" s="245">
        <v>8.0</v>
      </c>
      <c r="M292" s="245">
        <v>8.0</v>
      </c>
      <c r="N292" s="246">
        <v>1.0</v>
      </c>
      <c r="O292" s="247">
        <v>1.0</v>
      </c>
      <c r="P292" s="248">
        <v>1.5</v>
      </c>
    </row>
    <row r="293">
      <c r="A293" s="243" t="s">
        <v>682</v>
      </c>
      <c r="B293" s="244">
        <v>5555.0</v>
      </c>
      <c r="C293" s="243" t="s">
        <v>480</v>
      </c>
      <c r="D293" s="243" t="s">
        <v>931</v>
      </c>
      <c r="E293" s="243" t="s">
        <v>993</v>
      </c>
      <c r="F293" s="245">
        <v>5.0</v>
      </c>
      <c r="G293" s="245">
        <v>5.0</v>
      </c>
      <c r="H293" s="245">
        <v>0.0</v>
      </c>
      <c r="I293" s="245">
        <v>5.0</v>
      </c>
      <c r="J293" s="245">
        <v>5.0</v>
      </c>
      <c r="K293" s="245">
        <v>0.0</v>
      </c>
      <c r="L293" s="245">
        <v>13.0</v>
      </c>
      <c r="M293" s="245">
        <v>13.0</v>
      </c>
      <c r="N293" s="246">
        <v>1.5</v>
      </c>
      <c r="O293" s="247">
        <v>1.5</v>
      </c>
      <c r="P293" s="248">
        <v>2.0</v>
      </c>
    </row>
    <row r="294">
      <c r="A294" s="243" t="s">
        <v>617</v>
      </c>
      <c r="B294" s="244">
        <v>5559.0</v>
      </c>
      <c r="C294" s="243" t="s">
        <v>492</v>
      </c>
      <c r="D294" s="243" t="s">
        <v>1057</v>
      </c>
      <c r="E294" s="243" t="s">
        <v>974</v>
      </c>
      <c r="F294" s="245">
        <v>12.0</v>
      </c>
      <c r="G294" s="245">
        <v>12.0</v>
      </c>
      <c r="H294" s="245">
        <v>0.0</v>
      </c>
      <c r="I294" s="245">
        <v>12.0</v>
      </c>
      <c r="J294" s="245">
        <v>12.0</v>
      </c>
      <c r="K294" s="245">
        <v>0.0</v>
      </c>
      <c r="L294" s="245">
        <v>32.0</v>
      </c>
      <c r="M294" s="245">
        <v>30.0</v>
      </c>
      <c r="N294" s="246">
        <v>3.0</v>
      </c>
      <c r="O294" s="247">
        <v>3.5</v>
      </c>
      <c r="P294" s="248">
        <v>4.0</v>
      </c>
    </row>
    <row r="295">
      <c r="A295" s="243" t="s">
        <v>317</v>
      </c>
      <c r="B295" s="244">
        <v>5562.0</v>
      </c>
      <c r="C295" s="243" t="s">
        <v>492</v>
      </c>
      <c r="D295" s="243" t="s">
        <v>930</v>
      </c>
      <c r="E295" s="243" t="s">
        <v>976</v>
      </c>
      <c r="F295" s="245">
        <v>10.0</v>
      </c>
      <c r="G295" s="245">
        <v>10.0</v>
      </c>
      <c r="H295" s="245">
        <v>0.0</v>
      </c>
      <c r="I295" s="245">
        <v>12.0</v>
      </c>
      <c r="J295" s="245">
        <v>12.0</v>
      </c>
      <c r="K295" s="245">
        <v>0.0</v>
      </c>
      <c r="L295" s="245">
        <v>25.0</v>
      </c>
      <c r="M295" s="245">
        <v>30.0</v>
      </c>
      <c r="N295" s="246">
        <v>3.0</v>
      </c>
      <c r="O295" s="247">
        <v>3.5</v>
      </c>
      <c r="P295" s="248">
        <v>4.0</v>
      </c>
    </row>
    <row r="296">
      <c r="A296" s="243" t="s">
        <v>614</v>
      </c>
      <c r="B296" s="244">
        <v>5564.0</v>
      </c>
      <c r="C296" s="243" t="s">
        <v>492</v>
      </c>
      <c r="D296" s="243" t="s">
        <v>563</v>
      </c>
      <c r="E296" s="243" t="s">
        <v>1009</v>
      </c>
      <c r="F296" s="245">
        <v>10.0</v>
      </c>
      <c r="G296" s="245">
        <v>10.0</v>
      </c>
      <c r="H296" s="245">
        <v>0.0</v>
      </c>
      <c r="I296" s="245">
        <v>9.0</v>
      </c>
      <c r="J296" s="245">
        <v>9.0</v>
      </c>
      <c r="K296" s="245">
        <v>0.0</v>
      </c>
      <c r="L296" s="245">
        <v>24.0</v>
      </c>
      <c r="M296" s="245">
        <v>22.0</v>
      </c>
      <c r="N296" s="246">
        <v>2.5</v>
      </c>
      <c r="O296" s="247">
        <v>3.0</v>
      </c>
      <c r="P296" s="248">
        <v>3.0</v>
      </c>
    </row>
    <row r="297">
      <c r="A297" s="243" t="s">
        <v>783</v>
      </c>
      <c r="B297" s="244">
        <v>5578.0</v>
      </c>
      <c r="C297" s="243" t="s">
        <v>480</v>
      </c>
      <c r="D297" s="243" t="s">
        <v>937</v>
      </c>
      <c r="E297" s="243" t="s">
        <v>980</v>
      </c>
      <c r="F297" s="245">
        <v>10.0</v>
      </c>
      <c r="G297" s="245">
        <v>10.0</v>
      </c>
      <c r="H297" s="245">
        <v>0.0</v>
      </c>
      <c r="I297" s="245">
        <v>10.0</v>
      </c>
      <c r="J297" s="245">
        <v>10.0</v>
      </c>
      <c r="K297" s="245">
        <v>0.0</v>
      </c>
      <c r="L297" s="245">
        <v>26.0</v>
      </c>
      <c r="M297" s="245">
        <v>26.0</v>
      </c>
      <c r="N297" s="246">
        <v>3.0</v>
      </c>
      <c r="O297" s="247">
        <v>3.0</v>
      </c>
      <c r="P297" s="248">
        <v>3.5</v>
      </c>
    </row>
    <row r="298">
      <c r="A298" s="243" t="s">
        <v>790</v>
      </c>
      <c r="B298" s="244">
        <v>5589.0</v>
      </c>
      <c r="C298" s="243" t="s">
        <v>492</v>
      </c>
      <c r="D298" s="243" t="s">
        <v>930</v>
      </c>
      <c r="E298" s="243" t="s">
        <v>988</v>
      </c>
      <c r="F298" s="245">
        <v>8.0</v>
      </c>
      <c r="G298" s="245">
        <v>8.0</v>
      </c>
      <c r="H298" s="245">
        <v>0.0</v>
      </c>
      <c r="I298" s="245">
        <v>9.0</v>
      </c>
      <c r="J298" s="245">
        <v>9.0</v>
      </c>
      <c r="K298" s="245">
        <v>0.0</v>
      </c>
      <c r="L298" s="245">
        <v>17.0</v>
      </c>
      <c r="M298" s="245">
        <v>19.0</v>
      </c>
      <c r="N298" s="246">
        <v>2.0</v>
      </c>
      <c r="O298" s="247">
        <v>2.5</v>
      </c>
      <c r="P298" s="248">
        <v>2.5</v>
      </c>
    </row>
    <row r="299">
      <c r="A299" s="243" t="s">
        <v>706</v>
      </c>
      <c r="B299" s="244">
        <v>5603.0</v>
      </c>
      <c r="C299" s="243" t="s">
        <v>480</v>
      </c>
      <c r="D299" s="243" t="s">
        <v>481</v>
      </c>
      <c r="E299" s="243" t="s">
        <v>1033</v>
      </c>
      <c r="F299" s="245">
        <v>8.0</v>
      </c>
      <c r="G299" s="245">
        <v>9.0</v>
      </c>
      <c r="H299" s="245">
        <v>-1.0</v>
      </c>
      <c r="I299" s="245">
        <v>8.0</v>
      </c>
      <c r="J299" s="245">
        <v>9.0</v>
      </c>
      <c r="K299" s="245">
        <v>-1.0</v>
      </c>
      <c r="L299" s="245">
        <v>20.0</v>
      </c>
      <c r="M299" s="245">
        <v>20.0</v>
      </c>
      <c r="N299" s="246">
        <v>2.0</v>
      </c>
      <c r="O299" s="247">
        <v>2.5</v>
      </c>
      <c r="P299" s="248">
        <v>3.0</v>
      </c>
    </row>
    <row r="300">
      <c r="A300" s="243" t="s">
        <v>177</v>
      </c>
      <c r="B300" s="244">
        <v>5620.0</v>
      </c>
      <c r="C300" s="243" t="s">
        <v>480</v>
      </c>
      <c r="D300" s="243" t="s">
        <v>931</v>
      </c>
      <c r="E300" s="243" t="s">
        <v>1000</v>
      </c>
      <c r="F300" s="245">
        <v>6.0</v>
      </c>
      <c r="G300" s="245">
        <v>6.0</v>
      </c>
      <c r="H300" s="245">
        <v>0.0</v>
      </c>
      <c r="I300" s="245">
        <v>6.0</v>
      </c>
      <c r="J300" s="245">
        <v>6.0</v>
      </c>
      <c r="K300" s="245">
        <v>0.0</v>
      </c>
      <c r="L300" s="245">
        <v>10.0</v>
      </c>
      <c r="M300" s="245">
        <v>10.0</v>
      </c>
      <c r="N300" s="246">
        <v>1.0</v>
      </c>
      <c r="O300" s="247">
        <v>1.5</v>
      </c>
      <c r="P300" s="248">
        <v>1.5</v>
      </c>
    </row>
    <row r="301">
      <c r="A301" s="243" t="s">
        <v>849</v>
      </c>
      <c r="B301" s="244">
        <v>5626.0</v>
      </c>
      <c r="C301" s="243" t="s">
        <v>480</v>
      </c>
      <c r="D301" s="243" t="s">
        <v>1227</v>
      </c>
      <c r="E301" s="243" t="s">
        <v>998</v>
      </c>
      <c r="F301" s="245">
        <v>5.0</v>
      </c>
      <c r="G301" s="245">
        <v>5.0</v>
      </c>
      <c r="H301" s="245">
        <v>0.0</v>
      </c>
      <c r="I301" s="245">
        <v>6.0</v>
      </c>
      <c r="J301" s="245">
        <v>6.0</v>
      </c>
      <c r="K301" s="245">
        <v>0.0</v>
      </c>
      <c r="L301" s="245">
        <v>8.0</v>
      </c>
      <c r="M301" s="245">
        <v>11.0</v>
      </c>
      <c r="N301" s="246">
        <v>1.5</v>
      </c>
      <c r="O301" s="247">
        <v>1.5</v>
      </c>
      <c r="P301" s="248">
        <v>1.5</v>
      </c>
    </row>
    <row r="302">
      <c r="A302" s="243" t="s">
        <v>1040</v>
      </c>
      <c r="B302" s="244">
        <v>5637.0</v>
      </c>
      <c r="C302" s="243" t="s">
        <v>507</v>
      </c>
      <c r="D302" s="243" t="s">
        <v>512</v>
      </c>
      <c r="E302" s="243" t="s">
        <v>993</v>
      </c>
      <c r="F302" s="245">
        <v>6.0</v>
      </c>
      <c r="G302" s="245">
        <v>6.0</v>
      </c>
      <c r="H302" s="245">
        <v>0.0</v>
      </c>
      <c r="I302" s="245">
        <v>4.0</v>
      </c>
      <c r="J302" s="245">
        <v>5.0</v>
      </c>
      <c r="K302" s="245">
        <v>-1.0</v>
      </c>
      <c r="L302" s="245">
        <v>8.0</v>
      </c>
      <c r="M302" s="245">
        <v>6.0</v>
      </c>
      <c r="N302" s="246">
        <v>1.0</v>
      </c>
      <c r="O302" s="247">
        <v>1.0</v>
      </c>
      <c r="P302" s="248">
        <v>1.0</v>
      </c>
    </row>
    <row r="303">
      <c r="A303" s="243" t="s">
        <v>777</v>
      </c>
      <c r="B303" s="244">
        <v>5672.0</v>
      </c>
      <c r="C303" s="243" t="s">
        <v>507</v>
      </c>
      <c r="D303" s="243" t="s">
        <v>512</v>
      </c>
      <c r="E303" s="243" t="s">
        <v>1000</v>
      </c>
      <c r="F303" s="245">
        <v>15.0</v>
      </c>
      <c r="G303" s="245">
        <v>15.0</v>
      </c>
      <c r="H303" s="245">
        <v>0.0</v>
      </c>
      <c r="I303" s="245">
        <v>14.0</v>
      </c>
      <c r="J303" s="245">
        <v>14.0</v>
      </c>
      <c r="K303" s="245">
        <v>0.0</v>
      </c>
      <c r="L303" s="245">
        <v>66.0</v>
      </c>
      <c r="M303" s="245">
        <v>58.0</v>
      </c>
      <c r="N303" s="246">
        <v>6.0</v>
      </c>
      <c r="O303" s="247">
        <v>7.0</v>
      </c>
      <c r="P303" s="248">
        <v>8.0</v>
      </c>
    </row>
    <row r="304">
      <c r="A304" s="243" t="s">
        <v>641</v>
      </c>
      <c r="B304" s="244">
        <v>5678.0</v>
      </c>
      <c r="C304" s="243" t="s">
        <v>480</v>
      </c>
      <c r="D304" s="243" t="s">
        <v>938</v>
      </c>
      <c r="E304" s="243" t="s">
        <v>1009</v>
      </c>
      <c r="F304" s="245">
        <v>8.0</v>
      </c>
      <c r="G304" s="245">
        <v>9.0</v>
      </c>
      <c r="H304" s="245">
        <v>-1.0</v>
      </c>
      <c r="I304" s="245">
        <v>8.0</v>
      </c>
      <c r="J304" s="245">
        <v>9.0</v>
      </c>
      <c r="K304" s="245">
        <v>-1.0</v>
      </c>
      <c r="L304" s="245">
        <v>24.0</v>
      </c>
      <c r="M304" s="245">
        <v>24.0</v>
      </c>
      <c r="N304" s="246">
        <v>2.5</v>
      </c>
      <c r="O304" s="247">
        <v>3.0</v>
      </c>
      <c r="P304" s="248">
        <v>3.5</v>
      </c>
    </row>
    <row r="305">
      <c r="A305" s="243" t="s">
        <v>305</v>
      </c>
      <c r="B305" s="244">
        <v>5685.0</v>
      </c>
      <c r="C305" s="243" t="s">
        <v>492</v>
      </c>
      <c r="D305" s="243" t="s">
        <v>543</v>
      </c>
      <c r="E305" s="243" t="s">
        <v>976</v>
      </c>
      <c r="F305" s="245">
        <v>28.0</v>
      </c>
      <c r="G305" s="245">
        <v>29.0</v>
      </c>
      <c r="H305" s="245">
        <v>-1.0</v>
      </c>
      <c r="I305" s="245">
        <v>27.0</v>
      </c>
      <c r="J305" s="245">
        <v>28.0</v>
      </c>
      <c r="K305" s="245">
        <v>-1.0</v>
      </c>
      <c r="L305" s="245">
        <v>160.0</v>
      </c>
      <c r="M305" s="245">
        <v>154.0</v>
      </c>
      <c r="N305" s="246">
        <v>15.5</v>
      </c>
      <c r="O305" s="247">
        <v>18.0</v>
      </c>
      <c r="P305" s="248">
        <v>20.5</v>
      </c>
    </row>
    <row r="306">
      <c r="A306" s="243" t="s">
        <v>905</v>
      </c>
      <c r="B306" s="244">
        <v>5687.0</v>
      </c>
      <c r="C306" s="243" t="s">
        <v>492</v>
      </c>
      <c r="D306" s="243" t="s">
        <v>543</v>
      </c>
      <c r="E306" s="243" t="s">
        <v>972</v>
      </c>
      <c r="F306" s="245">
        <v>14.0</v>
      </c>
      <c r="G306" s="245">
        <v>15.0</v>
      </c>
      <c r="H306" s="245">
        <v>-1.0</v>
      </c>
      <c r="I306" s="245">
        <v>13.0</v>
      </c>
      <c r="J306" s="245">
        <v>14.0</v>
      </c>
      <c r="K306" s="245">
        <v>-1.0</v>
      </c>
      <c r="L306" s="245">
        <v>48.0</v>
      </c>
      <c r="M306" s="245">
        <v>48.0</v>
      </c>
      <c r="N306" s="246">
        <v>5.0</v>
      </c>
      <c r="O306" s="247">
        <v>6.0</v>
      </c>
      <c r="P306" s="248">
        <v>6.5</v>
      </c>
    </row>
    <row r="307">
      <c r="A307" s="243" t="s">
        <v>729</v>
      </c>
      <c r="B307" s="244">
        <v>5688.0</v>
      </c>
      <c r="C307" s="243" t="s">
        <v>492</v>
      </c>
      <c r="D307" s="243" t="s">
        <v>1057</v>
      </c>
      <c r="E307" s="243" t="s">
        <v>983</v>
      </c>
      <c r="F307" s="245">
        <v>13.0</v>
      </c>
      <c r="G307" s="245">
        <v>13.0</v>
      </c>
      <c r="H307" s="245">
        <v>0.0</v>
      </c>
      <c r="I307" s="245">
        <v>13.0</v>
      </c>
      <c r="J307" s="245">
        <v>13.0</v>
      </c>
      <c r="K307" s="245">
        <v>0.0</v>
      </c>
      <c r="L307" s="245">
        <v>34.0</v>
      </c>
      <c r="M307" s="245">
        <v>36.0</v>
      </c>
      <c r="N307" s="246">
        <v>4.0</v>
      </c>
      <c r="O307" s="247">
        <v>4.5</v>
      </c>
      <c r="P307" s="248">
        <v>5.0</v>
      </c>
    </row>
    <row r="308">
      <c r="A308" s="243" t="s">
        <v>1281</v>
      </c>
      <c r="B308" s="244">
        <v>5695.0</v>
      </c>
      <c r="C308" s="243" t="s">
        <v>480</v>
      </c>
      <c r="D308" s="243" t="s">
        <v>931</v>
      </c>
      <c r="E308" s="243" t="s">
        <v>1233</v>
      </c>
      <c r="F308" s="245">
        <v>1.0</v>
      </c>
      <c r="G308" s="245">
        <v>1.0</v>
      </c>
      <c r="H308" s="245">
        <v>0.0</v>
      </c>
      <c r="I308" s="245">
        <v>1.0</v>
      </c>
      <c r="J308" s="245">
        <v>1.0</v>
      </c>
      <c r="K308" s="245">
        <v>0.0</v>
      </c>
      <c r="L308" s="245">
        <v>1.0</v>
      </c>
      <c r="M308" s="245">
        <v>1.0</v>
      </c>
      <c r="N308" s="246">
        <v>0.5</v>
      </c>
      <c r="O308" s="247">
        <v>0.5</v>
      </c>
      <c r="P308" s="248">
        <v>0.5</v>
      </c>
    </row>
    <row r="309">
      <c r="A309" s="243" t="s">
        <v>1129</v>
      </c>
      <c r="B309" s="244">
        <v>5701.0</v>
      </c>
      <c r="C309" s="243" t="s">
        <v>480</v>
      </c>
      <c r="D309" s="243" t="s">
        <v>481</v>
      </c>
      <c r="E309" s="243" t="s">
        <v>975</v>
      </c>
      <c r="F309" s="245">
        <v>2.0</v>
      </c>
      <c r="G309" s="245">
        <v>2.0</v>
      </c>
      <c r="H309" s="245">
        <v>0.0</v>
      </c>
      <c r="I309" s="245">
        <v>2.0</v>
      </c>
      <c r="J309" s="245">
        <v>2.0</v>
      </c>
      <c r="K309" s="245">
        <v>0.0</v>
      </c>
      <c r="L309" s="245">
        <v>3.0</v>
      </c>
      <c r="M309" s="245">
        <v>3.0</v>
      </c>
      <c r="N309" s="246">
        <v>0.5</v>
      </c>
      <c r="O309" s="247">
        <v>0.5</v>
      </c>
      <c r="P309" s="248">
        <v>0.5</v>
      </c>
    </row>
    <row r="310">
      <c r="A310" s="243" t="s">
        <v>652</v>
      </c>
      <c r="B310" s="244">
        <v>5718.0</v>
      </c>
      <c r="C310" s="243" t="s">
        <v>480</v>
      </c>
      <c r="D310" s="243" t="s">
        <v>481</v>
      </c>
      <c r="E310" s="243" t="s">
        <v>1222</v>
      </c>
      <c r="F310" s="245">
        <v>6.0</v>
      </c>
      <c r="G310" s="245">
        <v>5.0</v>
      </c>
      <c r="H310" s="245">
        <v>1.0</v>
      </c>
      <c r="I310" s="245">
        <v>6.0</v>
      </c>
      <c r="J310" s="245">
        <v>5.0</v>
      </c>
      <c r="K310" s="245">
        <v>1.0</v>
      </c>
      <c r="L310" s="245">
        <v>6.0</v>
      </c>
      <c r="M310" s="245">
        <v>6.0</v>
      </c>
      <c r="N310" s="246">
        <v>1.0</v>
      </c>
      <c r="O310" s="247">
        <v>1.0</v>
      </c>
      <c r="P310" s="248">
        <v>1.0</v>
      </c>
    </row>
    <row r="311">
      <c r="A311" s="243" t="s">
        <v>713</v>
      </c>
      <c r="B311" s="244">
        <v>5719.0</v>
      </c>
      <c r="C311" s="243" t="s">
        <v>492</v>
      </c>
      <c r="D311" s="243" t="s">
        <v>930</v>
      </c>
      <c r="E311" s="243" t="s">
        <v>973</v>
      </c>
      <c r="F311" s="245">
        <v>4.0</v>
      </c>
      <c r="G311" s="245">
        <v>5.0</v>
      </c>
      <c r="H311" s="245">
        <v>-1.0</v>
      </c>
      <c r="I311" s="245">
        <v>6.0</v>
      </c>
      <c r="J311" s="245">
        <v>6.0</v>
      </c>
      <c r="K311" s="245">
        <v>0.0</v>
      </c>
      <c r="L311" s="245">
        <v>14.0</v>
      </c>
      <c r="M311" s="245">
        <v>17.0</v>
      </c>
      <c r="N311" s="246">
        <v>2.0</v>
      </c>
      <c r="O311" s="247">
        <v>2.0</v>
      </c>
      <c r="P311" s="248">
        <v>2.5</v>
      </c>
    </row>
    <row r="312">
      <c r="A312" s="243" t="s">
        <v>1282</v>
      </c>
      <c r="B312" s="244">
        <v>5725.0</v>
      </c>
      <c r="C312" s="243" t="s">
        <v>492</v>
      </c>
      <c r="D312" s="243" t="s">
        <v>930</v>
      </c>
      <c r="E312" s="243" t="s">
        <v>974</v>
      </c>
      <c r="F312" s="245">
        <v>1.0</v>
      </c>
      <c r="G312" s="245">
        <v>1.0</v>
      </c>
      <c r="H312" s="245">
        <v>0.0</v>
      </c>
      <c r="I312" s="245">
        <v>1.0</v>
      </c>
      <c r="J312" s="245">
        <v>1.0</v>
      </c>
      <c r="K312" s="245">
        <v>0.0</v>
      </c>
      <c r="L312" s="245">
        <v>1.0</v>
      </c>
      <c r="M312" s="245">
        <v>1.0</v>
      </c>
      <c r="N312" s="246">
        <v>0.5</v>
      </c>
      <c r="O312" s="247">
        <v>0.5</v>
      </c>
      <c r="P312" s="248">
        <v>0.5</v>
      </c>
    </row>
    <row r="313">
      <c r="A313" s="243" t="s">
        <v>818</v>
      </c>
      <c r="B313" s="244">
        <v>5734.0</v>
      </c>
      <c r="C313" s="243" t="s">
        <v>507</v>
      </c>
      <c r="D313" s="243" t="s">
        <v>935</v>
      </c>
      <c r="E313" s="243" t="s">
        <v>988</v>
      </c>
      <c r="F313" s="245">
        <v>19.0</v>
      </c>
      <c r="G313" s="245">
        <v>20.0</v>
      </c>
      <c r="H313" s="245">
        <v>-1.0</v>
      </c>
      <c r="I313" s="245">
        <v>21.0</v>
      </c>
      <c r="J313" s="245">
        <v>22.0</v>
      </c>
      <c r="K313" s="245">
        <v>-1.0</v>
      </c>
      <c r="L313" s="245">
        <v>93.0</v>
      </c>
      <c r="M313" s="245">
        <v>108.0</v>
      </c>
      <c r="N313" s="246">
        <v>11.0</v>
      </c>
      <c r="O313" s="247">
        <v>12.5</v>
      </c>
      <c r="P313" s="248">
        <v>14.5</v>
      </c>
    </row>
    <row r="314">
      <c r="A314" s="243" t="s">
        <v>618</v>
      </c>
      <c r="B314" s="244">
        <v>5739.0</v>
      </c>
      <c r="C314" s="243" t="s">
        <v>480</v>
      </c>
      <c r="D314" s="243" t="s">
        <v>937</v>
      </c>
      <c r="E314" s="243" t="s">
        <v>1026</v>
      </c>
      <c r="F314" s="245">
        <v>6.0</v>
      </c>
      <c r="G314" s="245">
        <v>6.0</v>
      </c>
      <c r="H314" s="245">
        <v>0.0</v>
      </c>
      <c r="I314" s="245">
        <v>6.0</v>
      </c>
      <c r="J314" s="245">
        <v>6.0</v>
      </c>
      <c r="K314" s="245">
        <v>0.0</v>
      </c>
      <c r="L314" s="245">
        <v>8.0</v>
      </c>
      <c r="M314" s="245">
        <v>10.0</v>
      </c>
      <c r="N314" s="246">
        <v>1.0</v>
      </c>
      <c r="O314" s="247">
        <v>1.5</v>
      </c>
      <c r="P314" s="248">
        <v>1.5</v>
      </c>
    </row>
    <row r="315">
      <c r="A315" s="243" t="s">
        <v>880</v>
      </c>
      <c r="B315" s="244">
        <v>5764.0</v>
      </c>
      <c r="C315" s="243" t="s">
        <v>480</v>
      </c>
      <c r="D315" s="243" t="s">
        <v>481</v>
      </c>
      <c r="E315" s="243" t="s">
        <v>983</v>
      </c>
      <c r="F315" s="245">
        <v>4.0</v>
      </c>
      <c r="G315" s="245">
        <v>4.0</v>
      </c>
      <c r="H315" s="245">
        <v>0.0</v>
      </c>
      <c r="I315" s="245">
        <v>4.0</v>
      </c>
      <c r="J315" s="245">
        <v>4.0</v>
      </c>
      <c r="K315" s="245">
        <v>0.0</v>
      </c>
      <c r="L315" s="245">
        <v>8.0</v>
      </c>
      <c r="M315" s="245">
        <v>8.0</v>
      </c>
      <c r="N315" s="246">
        <v>1.0</v>
      </c>
      <c r="O315" s="247">
        <v>1.0</v>
      </c>
      <c r="P315" s="248">
        <v>1.5</v>
      </c>
    </row>
    <row r="316">
      <c r="A316" s="243" t="s">
        <v>712</v>
      </c>
      <c r="B316" s="244">
        <v>5784.0</v>
      </c>
      <c r="C316" s="243" t="s">
        <v>492</v>
      </c>
      <c r="D316" s="243" t="s">
        <v>934</v>
      </c>
      <c r="E316" s="243" t="s">
        <v>1009</v>
      </c>
      <c r="F316" s="245">
        <v>10.0</v>
      </c>
      <c r="G316" s="245">
        <v>10.0</v>
      </c>
      <c r="H316" s="245">
        <v>0.0</v>
      </c>
      <c r="I316" s="245">
        <v>10.0</v>
      </c>
      <c r="J316" s="245">
        <v>10.0</v>
      </c>
      <c r="K316" s="245">
        <v>0.0</v>
      </c>
      <c r="L316" s="245">
        <v>20.0</v>
      </c>
      <c r="M316" s="245">
        <v>20.0</v>
      </c>
      <c r="N316" s="246">
        <v>2.0</v>
      </c>
      <c r="O316" s="247">
        <v>2.5</v>
      </c>
      <c r="P316" s="248">
        <v>3.0</v>
      </c>
    </row>
    <row r="317">
      <c r="A317" s="243" t="s">
        <v>691</v>
      </c>
      <c r="B317" s="244">
        <v>5791.0</v>
      </c>
      <c r="C317" s="243" t="s">
        <v>492</v>
      </c>
      <c r="D317" s="243" t="s">
        <v>1152</v>
      </c>
      <c r="E317" s="243" t="s">
        <v>1026</v>
      </c>
      <c r="F317" s="245">
        <v>12.0</v>
      </c>
      <c r="G317" s="245">
        <v>11.0</v>
      </c>
      <c r="H317" s="245">
        <v>1.0</v>
      </c>
      <c r="I317" s="245">
        <v>14.0</v>
      </c>
      <c r="J317" s="245">
        <v>13.0</v>
      </c>
      <c r="K317" s="245">
        <v>1.0</v>
      </c>
      <c r="L317" s="245">
        <v>27.0</v>
      </c>
      <c r="M317" s="245">
        <v>40.0</v>
      </c>
      <c r="N317" s="246">
        <v>4.0</v>
      </c>
      <c r="O317" s="247">
        <v>5.0</v>
      </c>
      <c r="P317" s="248">
        <v>5.5</v>
      </c>
    </row>
    <row r="318">
      <c r="A318" s="243" t="s">
        <v>202</v>
      </c>
      <c r="B318" s="244">
        <v>5792.0</v>
      </c>
      <c r="C318" s="243" t="s">
        <v>492</v>
      </c>
      <c r="D318" s="243" t="s">
        <v>930</v>
      </c>
      <c r="E318" s="243" t="s">
        <v>980</v>
      </c>
      <c r="F318" s="245">
        <v>15.0</v>
      </c>
      <c r="G318" s="245">
        <v>15.0</v>
      </c>
      <c r="H318" s="245">
        <v>0.0</v>
      </c>
      <c r="I318" s="245">
        <v>18.0</v>
      </c>
      <c r="J318" s="245">
        <v>18.0</v>
      </c>
      <c r="K318" s="245">
        <v>0.0</v>
      </c>
      <c r="L318" s="245">
        <v>55.0</v>
      </c>
      <c r="M318" s="245">
        <v>67.0</v>
      </c>
      <c r="N318" s="246">
        <v>7.0</v>
      </c>
      <c r="O318" s="247">
        <v>8.0</v>
      </c>
      <c r="P318" s="248">
        <v>9.0</v>
      </c>
    </row>
    <row r="319">
      <c r="A319" s="243" t="s">
        <v>1283</v>
      </c>
      <c r="B319" s="244">
        <v>5798.0</v>
      </c>
      <c r="C319" s="243" t="s">
        <v>492</v>
      </c>
      <c r="D319" s="243" t="s">
        <v>930</v>
      </c>
      <c r="E319" s="243" t="s">
        <v>1026</v>
      </c>
      <c r="F319" s="245">
        <v>1.0</v>
      </c>
      <c r="G319" s="245">
        <v>1.0</v>
      </c>
      <c r="H319" s="245">
        <v>0.0</v>
      </c>
      <c r="I319" s="245">
        <v>1.0</v>
      </c>
      <c r="J319" s="245">
        <v>1.0</v>
      </c>
      <c r="K319" s="245">
        <v>0.0</v>
      </c>
      <c r="L319" s="245">
        <v>1.0</v>
      </c>
      <c r="M319" s="245">
        <v>1.0</v>
      </c>
      <c r="N319" s="246">
        <v>0.5</v>
      </c>
      <c r="O319" s="247">
        <v>0.5</v>
      </c>
      <c r="P319" s="248">
        <v>0.5</v>
      </c>
    </row>
    <row r="320">
      <c r="A320" s="243" t="s">
        <v>611</v>
      </c>
      <c r="B320" s="244">
        <v>5800.0</v>
      </c>
      <c r="C320" s="243" t="s">
        <v>507</v>
      </c>
      <c r="D320" s="243" t="s">
        <v>507</v>
      </c>
      <c r="E320" s="243" t="s">
        <v>1033</v>
      </c>
      <c r="F320" s="245">
        <v>26.0</v>
      </c>
      <c r="G320" s="245">
        <v>27.0</v>
      </c>
      <c r="H320" s="245">
        <v>-1.0</v>
      </c>
      <c r="I320" s="245">
        <v>27.0</v>
      </c>
      <c r="J320" s="245">
        <v>28.0</v>
      </c>
      <c r="K320" s="245">
        <v>-1.0</v>
      </c>
      <c r="L320" s="245">
        <v>170.0</v>
      </c>
      <c r="M320" s="245">
        <v>175.0</v>
      </c>
      <c r="N320" s="246">
        <v>17.5</v>
      </c>
      <c r="O320" s="247">
        <v>20.5</v>
      </c>
      <c r="P320" s="248">
        <v>23.0</v>
      </c>
    </row>
    <row r="321">
      <c r="A321" s="243" t="s">
        <v>873</v>
      </c>
      <c r="B321" s="244">
        <v>5804.0</v>
      </c>
      <c r="C321" s="243" t="s">
        <v>480</v>
      </c>
      <c r="D321" s="243" t="s">
        <v>931</v>
      </c>
      <c r="E321" s="243" t="s">
        <v>1222</v>
      </c>
      <c r="F321" s="245">
        <v>3.0</v>
      </c>
      <c r="G321" s="245">
        <v>3.0</v>
      </c>
      <c r="H321" s="245">
        <v>0.0</v>
      </c>
      <c r="I321" s="245">
        <v>3.0</v>
      </c>
      <c r="J321" s="245">
        <v>3.0</v>
      </c>
      <c r="K321" s="245">
        <v>0.0</v>
      </c>
      <c r="L321" s="245">
        <v>5.0</v>
      </c>
      <c r="M321" s="245">
        <v>5.0</v>
      </c>
      <c r="N321" s="246">
        <v>0.5</v>
      </c>
      <c r="O321" s="247">
        <v>1.0</v>
      </c>
      <c r="P321" s="248">
        <v>1.0</v>
      </c>
    </row>
    <row r="322">
      <c r="A322" s="243" t="s">
        <v>649</v>
      </c>
      <c r="B322" s="244">
        <v>5812.0</v>
      </c>
      <c r="C322" s="243" t="s">
        <v>480</v>
      </c>
      <c r="D322" s="243" t="s">
        <v>938</v>
      </c>
      <c r="E322" s="243" t="s">
        <v>991</v>
      </c>
      <c r="F322" s="245">
        <v>1.0</v>
      </c>
      <c r="G322" s="245">
        <v>1.0</v>
      </c>
      <c r="H322" s="245">
        <v>0.0</v>
      </c>
      <c r="I322" s="245">
        <v>1.0</v>
      </c>
      <c r="J322" s="245">
        <v>1.0</v>
      </c>
      <c r="K322" s="245">
        <v>0.0</v>
      </c>
      <c r="L322" s="245">
        <v>1.0</v>
      </c>
      <c r="M322" s="245">
        <v>1.0</v>
      </c>
      <c r="N322" s="246">
        <v>0.5</v>
      </c>
      <c r="O322" s="247">
        <v>0.5</v>
      </c>
      <c r="P322" s="248">
        <v>0.5</v>
      </c>
    </row>
    <row r="323">
      <c r="A323" s="243" t="s">
        <v>886</v>
      </c>
      <c r="B323" s="244">
        <v>5813.0</v>
      </c>
      <c r="C323" s="243" t="s">
        <v>492</v>
      </c>
      <c r="D323" s="243" t="s">
        <v>934</v>
      </c>
      <c r="E323" s="243" t="s">
        <v>1026</v>
      </c>
      <c r="F323" s="245">
        <v>4.0</v>
      </c>
      <c r="G323" s="245">
        <v>4.0</v>
      </c>
      <c r="H323" s="245">
        <v>0.0</v>
      </c>
      <c r="I323" s="245">
        <v>4.0</v>
      </c>
      <c r="J323" s="245">
        <v>4.0</v>
      </c>
      <c r="K323" s="245">
        <v>0.0</v>
      </c>
      <c r="L323" s="245">
        <v>18.0</v>
      </c>
      <c r="M323" s="245">
        <v>18.0</v>
      </c>
      <c r="N323" s="246">
        <v>2.0</v>
      </c>
      <c r="O323" s="247">
        <v>2.5</v>
      </c>
      <c r="P323" s="248">
        <v>2.5</v>
      </c>
    </row>
    <row r="324">
      <c r="A324" s="243" t="s">
        <v>390</v>
      </c>
      <c r="B324" s="244">
        <v>5822.0</v>
      </c>
      <c r="C324" s="243" t="s">
        <v>477</v>
      </c>
      <c r="D324" s="243" t="s">
        <v>478</v>
      </c>
      <c r="E324" s="243" t="s">
        <v>1009</v>
      </c>
      <c r="F324" s="245">
        <v>1.0</v>
      </c>
      <c r="G324" s="245">
        <v>1.0</v>
      </c>
      <c r="H324" s="245">
        <v>0.0</v>
      </c>
      <c r="I324" s="245">
        <v>1.0</v>
      </c>
      <c r="J324" s="245">
        <v>1.0</v>
      </c>
      <c r="K324" s="245">
        <v>0.0</v>
      </c>
      <c r="L324" s="245">
        <v>1.0</v>
      </c>
      <c r="M324" s="245">
        <v>1.0</v>
      </c>
      <c r="N324" s="246">
        <v>0.5</v>
      </c>
      <c r="O324" s="247">
        <v>0.5</v>
      </c>
      <c r="P324" s="248">
        <v>0.5</v>
      </c>
    </row>
    <row r="325">
      <c r="A325" s="243" t="s">
        <v>324</v>
      </c>
      <c r="B325" s="244">
        <v>5823.0</v>
      </c>
      <c r="C325" s="243" t="s">
        <v>492</v>
      </c>
      <c r="D325" s="243" t="s">
        <v>947</v>
      </c>
      <c r="E325" s="243" t="s">
        <v>988</v>
      </c>
      <c r="F325" s="245">
        <v>9.0</v>
      </c>
      <c r="G325" s="245">
        <v>8.0</v>
      </c>
      <c r="H325" s="245">
        <v>1.0</v>
      </c>
      <c r="I325" s="245">
        <v>9.0</v>
      </c>
      <c r="J325" s="245">
        <v>8.0</v>
      </c>
      <c r="K325" s="245">
        <v>1.0</v>
      </c>
      <c r="L325" s="245">
        <v>20.0</v>
      </c>
      <c r="M325" s="245">
        <v>20.0</v>
      </c>
      <c r="N325" s="246">
        <v>2.0</v>
      </c>
      <c r="O325" s="247">
        <v>2.5</v>
      </c>
      <c r="P325" s="248">
        <v>3.0</v>
      </c>
    </row>
    <row r="326">
      <c r="A326" s="243" t="s">
        <v>780</v>
      </c>
      <c r="B326" s="244">
        <v>5831.0</v>
      </c>
      <c r="C326" s="243" t="s">
        <v>480</v>
      </c>
      <c r="D326" s="243" t="s">
        <v>481</v>
      </c>
      <c r="E326" s="243" t="s">
        <v>976</v>
      </c>
      <c r="F326" s="245">
        <v>8.0</v>
      </c>
      <c r="G326" s="245">
        <v>7.0</v>
      </c>
      <c r="H326" s="245">
        <v>1.0</v>
      </c>
      <c r="I326" s="245">
        <v>8.0</v>
      </c>
      <c r="J326" s="245">
        <v>7.0</v>
      </c>
      <c r="K326" s="245">
        <v>1.0</v>
      </c>
      <c r="L326" s="245">
        <v>16.0</v>
      </c>
      <c r="M326" s="245">
        <v>16.0</v>
      </c>
      <c r="N326" s="246">
        <v>2.0</v>
      </c>
      <c r="O326" s="247">
        <v>2.0</v>
      </c>
      <c r="P326" s="248">
        <v>2.5</v>
      </c>
    </row>
    <row r="327">
      <c r="A327" s="243" t="s">
        <v>620</v>
      </c>
      <c r="B327" s="244">
        <v>5833.0</v>
      </c>
      <c r="C327" s="243" t="s">
        <v>480</v>
      </c>
      <c r="D327" s="243" t="s">
        <v>481</v>
      </c>
      <c r="E327" s="243" t="s">
        <v>1000</v>
      </c>
      <c r="F327" s="245">
        <v>4.0</v>
      </c>
      <c r="G327" s="245">
        <v>5.0</v>
      </c>
      <c r="H327" s="245">
        <v>-1.0</v>
      </c>
      <c r="I327" s="245">
        <v>4.0</v>
      </c>
      <c r="J327" s="245">
        <v>5.0</v>
      </c>
      <c r="K327" s="245">
        <v>-1.0</v>
      </c>
      <c r="L327" s="245">
        <v>11.0</v>
      </c>
      <c r="M327" s="245">
        <v>11.0</v>
      </c>
      <c r="N327" s="246">
        <v>1.5</v>
      </c>
      <c r="O327" s="247">
        <v>1.5</v>
      </c>
      <c r="P327" s="248">
        <v>1.5</v>
      </c>
    </row>
    <row r="328">
      <c r="A328" s="243" t="s">
        <v>632</v>
      </c>
      <c r="B328" s="244">
        <v>5835.0</v>
      </c>
      <c r="C328" s="243" t="s">
        <v>480</v>
      </c>
      <c r="D328" s="243" t="s">
        <v>937</v>
      </c>
      <c r="E328" s="243" t="s">
        <v>998</v>
      </c>
      <c r="F328" s="245">
        <v>8.0</v>
      </c>
      <c r="G328" s="245">
        <v>9.0</v>
      </c>
      <c r="H328" s="245">
        <v>-1.0</v>
      </c>
      <c r="I328" s="245">
        <v>9.0</v>
      </c>
      <c r="J328" s="245">
        <v>10.0</v>
      </c>
      <c r="K328" s="245">
        <v>-1.0</v>
      </c>
      <c r="L328" s="245">
        <v>20.0</v>
      </c>
      <c r="M328" s="245">
        <v>24.0</v>
      </c>
      <c r="N328" s="246">
        <v>2.5</v>
      </c>
      <c r="O328" s="247">
        <v>3.0</v>
      </c>
      <c r="P328" s="248">
        <v>3.5</v>
      </c>
    </row>
    <row r="329">
      <c r="A329" s="243" t="s">
        <v>878</v>
      </c>
      <c r="B329" s="244">
        <v>5838.0</v>
      </c>
      <c r="C329" s="243" t="s">
        <v>480</v>
      </c>
      <c r="D329" s="243" t="s">
        <v>944</v>
      </c>
      <c r="E329" s="243" t="s">
        <v>1225</v>
      </c>
      <c r="F329" s="245">
        <v>5.0</v>
      </c>
      <c r="G329" s="245">
        <v>5.0</v>
      </c>
      <c r="H329" s="245">
        <v>0.0</v>
      </c>
      <c r="I329" s="245">
        <v>5.0</v>
      </c>
      <c r="J329" s="245">
        <v>5.0</v>
      </c>
      <c r="K329" s="245">
        <v>0.0</v>
      </c>
      <c r="L329" s="245">
        <v>8.0</v>
      </c>
      <c r="M329" s="245">
        <v>9.0</v>
      </c>
      <c r="N329" s="246">
        <v>1.0</v>
      </c>
      <c r="O329" s="247">
        <v>1.5</v>
      </c>
      <c r="P329" s="248">
        <v>1.5</v>
      </c>
    </row>
    <row r="330">
      <c r="A330" s="243" t="s">
        <v>721</v>
      </c>
      <c r="B330" s="244">
        <v>5839.0</v>
      </c>
      <c r="C330" s="243" t="s">
        <v>507</v>
      </c>
      <c r="D330" s="243" t="s">
        <v>507</v>
      </c>
      <c r="E330" s="243" t="s">
        <v>987</v>
      </c>
      <c r="F330" s="245">
        <v>30.0</v>
      </c>
      <c r="G330" s="245">
        <v>29.0</v>
      </c>
      <c r="H330" s="245">
        <v>1.0</v>
      </c>
      <c r="I330" s="245">
        <v>31.0</v>
      </c>
      <c r="J330" s="245">
        <v>30.0</v>
      </c>
      <c r="K330" s="245">
        <v>1.0</v>
      </c>
      <c r="L330" s="245">
        <v>260.0</v>
      </c>
      <c r="M330" s="245">
        <v>263.0</v>
      </c>
      <c r="N330" s="246">
        <v>26.5</v>
      </c>
      <c r="O330" s="247">
        <v>30.5</v>
      </c>
      <c r="P330" s="248">
        <v>34.5</v>
      </c>
    </row>
    <row r="331">
      <c r="A331" s="243" t="s">
        <v>802</v>
      </c>
      <c r="B331" s="244">
        <v>5840.0</v>
      </c>
      <c r="C331" s="243" t="s">
        <v>480</v>
      </c>
      <c r="D331" s="243" t="s">
        <v>979</v>
      </c>
      <c r="E331" s="243" t="s">
        <v>987</v>
      </c>
      <c r="F331" s="245">
        <v>7.0</v>
      </c>
      <c r="G331" s="245">
        <v>7.0</v>
      </c>
      <c r="H331" s="245">
        <v>0.0</v>
      </c>
      <c r="I331" s="245">
        <v>8.0</v>
      </c>
      <c r="J331" s="245">
        <v>8.0</v>
      </c>
      <c r="K331" s="245">
        <v>0.0</v>
      </c>
      <c r="L331" s="245">
        <v>18.0</v>
      </c>
      <c r="M331" s="245">
        <v>28.0</v>
      </c>
      <c r="N331" s="246">
        <v>3.0</v>
      </c>
      <c r="O331" s="247">
        <v>3.5</v>
      </c>
      <c r="P331" s="248">
        <v>4.0</v>
      </c>
    </row>
    <row r="332">
      <c r="A332" s="243" t="s">
        <v>890</v>
      </c>
      <c r="B332" s="244">
        <v>5841.0</v>
      </c>
      <c r="C332" s="243" t="s">
        <v>477</v>
      </c>
      <c r="D332" s="243" t="s">
        <v>478</v>
      </c>
      <c r="E332" s="243" t="s">
        <v>988</v>
      </c>
      <c r="F332" s="245">
        <v>13.0</v>
      </c>
      <c r="G332" s="245">
        <v>13.0</v>
      </c>
      <c r="H332" s="245">
        <v>0.0</v>
      </c>
      <c r="I332" s="245">
        <v>13.0</v>
      </c>
      <c r="J332" s="245">
        <v>13.0</v>
      </c>
      <c r="K332" s="245">
        <v>0.0</v>
      </c>
      <c r="L332" s="245">
        <v>69.0</v>
      </c>
      <c r="M332" s="245">
        <v>69.0</v>
      </c>
      <c r="N332" s="246">
        <v>7.0</v>
      </c>
      <c r="O332" s="247">
        <v>8.0</v>
      </c>
      <c r="P332" s="248">
        <v>9.0</v>
      </c>
    </row>
    <row r="333">
      <c r="A333" s="243" t="s">
        <v>833</v>
      </c>
      <c r="B333" s="244">
        <v>5847.0</v>
      </c>
      <c r="C333" s="243" t="s">
        <v>480</v>
      </c>
      <c r="D333" s="243" t="s">
        <v>481</v>
      </c>
      <c r="E333" s="243" t="s">
        <v>993</v>
      </c>
      <c r="F333" s="245">
        <v>9.0</v>
      </c>
      <c r="G333" s="245">
        <v>8.0</v>
      </c>
      <c r="H333" s="245">
        <v>1.0</v>
      </c>
      <c r="I333" s="245">
        <v>9.0</v>
      </c>
      <c r="J333" s="245">
        <v>8.0</v>
      </c>
      <c r="K333" s="245">
        <v>1.0</v>
      </c>
      <c r="L333" s="245">
        <v>20.0</v>
      </c>
      <c r="M333" s="245">
        <v>20.0</v>
      </c>
      <c r="N333" s="246">
        <v>2.0</v>
      </c>
      <c r="O333" s="247">
        <v>2.5</v>
      </c>
      <c r="P333" s="248">
        <v>3.0</v>
      </c>
    </row>
    <row r="334">
      <c r="A334" s="243" t="s">
        <v>64</v>
      </c>
      <c r="B334" s="244">
        <v>5850.0</v>
      </c>
      <c r="C334" s="243" t="s">
        <v>492</v>
      </c>
      <c r="D334" s="243" t="s">
        <v>492</v>
      </c>
      <c r="E334" s="243" t="s">
        <v>993</v>
      </c>
      <c r="F334" s="245">
        <v>10.0</v>
      </c>
      <c r="G334" s="245">
        <v>10.0</v>
      </c>
      <c r="H334" s="245">
        <v>0.0</v>
      </c>
      <c r="I334" s="245">
        <v>10.0</v>
      </c>
      <c r="J334" s="245">
        <v>10.0</v>
      </c>
      <c r="K334" s="245">
        <v>0.0</v>
      </c>
      <c r="L334" s="245">
        <v>23.0</v>
      </c>
      <c r="M334" s="245">
        <v>23.0</v>
      </c>
      <c r="N334" s="246">
        <v>2.5</v>
      </c>
      <c r="O334" s="247">
        <v>3.0</v>
      </c>
      <c r="P334" s="248">
        <v>3.0</v>
      </c>
    </row>
    <row r="335">
      <c r="A335" s="243" t="s">
        <v>1284</v>
      </c>
      <c r="B335" s="244">
        <v>5856.0</v>
      </c>
      <c r="C335" s="243" t="s">
        <v>480</v>
      </c>
      <c r="D335" s="243" t="s">
        <v>938</v>
      </c>
      <c r="E335" s="243" t="s">
        <v>1222</v>
      </c>
      <c r="F335" s="245">
        <v>2.0</v>
      </c>
      <c r="G335" s="245">
        <v>2.0</v>
      </c>
      <c r="H335" s="245">
        <v>0.0</v>
      </c>
      <c r="I335" s="245">
        <v>2.0</v>
      </c>
      <c r="J335" s="245">
        <v>2.0</v>
      </c>
      <c r="K335" s="245">
        <v>0.0</v>
      </c>
      <c r="L335" s="245">
        <v>3.0</v>
      </c>
      <c r="M335" s="245">
        <v>3.0</v>
      </c>
      <c r="N335" s="246">
        <v>0.5</v>
      </c>
      <c r="O335" s="247">
        <v>0.5</v>
      </c>
      <c r="P335" s="248">
        <v>0.5</v>
      </c>
    </row>
    <row r="336">
      <c r="A336" s="243" t="s">
        <v>757</v>
      </c>
      <c r="B336" s="244">
        <v>5858.0</v>
      </c>
      <c r="C336" s="243" t="s">
        <v>492</v>
      </c>
      <c r="D336" s="243" t="s">
        <v>934</v>
      </c>
      <c r="E336" s="243" t="s">
        <v>1009</v>
      </c>
      <c r="F336" s="245">
        <v>17.0</v>
      </c>
      <c r="G336" s="245">
        <v>18.0</v>
      </c>
      <c r="H336" s="245">
        <v>-1.0</v>
      </c>
      <c r="I336" s="245">
        <v>17.0</v>
      </c>
      <c r="J336" s="245">
        <v>18.0</v>
      </c>
      <c r="K336" s="245">
        <v>-1.0</v>
      </c>
      <c r="L336" s="245">
        <v>42.0</v>
      </c>
      <c r="M336" s="245">
        <v>42.0</v>
      </c>
      <c r="N336" s="246">
        <v>4.5</v>
      </c>
      <c r="O336" s="247">
        <v>5.0</v>
      </c>
      <c r="P336" s="248">
        <v>5.5</v>
      </c>
    </row>
    <row r="337">
      <c r="A337" s="243" t="s">
        <v>742</v>
      </c>
      <c r="B337" s="244">
        <v>5862.0</v>
      </c>
      <c r="C337" s="243" t="s">
        <v>480</v>
      </c>
      <c r="D337" s="243" t="s">
        <v>931</v>
      </c>
      <c r="E337" s="243" t="s">
        <v>985</v>
      </c>
      <c r="F337" s="245">
        <v>7.0</v>
      </c>
      <c r="G337" s="245">
        <v>6.0</v>
      </c>
      <c r="H337" s="245">
        <v>1.0</v>
      </c>
      <c r="I337" s="245">
        <v>7.0</v>
      </c>
      <c r="J337" s="245">
        <v>6.0</v>
      </c>
      <c r="K337" s="245">
        <v>1.0</v>
      </c>
      <c r="L337" s="245">
        <v>11.0</v>
      </c>
      <c r="M337" s="245">
        <v>11.0</v>
      </c>
      <c r="N337" s="246">
        <v>1.5</v>
      </c>
      <c r="O337" s="247">
        <v>1.5</v>
      </c>
      <c r="P337" s="248">
        <v>1.5</v>
      </c>
    </row>
    <row r="338">
      <c r="A338" s="243" t="s">
        <v>679</v>
      </c>
      <c r="B338" s="244">
        <v>5875.0</v>
      </c>
      <c r="C338" s="243" t="s">
        <v>492</v>
      </c>
      <c r="D338" s="243" t="s">
        <v>930</v>
      </c>
      <c r="E338" s="243" t="s">
        <v>1033</v>
      </c>
      <c r="F338" s="245">
        <v>4.0</v>
      </c>
      <c r="G338" s="245">
        <v>5.0</v>
      </c>
      <c r="H338" s="245">
        <v>-1.0</v>
      </c>
      <c r="I338" s="245">
        <v>6.0</v>
      </c>
      <c r="J338" s="245">
        <v>6.0</v>
      </c>
      <c r="K338" s="245">
        <v>0.0</v>
      </c>
      <c r="L338" s="245">
        <v>13.0</v>
      </c>
      <c r="M338" s="245">
        <v>17.0</v>
      </c>
      <c r="N338" s="246">
        <v>2.0</v>
      </c>
      <c r="O338" s="247">
        <v>2.0</v>
      </c>
      <c r="P338" s="248">
        <v>2.5</v>
      </c>
    </row>
    <row r="339">
      <c r="A339" s="243" t="s">
        <v>295</v>
      </c>
      <c r="B339" s="244">
        <v>5876.0</v>
      </c>
      <c r="C339" s="243" t="s">
        <v>477</v>
      </c>
      <c r="D339" s="243" t="s">
        <v>478</v>
      </c>
      <c r="E339" s="243" t="s">
        <v>976</v>
      </c>
      <c r="F339" s="245">
        <v>18.0</v>
      </c>
      <c r="G339" s="245">
        <v>17.0</v>
      </c>
      <c r="H339" s="245">
        <v>1.0</v>
      </c>
      <c r="I339" s="245">
        <v>18.0</v>
      </c>
      <c r="J339" s="245">
        <v>17.0</v>
      </c>
      <c r="K339" s="245">
        <v>1.0</v>
      </c>
      <c r="L339" s="245">
        <v>100.0</v>
      </c>
      <c r="M339" s="245">
        <v>100.0</v>
      </c>
      <c r="N339" s="246">
        <v>10.0</v>
      </c>
      <c r="O339" s="247">
        <v>11.5</v>
      </c>
      <c r="P339" s="248">
        <v>13.0</v>
      </c>
    </row>
    <row r="340">
      <c r="A340" s="243" t="s">
        <v>330</v>
      </c>
      <c r="B340" s="244">
        <v>5877.0</v>
      </c>
      <c r="C340" s="243" t="s">
        <v>480</v>
      </c>
      <c r="D340" s="243" t="s">
        <v>521</v>
      </c>
      <c r="E340" s="243" t="s">
        <v>973</v>
      </c>
      <c r="F340" s="245">
        <v>9.0</v>
      </c>
      <c r="G340" s="245">
        <v>9.0</v>
      </c>
      <c r="H340" s="245">
        <v>0.0</v>
      </c>
      <c r="I340" s="245">
        <v>8.0</v>
      </c>
      <c r="J340" s="245">
        <v>8.0</v>
      </c>
      <c r="K340" s="245">
        <v>0.0</v>
      </c>
      <c r="L340" s="245">
        <v>20.0</v>
      </c>
      <c r="M340" s="245">
        <v>16.0</v>
      </c>
      <c r="N340" s="246">
        <v>2.0</v>
      </c>
      <c r="O340" s="247">
        <v>2.0</v>
      </c>
      <c r="P340" s="248">
        <v>2.5</v>
      </c>
    </row>
    <row r="341">
      <c r="A341" s="243" t="s">
        <v>817</v>
      </c>
      <c r="B341" s="244">
        <v>5878.0</v>
      </c>
      <c r="C341" s="243" t="s">
        <v>492</v>
      </c>
      <c r="D341" s="243" t="s">
        <v>543</v>
      </c>
      <c r="E341" s="243" t="s">
        <v>1033</v>
      </c>
      <c r="F341" s="245">
        <v>22.0</v>
      </c>
      <c r="G341" s="245">
        <v>23.0</v>
      </c>
      <c r="H341" s="245">
        <v>-1.0</v>
      </c>
      <c r="I341" s="245">
        <v>21.0</v>
      </c>
      <c r="J341" s="245">
        <v>22.0</v>
      </c>
      <c r="K341" s="245">
        <v>-1.0</v>
      </c>
      <c r="L341" s="245">
        <v>89.0</v>
      </c>
      <c r="M341" s="245">
        <v>86.0</v>
      </c>
      <c r="N341" s="246">
        <v>9.0</v>
      </c>
      <c r="O341" s="247">
        <v>10.0</v>
      </c>
      <c r="P341" s="248">
        <v>11.5</v>
      </c>
    </row>
    <row r="342">
      <c r="A342" s="243" t="s">
        <v>1285</v>
      </c>
      <c r="B342" s="244">
        <v>5879.0</v>
      </c>
      <c r="C342" s="243" t="s">
        <v>492</v>
      </c>
      <c r="D342" s="243" t="s">
        <v>947</v>
      </c>
      <c r="E342" s="243" t="s">
        <v>1225</v>
      </c>
      <c r="F342" s="245">
        <v>3.0</v>
      </c>
      <c r="G342" s="245">
        <v>2.0</v>
      </c>
      <c r="H342" s="245">
        <v>1.0</v>
      </c>
      <c r="I342" s="245">
        <v>3.0</v>
      </c>
      <c r="J342" s="245">
        <v>2.0</v>
      </c>
      <c r="K342" s="245">
        <v>1.0</v>
      </c>
      <c r="L342" s="245">
        <v>5.0</v>
      </c>
      <c r="M342" s="245">
        <v>4.0</v>
      </c>
      <c r="N342" s="246">
        <v>0.5</v>
      </c>
      <c r="O342" s="247">
        <v>0.5</v>
      </c>
      <c r="P342" s="248">
        <v>1.0</v>
      </c>
    </row>
    <row r="343">
      <c r="A343" s="243" t="s">
        <v>1286</v>
      </c>
      <c r="B343" s="244">
        <v>5880.0</v>
      </c>
      <c r="C343" s="243" t="s">
        <v>492</v>
      </c>
      <c r="D343" s="243" t="s">
        <v>1089</v>
      </c>
      <c r="E343" s="243" t="s">
        <v>1225</v>
      </c>
      <c r="F343" s="245">
        <v>4.0</v>
      </c>
      <c r="G343" s="245">
        <v>5.0</v>
      </c>
      <c r="H343" s="245">
        <v>-1.0</v>
      </c>
      <c r="I343" s="245">
        <v>6.0</v>
      </c>
      <c r="J343" s="245">
        <v>6.0</v>
      </c>
      <c r="K343" s="245">
        <v>0.0</v>
      </c>
      <c r="L343" s="245">
        <v>8.0</v>
      </c>
      <c r="M343" s="245">
        <v>10.0</v>
      </c>
      <c r="N343" s="246">
        <v>1.0</v>
      </c>
      <c r="O343" s="247">
        <v>1.5</v>
      </c>
      <c r="P343" s="248">
        <v>1.5</v>
      </c>
    </row>
    <row r="344">
      <c r="A344" s="243" t="s">
        <v>1287</v>
      </c>
      <c r="B344" s="244">
        <v>5881.0</v>
      </c>
      <c r="C344" s="243" t="s">
        <v>507</v>
      </c>
      <c r="D344" s="243" t="s">
        <v>512</v>
      </c>
      <c r="E344" s="243" t="s">
        <v>1233</v>
      </c>
      <c r="F344" s="245">
        <v>5.0</v>
      </c>
      <c r="G344" s="245">
        <v>5.0</v>
      </c>
      <c r="H344" s="245">
        <v>0.0</v>
      </c>
      <c r="I344" s="245">
        <v>4.0</v>
      </c>
      <c r="J344" s="245">
        <v>4.0</v>
      </c>
      <c r="K344" s="245">
        <v>0.0</v>
      </c>
      <c r="L344" s="245">
        <v>10.0</v>
      </c>
      <c r="M344" s="245">
        <v>10.0</v>
      </c>
      <c r="N344" s="246">
        <v>1.0</v>
      </c>
      <c r="O344" s="247">
        <v>1.5</v>
      </c>
      <c r="P344" s="248">
        <v>1.5</v>
      </c>
    </row>
    <row r="345">
      <c r="A345" s="243" t="s">
        <v>625</v>
      </c>
      <c r="B345" s="244">
        <v>5882.0</v>
      </c>
      <c r="C345" s="243" t="s">
        <v>507</v>
      </c>
      <c r="D345" s="243" t="s">
        <v>507</v>
      </c>
      <c r="E345" s="243" t="s">
        <v>1225</v>
      </c>
      <c r="F345" s="245">
        <v>9.0</v>
      </c>
      <c r="G345" s="245">
        <v>10.0</v>
      </c>
      <c r="H345" s="245">
        <v>-1.0</v>
      </c>
      <c r="I345" s="245">
        <v>9.0</v>
      </c>
      <c r="J345" s="245">
        <v>10.0</v>
      </c>
      <c r="K345" s="245">
        <v>-1.0</v>
      </c>
      <c r="L345" s="245">
        <v>22.0</v>
      </c>
      <c r="M345" s="245">
        <v>22.0</v>
      </c>
      <c r="N345" s="246">
        <v>2.5</v>
      </c>
      <c r="O345" s="247">
        <v>3.0</v>
      </c>
      <c r="P345" s="248">
        <v>3.0</v>
      </c>
    </row>
    <row r="346">
      <c r="A346" s="243" t="s">
        <v>722</v>
      </c>
      <c r="B346" s="244">
        <v>5885.0</v>
      </c>
      <c r="C346" s="243" t="s">
        <v>480</v>
      </c>
      <c r="D346" s="243" t="s">
        <v>938</v>
      </c>
      <c r="E346" s="243" t="s">
        <v>1033</v>
      </c>
      <c r="F346" s="245">
        <v>9.0</v>
      </c>
      <c r="G346" s="245">
        <v>9.0</v>
      </c>
      <c r="H346" s="245">
        <v>0.0</v>
      </c>
      <c r="I346" s="245">
        <v>9.0</v>
      </c>
      <c r="J346" s="245">
        <v>9.0</v>
      </c>
      <c r="K346" s="245">
        <v>0.0</v>
      </c>
      <c r="L346" s="245">
        <v>25.0</v>
      </c>
      <c r="M346" s="245">
        <v>25.0</v>
      </c>
      <c r="N346" s="246">
        <v>2.5</v>
      </c>
      <c r="O346" s="247">
        <v>3.0</v>
      </c>
      <c r="P346" s="248">
        <v>3.5</v>
      </c>
    </row>
    <row r="347">
      <c r="A347" s="243" t="s">
        <v>661</v>
      </c>
      <c r="B347" s="244">
        <v>5899.0</v>
      </c>
      <c r="C347" s="243" t="s">
        <v>480</v>
      </c>
      <c r="D347" s="243" t="s">
        <v>481</v>
      </c>
      <c r="E347" s="243" t="s">
        <v>1000</v>
      </c>
      <c r="F347" s="245">
        <v>8.0</v>
      </c>
      <c r="G347" s="245">
        <v>8.0</v>
      </c>
      <c r="H347" s="245">
        <v>0.0</v>
      </c>
      <c r="I347" s="245">
        <v>8.0</v>
      </c>
      <c r="J347" s="245">
        <v>8.0</v>
      </c>
      <c r="K347" s="245">
        <v>0.0</v>
      </c>
      <c r="L347" s="245">
        <v>19.0</v>
      </c>
      <c r="M347" s="245">
        <v>19.0</v>
      </c>
      <c r="N347" s="246">
        <v>2.0</v>
      </c>
      <c r="O347" s="247">
        <v>2.5</v>
      </c>
      <c r="P347" s="248">
        <v>2.5</v>
      </c>
    </row>
    <row r="348">
      <c r="A348" s="243" t="s">
        <v>1288</v>
      </c>
      <c r="B348" s="244">
        <v>5900.0</v>
      </c>
      <c r="C348" s="243" t="s">
        <v>480</v>
      </c>
      <c r="D348" s="243" t="s">
        <v>481</v>
      </c>
      <c r="E348" s="243" t="s">
        <v>993</v>
      </c>
      <c r="F348" s="245">
        <v>3.0</v>
      </c>
      <c r="G348" s="245">
        <v>3.0</v>
      </c>
      <c r="H348" s="245">
        <v>0.0</v>
      </c>
      <c r="I348" s="245">
        <v>3.0</v>
      </c>
      <c r="J348" s="245">
        <v>3.0</v>
      </c>
      <c r="K348" s="245">
        <v>0.0</v>
      </c>
      <c r="L348" s="245">
        <v>5.0</v>
      </c>
      <c r="M348" s="245">
        <v>5.0</v>
      </c>
      <c r="N348" s="246">
        <v>0.5</v>
      </c>
      <c r="O348" s="247">
        <v>1.0</v>
      </c>
      <c r="P348" s="248">
        <v>1.0</v>
      </c>
    </row>
    <row r="349">
      <c r="A349" s="243" t="s">
        <v>741</v>
      </c>
      <c r="B349" s="244">
        <v>5919.0</v>
      </c>
      <c r="C349" s="243" t="s">
        <v>492</v>
      </c>
      <c r="D349" s="243" t="s">
        <v>563</v>
      </c>
      <c r="E349" s="243" t="s">
        <v>1000</v>
      </c>
      <c r="F349" s="245">
        <v>9.0</v>
      </c>
      <c r="G349" s="245">
        <v>9.0</v>
      </c>
      <c r="H349" s="245">
        <v>0.0</v>
      </c>
      <c r="I349" s="245">
        <v>9.0</v>
      </c>
      <c r="J349" s="245">
        <v>9.0</v>
      </c>
      <c r="K349" s="245">
        <v>0.0</v>
      </c>
      <c r="L349" s="245">
        <v>16.0</v>
      </c>
      <c r="M349" s="245">
        <v>15.0</v>
      </c>
      <c r="N349" s="246">
        <v>1.5</v>
      </c>
      <c r="O349" s="247">
        <v>2.0</v>
      </c>
      <c r="P349" s="248">
        <v>2.0</v>
      </c>
    </row>
    <row r="350">
      <c r="A350" s="243" t="s">
        <v>1013</v>
      </c>
      <c r="B350" s="244">
        <v>5992.0</v>
      </c>
      <c r="C350" s="243" t="s">
        <v>492</v>
      </c>
      <c r="D350" s="243" t="s">
        <v>930</v>
      </c>
      <c r="E350" s="243" t="s">
        <v>1225</v>
      </c>
      <c r="F350" s="245">
        <v>4.0</v>
      </c>
      <c r="G350" s="245">
        <v>3.0</v>
      </c>
      <c r="H350" s="245">
        <v>1.0</v>
      </c>
      <c r="I350" s="245">
        <v>4.0</v>
      </c>
      <c r="J350" s="245">
        <v>3.0</v>
      </c>
      <c r="K350" s="245">
        <v>1.0</v>
      </c>
      <c r="L350" s="245">
        <v>5.0</v>
      </c>
      <c r="M350" s="245">
        <v>5.0</v>
      </c>
      <c r="N350" s="246">
        <v>0.5</v>
      </c>
      <c r="O350" s="247">
        <v>1.0</v>
      </c>
      <c r="P350" s="248">
        <v>1.0</v>
      </c>
    </row>
    <row r="351">
      <c r="A351" s="243" t="s">
        <v>1051</v>
      </c>
      <c r="B351" s="244">
        <v>5994.0</v>
      </c>
      <c r="C351" s="243" t="s">
        <v>480</v>
      </c>
      <c r="D351" s="243" t="s">
        <v>1022</v>
      </c>
      <c r="E351" s="243" t="s">
        <v>993</v>
      </c>
      <c r="F351" s="245">
        <v>1.0</v>
      </c>
      <c r="G351" s="245">
        <v>1.0</v>
      </c>
      <c r="H351" s="245">
        <v>0.0</v>
      </c>
      <c r="I351" s="245">
        <v>1.0</v>
      </c>
      <c r="J351" s="245">
        <v>1.0</v>
      </c>
      <c r="K351" s="245">
        <v>0.0</v>
      </c>
      <c r="L351" s="245">
        <v>1.0</v>
      </c>
      <c r="M351" s="245">
        <v>1.0</v>
      </c>
      <c r="N351" s="246">
        <v>0.5</v>
      </c>
      <c r="O351" s="247">
        <v>0.5</v>
      </c>
      <c r="P351" s="248">
        <v>0.5</v>
      </c>
    </row>
    <row r="352">
      <c r="A352" s="243" t="s">
        <v>785</v>
      </c>
      <c r="B352" s="244">
        <v>5995.0</v>
      </c>
      <c r="C352" s="243" t="s">
        <v>507</v>
      </c>
      <c r="D352" s="243" t="s">
        <v>507</v>
      </c>
      <c r="E352" s="243" t="s">
        <v>980</v>
      </c>
      <c r="F352" s="245">
        <v>21.0</v>
      </c>
      <c r="G352" s="245">
        <v>21.0</v>
      </c>
      <c r="H352" s="245">
        <v>0.0</v>
      </c>
      <c r="I352" s="245">
        <v>21.0</v>
      </c>
      <c r="J352" s="245">
        <v>21.0</v>
      </c>
      <c r="K352" s="245">
        <v>0.0</v>
      </c>
      <c r="L352" s="245">
        <v>147.0</v>
      </c>
      <c r="M352" s="245">
        <v>150.0</v>
      </c>
      <c r="N352" s="246">
        <v>15.0</v>
      </c>
      <c r="O352" s="247">
        <v>17.5</v>
      </c>
      <c r="P352" s="248">
        <v>19.5</v>
      </c>
    </row>
    <row r="353">
      <c r="A353" s="243" t="s">
        <v>460</v>
      </c>
      <c r="B353" s="244">
        <v>5998.0</v>
      </c>
      <c r="C353" s="243" t="s">
        <v>492</v>
      </c>
      <c r="D353" s="243" t="s">
        <v>1089</v>
      </c>
      <c r="E353" s="243" t="s">
        <v>987</v>
      </c>
      <c r="F353" s="245">
        <v>2.0</v>
      </c>
      <c r="G353" s="245">
        <v>2.0</v>
      </c>
      <c r="H353" s="245">
        <v>0.0</v>
      </c>
      <c r="I353" s="245">
        <v>2.0</v>
      </c>
      <c r="J353" s="245">
        <v>2.0</v>
      </c>
      <c r="K353" s="245">
        <v>0.0</v>
      </c>
      <c r="L353" s="245">
        <v>4.0</v>
      </c>
      <c r="M353" s="245">
        <v>4.0</v>
      </c>
      <c r="N353" s="246">
        <v>0.5</v>
      </c>
      <c r="O353" s="247">
        <v>0.5</v>
      </c>
      <c r="P353" s="248">
        <v>1.0</v>
      </c>
    </row>
    <row r="354">
      <c r="A354" s="243" t="s">
        <v>997</v>
      </c>
      <c r="B354" s="244">
        <v>6001.0</v>
      </c>
      <c r="C354" s="243" t="s">
        <v>507</v>
      </c>
      <c r="D354" s="243" t="s">
        <v>935</v>
      </c>
      <c r="E354" s="243" t="s">
        <v>998</v>
      </c>
      <c r="F354" s="245">
        <v>8.0</v>
      </c>
      <c r="G354" s="245">
        <v>9.0</v>
      </c>
      <c r="H354" s="245">
        <v>-1.0</v>
      </c>
      <c r="I354" s="245">
        <v>9.0</v>
      </c>
      <c r="J354" s="245">
        <v>10.0</v>
      </c>
      <c r="K354" s="245">
        <v>-1.0</v>
      </c>
      <c r="L354" s="245">
        <v>13.0</v>
      </c>
      <c r="M354" s="245">
        <v>16.0</v>
      </c>
      <c r="N354" s="246">
        <v>2.0</v>
      </c>
      <c r="O354" s="247">
        <v>2.0</v>
      </c>
      <c r="P354" s="248">
        <v>2.5</v>
      </c>
    </row>
    <row r="355">
      <c r="A355" s="243" t="s">
        <v>285</v>
      </c>
      <c r="B355" s="244">
        <v>6010.0</v>
      </c>
      <c r="C355" s="243" t="s">
        <v>492</v>
      </c>
      <c r="D355" s="243" t="s">
        <v>934</v>
      </c>
      <c r="E355" s="243" t="s">
        <v>1222</v>
      </c>
      <c r="F355" s="245">
        <v>5.0</v>
      </c>
      <c r="G355" s="245">
        <v>4.0</v>
      </c>
      <c r="H355" s="245">
        <v>1.0</v>
      </c>
      <c r="I355" s="245">
        <v>5.0</v>
      </c>
      <c r="J355" s="245">
        <v>4.0</v>
      </c>
      <c r="K355" s="245">
        <v>1.0</v>
      </c>
      <c r="L355" s="245">
        <v>19.0</v>
      </c>
      <c r="M355" s="245">
        <v>19.0</v>
      </c>
      <c r="N355" s="246">
        <v>2.0</v>
      </c>
      <c r="O355" s="247">
        <v>2.5</v>
      </c>
      <c r="P355" s="248">
        <v>2.5</v>
      </c>
    </row>
    <row r="356">
      <c r="A356" s="243" t="s">
        <v>901</v>
      </c>
      <c r="B356" s="244">
        <v>6020.0</v>
      </c>
      <c r="C356" s="243" t="s">
        <v>492</v>
      </c>
      <c r="D356" s="243" t="s">
        <v>1056</v>
      </c>
      <c r="E356" s="243" t="s">
        <v>1233</v>
      </c>
      <c r="F356" s="245">
        <v>4.0</v>
      </c>
      <c r="G356" s="245">
        <v>2.0</v>
      </c>
      <c r="H356" s="245">
        <v>2.0</v>
      </c>
      <c r="I356" s="245">
        <v>4.0</v>
      </c>
      <c r="J356" s="245">
        <v>2.0</v>
      </c>
      <c r="K356" s="245">
        <v>2.0</v>
      </c>
      <c r="L356" s="245">
        <v>11.0</v>
      </c>
      <c r="M356" s="245">
        <v>11.0</v>
      </c>
      <c r="N356" s="246">
        <v>1.5</v>
      </c>
      <c r="O356" s="247">
        <v>1.5</v>
      </c>
      <c r="P356" s="248">
        <v>1.5</v>
      </c>
    </row>
    <row r="357">
      <c r="A357" s="243" t="s">
        <v>1191</v>
      </c>
      <c r="B357" s="244">
        <v>6024.0</v>
      </c>
      <c r="C357" s="243" t="s">
        <v>492</v>
      </c>
      <c r="D357" s="243" t="s">
        <v>930</v>
      </c>
      <c r="E357" s="243" t="s">
        <v>980</v>
      </c>
      <c r="F357" s="245">
        <v>2.0</v>
      </c>
      <c r="G357" s="245">
        <v>2.0</v>
      </c>
      <c r="H357" s="245">
        <v>0.0</v>
      </c>
      <c r="I357" s="245">
        <v>3.0</v>
      </c>
      <c r="J357" s="245">
        <v>3.0</v>
      </c>
      <c r="K357" s="245">
        <v>0.0</v>
      </c>
      <c r="L357" s="245">
        <v>4.0</v>
      </c>
      <c r="M357" s="245">
        <v>5.0</v>
      </c>
      <c r="N357" s="246">
        <v>0.5</v>
      </c>
      <c r="O357" s="247">
        <v>1.0</v>
      </c>
      <c r="P357" s="248">
        <v>1.0</v>
      </c>
    </row>
    <row r="358">
      <c r="A358" s="243" t="s">
        <v>746</v>
      </c>
      <c r="B358" s="244">
        <v>6039.0</v>
      </c>
      <c r="C358" s="243" t="s">
        <v>480</v>
      </c>
      <c r="D358" s="243" t="s">
        <v>979</v>
      </c>
      <c r="E358" s="243" t="s">
        <v>976</v>
      </c>
      <c r="F358" s="245">
        <v>6.0</v>
      </c>
      <c r="G358" s="245">
        <v>5.0</v>
      </c>
      <c r="H358" s="245">
        <v>1.0</v>
      </c>
      <c r="I358" s="245">
        <v>7.0</v>
      </c>
      <c r="J358" s="245">
        <v>6.0</v>
      </c>
      <c r="K358" s="245">
        <v>1.0</v>
      </c>
      <c r="L358" s="245">
        <v>15.0</v>
      </c>
      <c r="M358" s="245">
        <v>18.0</v>
      </c>
      <c r="N358" s="246">
        <v>2.0</v>
      </c>
      <c r="O358" s="247">
        <v>2.5</v>
      </c>
      <c r="P358" s="248">
        <v>2.5</v>
      </c>
    </row>
    <row r="359">
      <c r="A359" s="243" t="s">
        <v>1174</v>
      </c>
      <c r="B359" s="244">
        <v>6041.0</v>
      </c>
      <c r="C359" s="243" t="s">
        <v>480</v>
      </c>
      <c r="D359" s="243" t="s">
        <v>481</v>
      </c>
      <c r="E359" s="243" t="s">
        <v>972</v>
      </c>
      <c r="F359" s="245">
        <v>6.0</v>
      </c>
      <c r="G359" s="245">
        <v>7.0</v>
      </c>
      <c r="H359" s="245">
        <v>-1.0</v>
      </c>
      <c r="I359" s="245">
        <v>6.0</v>
      </c>
      <c r="J359" s="245">
        <v>7.0</v>
      </c>
      <c r="K359" s="245">
        <v>-1.0</v>
      </c>
      <c r="L359" s="245">
        <v>10.0</v>
      </c>
      <c r="M359" s="245">
        <v>10.0</v>
      </c>
      <c r="N359" s="246">
        <v>1.0</v>
      </c>
      <c r="O359" s="247">
        <v>1.5</v>
      </c>
      <c r="P359" s="248">
        <v>1.5</v>
      </c>
    </row>
    <row r="360">
      <c r="A360" s="243" t="s">
        <v>813</v>
      </c>
      <c r="B360" s="244">
        <v>6042.0</v>
      </c>
      <c r="C360" s="243" t="s">
        <v>480</v>
      </c>
      <c r="D360" s="243" t="s">
        <v>481</v>
      </c>
      <c r="E360" s="243" t="s">
        <v>1009</v>
      </c>
      <c r="F360" s="245">
        <v>6.0</v>
      </c>
      <c r="G360" s="245">
        <v>7.0</v>
      </c>
      <c r="H360" s="245">
        <v>-1.0</v>
      </c>
      <c r="I360" s="245">
        <v>6.0</v>
      </c>
      <c r="J360" s="245">
        <v>7.0</v>
      </c>
      <c r="K360" s="245">
        <v>-1.0</v>
      </c>
      <c r="L360" s="245">
        <v>14.0</v>
      </c>
      <c r="M360" s="245">
        <v>14.0</v>
      </c>
      <c r="N360" s="246">
        <v>1.5</v>
      </c>
      <c r="O360" s="247">
        <v>2.0</v>
      </c>
      <c r="P360" s="248">
        <v>2.0</v>
      </c>
    </row>
    <row r="361">
      <c r="A361" s="243" t="s">
        <v>781</v>
      </c>
      <c r="B361" s="244">
        <v>6046.0</v>
      </c>
      <c r="C361" s="243" t="s">
        <v>480</v>
      </c>
      <c r="D361" s="243" t="s">
        <v>481</v>
      </c>
      <c r="E361" s="243" t="s">
        <v>980</v>
      </c>
      <c r="F361" s="245">
        <v>8.0</v>
      </c>
      <c r="G361" s="245">
        <v>8.0</v>
      </c>
      <c r="H361" s="245">
        <v>0.0</v>
      </c>
      <c r="I361" s="245">
        <v>8.0</v>
      </c>
      <c r="J361" s="245">
        <v>8.0</v>
      </c>
      <c r="K361" s="245">
        <v>0.0</v>
      </c>
      <c r="L361" s="245">
        <v>21.0</v>
      </c>
      <c r="M361" s="245">
        <v>21.0</v>
      </c>
      <c r="N361" s="246">
        <v>2.5</v>
      </c>
      <c r="O361" s="247">
        <v>2.5</v>
      </c>
      <c r="P361" s="248">
        <v>3.0</v>
      </c>
    </row>
    <row r="362">
      <c r="A362" s="243" t="s">
        <v>1053</v>
      </c>
      <c r="B362" s="244">
        <v>6047.0</v>
      </c>
      <c r="C362" s="243" t="s">
        <v>480</v>
      </c>
      <c r="D362" s="243" t="s">
        <v>938</v>
      </c>
      <c r="E362" s="243" t="s">
        <v>993</v>
      </c>
      <c r="F362" s="245">
        <v>6.0</v>
      </c>
      <c r="G362" s="245">
        <v>5.0</v>
      </c>
      <c r="H362" s="245">
        <v>1.0</v>
      </c>
      <c r="I362" s="245">
        <v>6.0</v>
      </c>
      <c r="J362" s="245">
        <v>5.0</v>
      </c>
      <c r="K362" s="245">
        <v>1.0</v>
      </c>
      <c r="L362" s="245">
        <v>8.0</v>
      </c>
      <c r="M362" s="245">
        <v>8.0</v>
      </c>
      <c r="N362" s="246">
        <v>1.0</v>
      </c>
      <c r="O362" s="247">
        <v>1.0</v>
      </c>
      <c r="P362" s="248">
        <v>1.5</v>
      </c>
    </row>
    <row r="363">
      <c r="A363" s="243" t="s">
        <v>1289</v>
      </c>
      <c r="B363" s="244">
        <v>6048.0</v>
      </c>
      <c r="C363" s="243" t="s">
        <v>492</v>
      </c>
      <c r="D363" s="243" t="s">
        <v>563</v>
      </c>
      <c r="E363" s="243" t="s">
        <v>983</v>
      </c>
      <c r="F363" s="245">
        <v>3.0</v>
      </c>
      <c r="G363" s="245">
        <v>3.0</v>
      </c>
      <c r="H363" s="245">
        <v>0.0</v>
      </c>
      <c r="I363" s="245">
        <v>3.0</v>
      </c>
      <c r="J363" s="245">
        <v>3.0</v>
      </c>
      <c r="K363" s="245">
        <v>0.0</v>
      </c>
      <c r="L363" s="245">
        <v>6.0</v>
      </c>
      <c r="M363" s="245">
        <v>5.0</v>
      </c>
      <c r="N363" s="246">
        <v>0.5</v>
      </c>
      <c r="O363" s="247">
        <v>1.0</v>
      </c>
      <c r="P363" s="248">
        <v>1.0</v>
      </c>
    </row>
    <row r="364">
      <c r="A364" s="243" t="s">
        <v>826</v>
      </c>
      <c r="B364" s="244">
        <v>6054.0</v>
      </c>
      <c r="C364" s="243" t="s">
        <v>492</v>
      </c>
      <c r="D364" s="243" t="s">
        <v>930</v>
      </c>
      <c r="E364" s="243" t="s">
        <v>1009</v>
      </c>
      <c r="F364" s="245">
        <v>3.0</v>
      </c>
      <c r="G364" s="245">
        <v>2.0</v>
      </c>
      <c r="H364" s="245">
        <v>1.0</v>
      </c>
      <c r="I364" s="245">
        <v>3.0</v>
      </c>
      <c r="J364" s="245">
        <v>2.0</v>
      </c>
      <c r="K364" s="245">
        <v>1.0</v>
      </c>
      <c r="L364" s="245">
        <v>8.0</v>
      </c>
      <c r="M364" s="245">
        <v>9.0</v>
      </c>
      <c r="N364" s="246">
        <v>1.0</v>
      </c>
      <c r="O364" s="247">
        <v>1.5</v>
      </c>
      <c r="P364" s="248">
        <v>1.5</v>
      </c>
    </row>
    <row r="365">
      <c r="A365" s="243" t="s">
        <v>933</v>
      </c>
      <c r="B365" s="244">
        <v>6055.0</v>
      </c>
      <c r="C365" s="243" t="s">
        <v>480</v>
      </c>
      <c r="D365" s="243" t="s">
        <v>481</v>
      </c>
      <c r="E365" s="243" t="s">
        <v>991</v>
      </c>
      <c r="F365" s="245">
        <v>3.0</v>
      </c>
      <c r="G365" s="245">
        <v>4.0</v>
      </c>
      <c r="H365" s="245">
        <v>-1.0</v>
      </c>
      <c r="I365" s="245">
        <v>3.0</v>
      </c>
      <c r="J365" s="245">
        <v>4.0</v>
      </c>
      <c r="K365" s="245">
        <v>-1.0</v>
      </c>
      <c r="L365" s="245">
        <v>10.0</v>
      </c>
      <c r="M365" s="245">
        <v>10.0</v>
      </c>
      <c r="N365" s="246">
        <v>1.0</v>
      </c>
      <c r="O365" s="247">
        <v>1.5</v>
      </c>
      <c r="P365" s="248">
        <v>1.5</v>
      </c>
    </row>
    <row r="366">
      <c r="A366" s="243" t="s">
        <v>1290</v>
      </c>
      <c r="B366" s="244">
        <v>6061.0</v>
      </c>
      <c r="C366" s="243" t="s">
        <v>492</v>
      </c>
      <c r="D366" s="243" t="s">
        <v>1057</v>
      </c>
      <c r="E366" s="243" t="s">
        <v>998</v>
      </c>
      <c r="F366" s="245">
        <v>6.0</v>
      </c>
      <c r="G366" s="245">
        <v>7.0</v>
      </c>
      <c r="H366" s="245">
        <v>-1.0</v>
      </c>
      <c r="I366" s="245">
        <v>6.0</v>
      </c>
      <c r="J366" s="245">
        <v>7.0</v>
      </c>
      <c r="K366" s="245">
        <v>-1.0</v>
      </c>
      <c r="L366" s="245">
        <v>12.0</v>
      </c>
      <c r="M366" s="245">
        <v>14.0</v>
      </c>
      <c r="N366" s="246">
        <v>1.5</v>
      </c>
      <c r="O366" s="247">
        <v>2.0</v>
      </c>
      <c r="P366" s="248">
        <v>2.0</v>
      </c>
    </row>
    <row r="367">
      <c r="A367" s="243" t="s">
        <v>346</v>
      </c>
      <c r="B367" s="244">
        <v>6066.0</v>
      </c>
      <c r="C367" s="243" t="s">
        <v>480</v>
      </c>
      <c r="D367" s="243" t="s">
        <v>937</v>
      </c>
      <c r="E367" s="243" t="s">
        <v>1009</v>
      </c>
      <c r="F367" s="245">
        <v>8.0</v>
      </c>
      <c r="G367" s="245">
        <v>8.0</v>
      </c>
      <c r="H367" s="245">
        <v>0.0</v>
      </c>
      <c r="I367" s="245">
        <v>9.0</v>
      </c>
      <c r="J367" s="245">
        <v>9.0</v>
      </c>
      <c r="K367" s="245">
        <v>0.0</v>
      </c>
      <c r="L367" s="245">
        <v>18.0</v>
      </c>
      <c r="M367" s="245">
        <v>21.0</v>
      </c>
      <c r="N367" s="246">
        <v>2.5</v>
      </c>
      <c r="O367" s="247">
        <v>2.5</v>
      </c>
      <c r="P367" s="248">
        <v>3.0</v>
      </c>
    </row>
    <row r="368">
      <c r="A368" s="243" t="s">
        <v>278</v>
      </c>
      <c r="B368" s="244">
        <v>6112.0</v>
      </c>
      <c r="C368" s="243" t="s">
        <v>492</v>
      </c>
      <c r="D368" s="243" t="s">
        <v>563</v>
      </c>
      <c r="E368" s="243" t="s">
        <v>1009</v>
      </c>
      <c r="F368" s="245">
        <v>6.0</v>
      </c>
      <c r="G368" s="245">
        <v>6.0</v>
      </c>
      <c r="H368" s="245">
        <v>0.0</v>
      </c>
      <c r="I368" s="245">
        <v>6.0</v>
      </c>
      <c r="J368" s="245">
        <v>6.0</v>
      </c>
      <c r="K368" s="245">
        <v>0.0</v>
      </c>
      <c r="L368" s="245">
        <v>11.0</v>
      </c>
      <c r="M368" s="245">
        <v>11.0</v>
      </c>
      <c r="N368" s="246">
        <v>1.5</v>
      </c>
      <c r="O368" s="247">
        <v>1.5</v>
      </c>
      <c r="P368" s="248">
        <v>1.5</v>
      </c>
    </row>
    <row r="369">
      <c r="A369" s="243" t="s">
        <v>1291</v>
      </c>
      <c r="B369" s="244">
        <v>6119.0</v>
      </c>
      <c r="C369" s="243" t="s">
        <v>507</v>
      </c>
      <c r="D369" s="243" t="s">
        <v>507</v>
      </c>
      <c r="E369" s="243" t="s">
        <v>1222</v>
      </c>
      <c r="F369" s="245">
        <v>4.0</v>
      </c>
      <c r="G369" s="245">
        <v>3.0</v>
      </c>
      <c r="H369" s="245">
        <v>1.0</v>
      </c>
      <c r="I369" s="245">
        <v>4.0</v>
      </c>
      <c r="J369" s="245">
        <v>3.0</v>
      </c>
      <c r="K369" s="245">
        <v>1.0</v>
      </c>
      <c r="L369" s="245">
        <v>12.0</v>
      </c>
      <c r="M369" s="245">
        <v>12.0</v>
      </c>
      <c r="N369" s="246">
        <v>1.5</v>
      </c>
      <c r="O369" s="247">
        <v>1.5</v>
      </c>
      <c r="P369" s="248">
        <v>2.0</v>
      </c>
    </row>
    <row r="370">
      <c r="A370" s="243" t="s">
        <v>1208</v>
      </c>
      <c r="B370" s="244">
        <v>6125.0</v>
      </c>
      <c r="C370" s="243" t="s">
        <v>477</v>
      </c>
      <c r="D370" s="243" t="s">
        <v>478</v>
      </c>
      <c r="E370" s="243" t="s">
        <v>1222</v>
      </c>
      <c r="F370" s="245">
        <v>6.0</v>
      </c>
      <c r="G370" s="245">
        <v>5.0</v>
      </c>
      <c r="H370" s="245">
        <v>1.0</v>
      </c>
      <c r="I370" s="245">
        <v>6.0</v>
      </c>
      <c r="J370" s="245">
        <v>5.0</v>
      </c>
      <c r="K370" s="245">
        <v>1.0</v>
      </c>
      <c r="L370" s="245">
        <v>14.0</v>
      </c>
      <c r="M370" s="245">
        <v>14.0</v>
      </c>
      <c r="N370" s="246">
        <v>1.5</v>
      </c>
      <c r="O370" s="247">
        <v>2.0</v>
      </c>
      <c r="P370" s="248">
        <v>2.0</v>
      </c>
    </row>
    <row r="371">
      <c r="A371" s="243" t="s">
        <v>949</v>
      </c>
      <c r="B371" s="244">
        <v>6145.0</v>
      </c>
      <c r="C371" s="243" t="s">
        <v>507</v>
      </c>
      <c r="D371" s="243" t="s">
        <v>935</v>
      </c>
      <c r="E371" s="243" t="s">
        <v>987</v>
      </c>
      <c r="F371" s="245">
        <v>9.0</v>
      </c>
      <c r="G371" s="245">
        <v>9.0</v>
      </c>
      <c r="H371" s="245">
        <v>0.0</v>
      </c>
      <c r="I371" s="245">
        <v>10.0</v>
      </c>
      <c r="J371" s="245">
        <v>10.0</v>
      </c>
      <c r="K371" s="245">
        <v>0.0</v>
      </c>
      <c r="L371" s="245">
        <v>12.0</v>
      </c>
      <c r="M371" s="245">
        <v>16.0</v>
      </c>
      <c r="N371" s="246">
        <v>2.0</v>
      </c>
      <c r="O371" s="247">
        <v>2.0</v>
      </c>
      <c r="P371" s="248">
        <v>2.5</v>
      </c>
    </row>
    <row r="372">
      <c r="A372" s="243" t="s">
        <v>1292</v>
      </c>
      <c r="B372" s="244">
        <v>6149.0</v>
      </c>
      <c r="C372" s="243" t="s">
        <v>480</v>
      </c>
      <c r="D372" s="243" t="s">
        <v>931</v>
      </c>
      <c r="E372" s="243" t="s">
        <v>1233</v>
      </c>
      <c r="F372" s="245">
        <v>2.0</v>
      </c>
      <c r="G372" s="245">
        <v>2.0</v>
      </c>
      <c r="H372" s="245">
        <v>0.0</v>
      </c>
      <c r="I372" s="245">
        <v>2.0</v>
      </c>
      <c r="J372" s="245">
        <v>2.0</v>
      </c>
      <c r="K372" s="245">
        <v>0.0</v>
      </c>
      <c r="L372" s="245">
        <v>4.0</v>
      </c>
      <c r="M372" s="245">
        <v>4.0</v>
      </c>
      <c r="N372" s="246">
        <v>0.5</v>
      </c>
      <c r="O372" s="247">
        <v>0.5</v>
      </c>
      <c r="P372" s="248">
        <v>1.0</v>
      </c>
    </row>
    <row r="373">
      <c r="A373" s="243" t="s">
        <v>1149</v>
      </c>
      <c r="B373" s="244">
        <v>6151.0</v>
      </c>
      <c r="C373" s="243" t="s">
        <v>492</v>
      </c>
      <c r="D373" s="243" t="s">
        <v>930</v>
      </c>
      <c r="E373" s="243" t="s">
        <v>974</v>
      </c>
      <c r="F373" s="245">
        <v>4.0</v>
      </c>
      <c r="G373" s="245">
        <v>4.0</v>
      </c>
      <c r="H373" s="245">
        <v>0.0</v>
      </c>
      <c r="I373" s="245">
        <v>4.0</v>
      </c>
      <c r="J373" s="245">
        <v>4.0</v>
      </c>
      <c r="K373" s="245">
        <v>0.0</v>
      </c>
      <c r="L373" s="245">
        <v>6.0</v>
      </c>
      <c r="M373" s="245">
        <v>6.0</v>
      </c>
      <c r="N373" s="246">
        <v>1.0</v>
      </c>
      <c r="O373" s="247">
        <v>1.0</v>
      </c>
      <c r="P373" s="248">
        <v>1.0</v>
      </c>
    </row>
    <row r="374">
      <c r="A374" s="243" t="s">
        <v>657</v>
      </c>
      <c r="B374" s="244">
        <v>6159.0</v>
      </c>
      <c r="C374" s="243" t="s">
        <v>507</v>
      </c>
      <c r="D374" s="243" t="s">
        <v>507</v>
      </c>
      <c r="E374" s="243" t="s">
        <v>983</v>
      </c>
      <c r="F374" s="245">
        <v>4.0</v>
      </c>
      <c r="G374" s="245">
        <v>4.0</v>
      </c>
      <c r="H374" s="245">
        <v>0.0</v>
      </c>
      <c r="I374" s="245">
        <v>4.0</v>
      </c>
      <c r="J374" s="245">
        <v>4.0</v>
      </c>
      <c r="K374" s="245">
        <v>0.0</v>
      </c>
      <c r="L374" s="245">
        <v>7.0</v>
      </c>
      <c r="M374" s="245">
        <v>7.0</v>
      </c>
      <c r="N374" s="246">
        <v>1.0</v>
      </c>
      <c r="O374" s="247">
        <v>1.0</v>
      </c>
      <c r="P374" s="248">
        <v>1.0</v>
      </c>
    </row>
    <row r="375">
      <c r="A375" s="243" t="s">
        <v>232</v>
      </c>
      <c r="B375" s="244">
        <v>6164.0</v>
      </c>
      <c r="C375" s="243" t="s">
        <v>507</v>
      </c>
      <c r="D375" s="243" t="s">
        <v>512</v>
      </c>
      <c r="E375" s="243" t="s">
        <v>1026</v>
      </c>
      <c r="F375" s="245">
        <v>12.0</v>
      </c>
      <c r="G375" s="245">
        <v>12.0</v>
      </c>
      <c r="H375" s="245">
        <v>0.0</v>
      </c>
      <c r="I375" s="245">
        <v>11.0</v>
      </c>
      <c r="J375" s="245">
        <v>11.0</v>
      </c>
      <c r="K375" s="245">
        <v>0.0</v>
      </c>
      <c r="L375" s="245">
        <v>79.0</v>
      </c>
      <c r="M375" s="245">
        <v>75.0</v>
      </c>
      <c r="N375" s="246">
        <v>7.5</v>
      </c>
      <c r="O375" s="247">
        <v>9.0</v>
      </c>
      <c r="P375" s="248">
        <v>10.0</v>
      </c>
    </row>
    <row r="376">
      <c r="A376" s="243" t="s">
        <v>160</v>
      </c>
      <c r="B376" s="244">
        <v>6170.0</v>
      </c>
      <c r="C376" s="243" t="s">
        <v>492</v>
      </c>
      <c r="D376" s="243" t="s">
        <v>492</v>
      </c>
      <c r="E376" s="243" t="s">
        <v>972</v>
      </c>
      <c r="F376" s="245">
        <v>4.0</v>
      </c>
      <c r="G376" s="245">
        <v>4.0</v>
      </c>
      <c r="H376" s="245">
        <v>0.0</v>
      </c>
      <c r="I376" s="245">
        <v>4.0</v>
      </c>
      <c r="J376" s="245">
        <v>4.0</v>
      </c>
      <c r="K376" s="245">
        <v>0.0</v>
      </c>
      <c r="L376" s="245">
        <v>12.0</v>
      </c>
      <c r="M376" s="245">
        <v>10.0</v>
      </c>
      <c r="N376" s="246">
        <v>1.0</v>
      </c>
      <c r="O376" s="247">
        <v>1.5</v>
      </c>
      <c r="P376" s="248">
        <v>1.5</v>
      </c>
    </row>
    <row r="377">
      <c r="A377" s="243" t="s">
        <v>796</v>
      </c>
      <c r="B377" s="244">
        <v>6184.0</v>
      </c>
      <c r="C377" s="243" t="s">
        <v>477</v>
      </c>
      <c r="D377" s="243" t="s">
        <v>478</v>
      </c>
      <c r="E377" s="243" t="s">
        <v>1033</v>
      </c>
      <c r="F377" s="245">
        <v>1.0</v>
      </c>
      <c r="G377" s="245">
        <v>1.0</v>
      </c>
      <c r="H377" s="245">
        <v>0.0</v>
      </c>
      <c r="I377" s="245">
        <v>1.0</v>
      </c>
      <c r="J377" s="245">
        <v>1.0</v>
      </c>
      <c r="K377" s="245">
        <v>0.0</v>
      </c>
      <c r="L377" s="245">
        <v>1.0</v>
      </c>
      <c r="M377" s="245">
        <v>1.0</v>
      </c>
      <c r="N377" s="246">
        <v>0.5</v>
      </c>
      <c r="O377" s="247">
        <v>0.5</v>
      </c>
      <c r="P377" s="248">
        <v>0.5</v>
      </c>
    </row>
    <row r="378">
      <c r="A378" s="243" t="s">
        <v>189</v>
      </c>
      <c r="B378" s="244">
        <v>6190.0</v>
      </c>
      <c r="C378" s="243" t="s">
        <v>492</v>
      </c>
      <c r="D378" s="243" t="s">
        <v>492</v>
      </c>
      <c r="E378" s="243" t="s">
        <v>988</v>
      </c>
      <c r="F378" s="245">
        <v>1.0</v>
      </c>
      <c r="G378" s="245">
        <v>1.0</v>
      </c>
      <c r="H378" s="245">
        <v>0.0</v>
      </c>
      <c r="I378" s="245">
        <v>1.0</v>
      </c>
      <c r="J378" s="245">
        <v>1.0</v>
      </c>
      <c r="K378" s="245">
        <v>0.0</v>
      </c>
      <c r="L378" s="245">
        <v>1.0</v>
      </c>
      <c r="M378" s="245">
        <v>1.0</v>
      </c>
      <c r="N378" s="246">
        <v>0.5</v>
      </c>
      <c r="O378" s="247">
        <v>0.5</v>
      </c>
      <c r="P378" s="248">
        <v>0.5</v>
      </c>
    </row>
    <row r="379">
      <c r="A379" s="243" t="s">
        <v>288</v>
      </c>
      <c r="B379" s="244">
        <v>6191.0</v>
      </c>
      <c r="C379" s="243" t="s">
        <v>492</v>
      </c>
      <c r="D379" s="243" t="s">
        <v>930</v>
      </c>
      <c r="E379" s="243" t="s">
        <v>983</v>
      </c>
      <c r="F379" s="245">
        <v>2.0</v>
      </c>
      <c r="G379" s="245">
        <v>1.0</v>
      </c>
      <c r="H379" s="245">
        <v>1.0</v>
      </c>
      <c r="I379" s="245">
        <v>2.0</v>
      </c>
      <c r="J379" s="245">
        <v>1.0</v>
      </c>
      <c r="K379" s="245">
        <v>1.0</v>
      </c>
      <c r="L379" s="245">
        <v>4.0</v>
      </c>
      <c r="M379" s="245">
        <v>6.0</v>
      </c>
      <c r="N379" s="246">
        <v>1.0</v>
      </c>
      <c r="O379" s="247">
        <v>1.0</v>
      </c>
      <c r="P379" s="248">
        <v>1.0</v>
      </c>
    </row>
    <row r="380">
      <c r="A380" s="243" t="s">
        <v>807</v>
      </c>
      <c r="B380" s="244">
        <v>6202.0</v>
      </c>
      <c r="C380" s="243" t="s">
        <v>480</v>
      </c>
      <c r="D380" s="243" t="s">
        <v>481</v>
      </c>
      <c r="E380" s="243" t="s">
        <v>1009</v>
      </c>
      <c r="F380" s="245">
        <v>7.0</v>
      </c>
      <c r="G380" s="245">
        <v>7.0</v>
      </c>
      <c r="H380" s="245">
        <v>0.0</v>
      </c>
      <c r="I380" s="245">
        <v>7.0</v>
      </c>
      <c r="J380" s="245">
        <v>7.0</v>
      </c>
      <c r="K380" s="245">
        <v>0.0</v>
      </c>
      <c r="L380" s="245">
        <v>16.0</v>
      </c>
      <c r="M380" s="245">
        <v>16.0</v>
      </c>
      <c r="N380" s="246">
        <v>2.0</v>
      </c>
      <c r="O380" s="247">
        <v>2.0</v>
      </c>
      <c r="P380" s="248">
        <v>2.5</v>
      </c>
    </row>
    <row r="381">
      <c r="A381" s="243" t="s">
        <v>1293</v>
      </c>
      <c r="B381" s="244">
        <v>6203.0</v>
      </c>
      <c r="C381" s="243" t="s">
        <v>492</v>
      </c>
      <c r="D381" s="243" t="s">
        <v>930</v>
      </c>
      <c r="E381" s="243" t="s">
        <v>1222</v>
      </c>
      <c r="F381" s="245">
        <v>1.0</v>
      </c>
      <c r="G381" s="245">
        <v>1.0</v>
      </c>
      <c r="H381" s="245">
        <v>0.0</v>
      </c>
      <c r="I381" s="245">
        <v>1.0</v>
      </c>
      <c r="J381" s="245">
        <v>1.0</v>
      </c>
      <c r="K381" s="245">
        <v>0.0</v>
      </c>
      <c r="L381" s="245">
        <v>1.0</v>
      </c>
      <c r="M381" s="245">
        <v>1.0</v>
      </c>
      <c r="N381" s="246">
        <v>0.5</v>
      </c>
      <c r="O381" s="247">
        <v>0.5</v>
      </c>
      <c r="P381" s="248">
        <v>0.5</v>
      </c>
    </row>
    <row r="382">
      <c r="A382" s="243" t="s">
        <v>786</v>
      </c>
      <c r="B382" s="244">
        <v>6206.0</v>
      </c>
      <c r="C382" s="243" t="s">
        <v>492</v>
      </c>
      <c r="D382" s="243" t="s">
        <v>934</v>
      </c>
      <c r="E382" s="243" t="s">
        <v>1009</v>
      </c>
      <c r="F382" s="245">
        <v>13.0</v>
      </c>
      <c r="G382" s="245">
        <v>13.0</v>
      </c>
      <c r="H382" s="245">
        <v>0.0</v>
      </c>
      <c r="I382" s="245">
        <v>13.0</v>
      </c>
      <c r="J382" s="245">
        <v>13.0</v>
      </c>
      <c r="K382" s="245">
        <v>0.0</v>
      </c>
      <c r="L382" s="245">
        <v>43.0</v>
      </c>
      <c r="M382" s="245">
        <v>43.0</v>
      </c>
      <c r="N382" s="246">
        <v>4.5</v>
      </c>
      <c r="O382" s="247">
        <v>5.0</v>
      </c>
      <c r="P382" s="248">
        <v>6.0</v>
      </c>
    </row>
    <row r="383">
      <c r="A383" s="243" t="s">
        <v>936</v>
      </c>
      <c r="B383" s="244">
        <v>6207.0</v>
      </c>
      <c r="C383" s="243" t="s">
        <v>507</v>
      </c>
      <c r="D383" s="243" t="s">
        <v>935</v>
      </c>
      <c r="E383" s="243" t="s">
        <v>985</v>
      </c>
      <c r="F383" s="245">
        <v>10.0</v>
      </c>
      <c r="G383" s="245">
        <v>9.0</v>
      </c>
      <c r="H383" s="245">
        <v>1.0</v>
      </c>
      <c r="I383" s="245">
        <v>11.0</v>
      </c>
      <c r="J383" s="245">
        <v>10.0</v>
      </c>
      <c r="K383" s="245">
        <v>1.0</v>
      </c>
      <c r="L383" s="245">
        <v>18.0</v>
      </c>
      <c r="M383" s="245">
        <v>20.0</v>
      </c>
      <c r="N383" s="246">
        <v>2.0</v>
      </c>
      <c r="O383" s="247">
        <v>2.5</v>
      </c>
      <c r="P383" s="248">
        <v>3.0</v>
      </c>
    </row>
    <row r="384">
      <c r="A384" s="243" t="s">
        <v>683</v>
      </c>
      <c r="B384" s="244">
        <v>6211.0</v>
      </c>
      <c r="C384" s="243" t="s">
        <v>480</v>
      </c>
      <c r="D384" s="243" t="s">
        <v>931</v>
      </c>
      <c r="E384" s="243" t="s">
        <v>993</v>
      </c>
      <c r="F384" s="245">
        <v>3.0</v>
      </c>
      <c r="G384" s="245">
        <v>3.0</v>
      </c>
      <c r="H384" s="245">
        <v>0.0</v>
      </c>
      <c r="I384" s="245">
        <v>3.0</v>
      </c>
      <c r="J384" s="245">
        <v>3.0</v>
      </c>
      <c r="K384" s="245">
        <v>0.0</v>
      </c>
      <c r="L384" s="245">
        <v>4.0</v>
      </c>
      <c r="M384" s="245">
        <v>4.0</v>
      </c>
      <c r="N384" s="246">
        <v>0.5</v>
      </c>
      <c r="O384" s="247">
        <v>0.5</v>
      </c>
      <c r="P384" s="248">
        <v>1.0</v>
      </c>
    </row>
    <row r="385">
      <c r="A385" s="243" t="s">
        <v>1216</v>
      </c>
      <c r="B385" s="244">
        <v>6212.0</v>
      </c>
      <c r="C385" s="243" t="s">
        <v>492</v>
      </c>
      <c r="D385" s="243" t="s">
        <v>930</v>
      </c>
      <c r="E385" s="243" t="s">
        <v>993</v>
      </c>
      <c r="F385" s="245">
        <v>3.0</v>
      </c>
      <c r="G385" s="245">
        <v>3.0</v>
      </c>
      <c r="H385" s="245">
        <v>0.0</v>
      </c>
      <c r="I385" s="245">
        <v>4.0</v>
      </c>
      <c r="J385" s="245">
        <v>4.0</v>
      </c>
      <c r="K385" s="245">
        <v>0.0</v>
      </c>
      <c r="L385" s="245">
        <v>6.0</v>
      </c>
      <c r="M385" s="245">
        <v>8.0</v>
      </c>
      <c r="N385" s="246">
        <v>1.0</v>
      </c>
      <c r="O385" s="247">
        <v>1.0</v>
      </c>
      <c r="P385" s="248">
        <v>1.5</v>
      </c>
    </row>
    <row r="386">
      <c r="A386" s="243" t="s">
        <v>859</v>
      </c>
      <c r="B386" s="244">
        <v>6213.0</v>
      </c>
      <c r="C386" s="243" t="s">
        <v>507</v>
      </c>
      <c r="D386" s="243" t="s">
        <v>507</v>
      </c>
      <c r="E386" s="243" t="s">
        <v>993</v>
      </c>
      <c r="F386" s="245">
        <v>8.0</v>
      </c>
      <c r="G386" s="245">
        <v>7.0</v>
      </c>
      <c r="H386" s="245">
        <v>1.0</v>
      </c>
      <c r="I386" s="245">
        <v>8.0</v>
      </c>
      <c r="J386" s="245">
        <v>7.0</v>
      </c>
      <c r="K386" s="245">
        <v>1.0</v>
      </c>
      <c r="L386" s="245">
        <v>26.0</v>
      </c>
      <c r="M386" s="245">
        <v>24.0</v>
      </c>
      <c r="N386" s="246">
        <v>2.5</v>
      </c>
      <c r="O386" s="247">
        <v>3.0</v>
      </c>
      <c r="P386" s="248">
        <v>3.5</v>
      </c>
    </row>
    <row r="387">
      <c r="A387" s="243" t="s">
        <v>66</v>
      </c>
      <c r="B387" s="244">
        <v>6215.0</v>
      </c>
      <c r="C387" s="243" t="s">
        <v>507</v>
      </c>
      <c r="D387" s="243" t="s">
        <v>512</v>
      </c>
      <c r="E387" s="243" t="s">
        <v>993</v>
      </c>
      <c r="F387" s="245">
        <v>14.0</v>
      </c>
      <c r="G387" s="245">
        <v>14.0</v>
      </c>
      <c r="H387" s="245">
        <v>0.0</v>
      </c>
      <c r="I387" s="245">
        <v>14.0</v>
      </c>
      <c r="J387" s="245">
        <v>13.0</v>
      </c>
      <c r="K387" s="245">
        <v>1.0</v>
      </c>
      <c r="L387" s="245">
        <v>71.0</v>
      </c>
      <c r="M387" s="245">
        <v>68.0</v>
      </c>
      <c r="N387" s="246">
        <v>7.0</v>
      </c>
      <c r="O387" s="247">
        <v>8.0</v>
      </c>
      <c r="P387" s="248">
        <v>9.0</v>
      </c>
    </row>
    <row r="388">
      <c r="A388" s="243" t="s">
        <v>194</v>
      </c>
      <c r="B388" s="244">
        <v>6217.0</v>
      </c>
      <c r="C388" s="243" t="s">
        <v>480</v>
      </c>
      <c r="D388" s="243" t="s">
        <v>481</v>
      </c>
      <c r="E388" s="243" t="s">
        <v>973</v>
      </c>
      <c r="F388" s="245">
        <v>4.0</v>
      </c>
      <c r="G388" s="245">
        <v>5.0</v>
      </c>
      <c r="H388" s="245">
        <v>-1.0</v>
      </c>
      <c r="I388" s="245">
        <v>4.0</v>
      </c>
      <c r="J388" s="245">
        <v>5.0</v>
      </c>
      <c r="K388" s="245">
        <v>-1.0</v>
      </c>
      <c r="L388" s="245">
        <v>11.0</v>
      </c>
      <c r="M388" s="245">
        <v>11.0</v>
      </c>
      <c r="N388" s="246">
        <v>1.5</v>
      </c>
      <c r="O388" s="247">
        <v>1.5</v>
      </c>
      <c r="P388" s="248">
        <v>1.5</v>
      </c>
    </row>
    <row r="389">
      <c r="A389" s="243" t="s">
        <v>705</v>
      </c>
      <c r="B389" s="244">
        <v>6218.0</v>
      </c>
      <c r="C389" s="243" t="s">
        <v>492</v>
      </c>
      <c r="D389" s="243" t="s">
        <v>1137</v>
      </c>
      <c r="E389" s="243" t="s">
        <v>1233</v>
      </c>
      <c r="F389" s="245">
        <v>8.0</v>
      </c>
      <c r="G389" s="245">
        <v>9.0</v>
      </c>
      <c r="H389" s="245">
        <v>-1.0</v>
      </c>
      <c r="I389" s="245">
        <v>9.0</v>
      </c>
      <c r="J389" s="245">
        <v>10.0</v>
      </c>
      <c r="K389" s="245">
        <v>-1.0</v>
      </c>
      <c r="L389" s="245">
        <v>23.0</v>
      </c>
      <c r="M389" s="245">
        <v>26.0</v>
      </c>
      <c r="N389" s="246">
        <v>3.0</v>
      </c>
      <c r="O389" s="247">
        <v>3.0</v>
      </c>
      <c r="P389" s="248">
        <v>3.5</v>
      </c>
    </row>
    <row r="390">
      <c r="A390" s="243" t="s">
        <v>1158</v>
      </c>
      <c r="B390" s="244">
        <v>6222.0</v>
      </c>
      <c r="C390" s="243" t="s">
        <v>492</v>
      </c>
      <c r="D390" s="243" t="s">
        <v>934</v>
      </c>
      <c r="E390" s="243" t="s">
        <v>998</v>
      </c>
      <c r="F390" s="245">
        <v>4.0</v>
      </c>
      <c r="G390" s="245">
        <v>4.0</v>
      </c>
      <c r="H390" s="245">
        <v>0.0</v>
      </c>
      <c r="I390" s="245">
        <v>4.0</v>
      </c>
      <c r="J390" s="245">
        <v>4.0</v>
      </c>
      <c r="K390" s="245">
        <v>0.0</v>
      </c>
      <c r="L390" s="245">
        <v>8.0</v>
      </c>
      <c r="M390" s="245">
        <v>8.0</v>
      </c>
      <c r="N390" s="246">
        <v>1.0</v>
      </c>
      <c r="O390" s="247">
        <v>1.0</v>
      </c>
      <c r="P390" s="248">
        <v>1.5</v>
      </c>
    </row>
    <row r="391">
      <c r="A391" s="243" t="s">
        <v>636</v>
      </c>
      <c r="B391" s="244">
        <v>6224.0</v>
      </c>
      <c r="C391" s="243" t="s">
        <v>492</v>
      </c>
      <c r="D391" s="243" t="s">
        <v>492</v>
      </c>
      <c r="E391" s="243" t="s">
        <v>991</v>
      </c>
      <c r="F391" s="245">
        <v>12.0</v>
      </c>
      <c r="G391" s="245">
        <v>12.0</v>
      </c>
      <c r="H391" s="245">
        <v>0.0</v>
      </c>
      <c r="I391" s="245">
        <v>11.0</v>
      </c>
      <c r="J391" s="245">
        <v>11.0</v>
      </c>
      <c r="K391" s="245">
        <v>0.0</v>
      </c>
      <c r="L391" s="245">
        <v>30.0</v>
      </c>
      <c r="M391" s="245">
        <v>28.0</v>
      </c>
      <c r="N391" s="246">
        <v>3.0</v>
      </c>
      <c r="O391" s="247">
        <v>3.5</v>
      </c>
      <c r="P391" s="248">
        <v>4.0</v>
      </c>
    </row>
    <row r="392">
      <c r="A392" s="243" t="s">
        <v>659</v>
      </c>
      <c r="B392" s="244">
        <v>6225.0</v>
      </c>
      <c r="C392" s="243" t="s">
        <v>492</v>
      </c>
      <c r="D392" s="243" t="s">
        <v>930</v>
      </c>
      <c r="E392" s="243" t="s">
        <v>1009</v>
      </c>
      <c r="F392" s="245">
        <v>4.0</v>
      </c>
      <c r="G392" s="245">
        <v>4.0</v>
      </c>
      <c r="H392" s="245">
        <v>0.0</v>
      </c>
      <c r="I392" s="245">
        <v>4.0</v>
      </c>
      <c r="J392" s="245">
        <v>5.0</v>
      </c>
      <c r="K392" s="245">
        <v>-1.0</v>
      </c>
      <c r="L392" s="245">
        <v>7.0</v>
      </c>
      <c r="M392" s="245">
        <v>8.0</v>
      </c>
      <c r="N392" s="246">
        <v>1.0</v>
      </c>
      <c r="O392" s="247">
        <v>1.0</v>
      </c>
      <c r="P392" s="248">
        <v>1.5</v>
      </c>
    </row>
    <row r="393">
      <c r="A393" s="243" t="s">
        <v>361</v>
      </c>
      <c r="B393" s="244">
        <v>6226.0</v>
      </c>
      <c r="C393" s="243" t="s">
        <v>507</v>
      </c>
      <c r="D393" s="243" t="s">
        <v>512</v>
      </c>
      <c r="E393" s="243" t="s">
        <v>1000</v>
      </c>
      <c r="F393" s="245">
        <v>22.0</v>
      </c>
      <c r="G393" s="245">
        <v>21.0</v>
      </c>
      <c r="H393" s="245">
        <v>1.0</v>
      </c>
      <c r="I393" s="245">
        <v>22.0</v>
      </c>
      <c r="J393" s="245">
        <v>21.0</v>
      </c>
      <c r="K393" s="245">
        <v>1.0</v>
      </c>
      <c r="L393" s="245">
        <v>112.0</v>
      </c>
      <c r="M393" s="245">
        <v>110.0</v>
      </c>
      <c r="N393" s="246">
        <v>11.0</v>
      </c>
      <c r="O393" s="247">
        <v>13.0</v>
      </c>
      <c r="P393" s="248">
        <v>14.5</v>
      </c>
    </row>
    <row r="394">
      <c r="A394" s="243" t="s">
        <v>738</v>
      </c>
      <c r="B394" s="244">
        <v>6227.0</v>
      </c>
      <c r="C394" s="243" t="s">
        <v>507</v>
      </c>
      <c r="D394" s="243" t="s">
        <v>507</v>
      </c>
      <c r="E394" s="243" t="s">
        <v>991</v>
      </c>
      <c r="F394" s="245">
        <v>12.0</v>
      </c>
      <c r="G394" s="245">
        <v>11.0</v>
      </c>
      <c r="H394" s="245">
        <v>1.0</v>
      </c>
      <c r="I394" s="245">
        <v>12.0</v>
      </c>
      <c r="J394" s="245">
        <v>11.0</v>
      </c>
      <c r="K394" s="245">
        <v>1.0</v>
      </c>
      <c r="L394" s="245">
        <v>21.0</v>
      </c>
      <c r="M394" s="245">
        <v>21.0</v>
      </c>
      <c r="N394" s="246">
        <v>2.5</v>
      </c>
      <c r="O394" s="247">
        <v>2.5</v>
      </c>
      <c r="P394" s="248">
        <v>3.0</v>
      </c>
    </row>
    <row r="395">
      <c r="A395" s="243" t="s">
        <v>686</v>
      </c>
      <c r="B395" s="244">
        <v>6228.0</v>
      </c>
      <c r="C395" s="243" t="s">
        <v>507</v>
      </c>
      <c r="D395" s="243" t="s">
        <v>512</v>
      </c>
      <c r="E395" s="243" t="s">
        <v>980</v>
      </c>
      <c r="F395" s="245">
        <v>23.0</v>
      </c>
      <c r="G395" s="245">
        <v>20.0</v>
      </c>
      <c r="H395" s="245">
        <v>3.0</v>
      </c>
      <c r="I395" s="245">
        <v>22.0</v>
      </c>
      <c r="J395" s="245">
        <v>19.0</v>
      </c>
      <c r="K395" s="245">
        <v>3.0</v>
      </c>
      <c r="L395" s="245">
        <v>194.0</v>
      </c>
      <c r="M395" s="245">
        <v>190.0</v>
      </c>
      <c r="N395" s="246">
        <v>19.0</v>
      </c>
      <c r="O395" s="247">
        <v>22.0</v>
      </c>
      <c r="P395" s="248">
        <v>25.0</v>
      </c>
    </row>
    <row r="396">
      <c r="A396" s="243" t="s">
        <v>882</v>
      </c>
      <c r="B396" s="244">
        <v>6230.0</v>
      </c>
      <c r="C396" s="243" t="s">
        <v>480</v>
      </c>
      <c r="D396" s="243" t="s">
        <v>481</v>
      </c>
      <c r="E396" s="243" t="s">
        <v>974</v>
      </c>
      <c r="F396" s="245">
        <v>8.0</v>
      </c>
      <c r="G396" s="245">
        <v>8.0</v>
      </c>
      <c r="H396" s="245">
        <v>0.0</v>
      </c>
      <c r="I396" s="245">
        <v>8.0</v>
      </c>
      <c r="J396" s="245">
        <v>8.0</v>
      </c>
      <c r="K396" s="245">
        <v>0.0</v>
      </c>
      <c r="L396" s="245">
        <v>14.0</v>
      </c>
      <c r="M396" s="245">
        <v>14.0</v>
      </c>
      <c r="N396" s="246">
        <v>1.5</v>
      </c>
      <c r="O396" s="247">
        <v>2.0</v>
      </c>
      <c r="P396" s="248">
        <v>2.0</v>
      </c>
    </row>
    <row r="397">
      <c r="A397" s="243" t="s">
        <v>1294</v>
      </c>
      <c r="B397" s="244">
        <v>6231.0</v>
      </c>
      <c r="C397" s="243" t="s">
        <v>480</v>
      </c>
      <c r="D397" s="243" t="s">
        <v>944</v>
      </c>
      <c r="E397" s="243" t="s">
        <v>975</v>
      </c>
      <c r="F397" s="245">
        <v>5.0</v>
      </c>
      <c r="G397" s="245">
        <v>4.0</v>
      </c>
      <c r="H397" s="245">
        <v>1.0</v>
      </c>
      <c r="I397" s="245">
        <v>6.0</v>
      </c>
      <c r="J397" s="245">
        <v>5.0</v>
      </c>
      <c r="K397" s="245">
        <v>1.0</v>
      </c>
      <c r="L397" s="245">
        <v>7.0</v>
      </c>
      <c r="M397" s="245">
        <v>8.0</v>
      </c>
      <c r="N397" s="246">
        <v>1.0</v>
      </c>
      <c r="O397" s="247">
        <v>1.0</v>
      </c>
      <c r="P397" s="248">
        <v>1.5</v>
      </c>
    </row>
    <row r="398">
      <c r="A398" s="243" t="s">
        <v>900</v>
      </c>
      <c r="B398" s="244">
        <v>6232.0</v>
      </c>
      <c r="C398" s="243" t="s">
        <v>492</v>
      </c>
      <c r="D398" s="243" t="s">
        <v>930</v>
      </c>
      <c r="E398" s="243" t="s">
        <v>975</v>
      </c>
      <c r="F398" s="245">
        <v>4.0</v>
      </c>
      <c r="G398" s="245">
        <v>4.0</v>
      </c>
      <c r="H398" s="245">
        <v>0.0</v>
      </c>
      <c r="I398" s="245">
        <v>4.0</v>
      </c>
      <c r="J398" s="245">
        <v>5.0</v>
      </c>
      <c r="K398" s="245">
        <v>-1.0</v>
      </c>
      <c r="L398" s="245">
        <v>7.0</v>
      </c>
      <c r="M398" s="245">
        <v>8.0</v>
      </c>
      <c r="N398" s="246">
        <v>1.0</v>
      </c>
      <c r="O398" s="247">
        <v>1.0</v>
      </c>
      <c r="P398" s="248">
        <v>1.5</v>
      </c>
    </row>
    <row r="399">
      <c r="A399" s="243" t="s">
        <v>640</v>
      </c>
      <c r="B399" s="244">
        <v>6235.0</v>
      </c>
      <c r="C399" s="243" t="s">
        <v>480</v>
      </c>
      <c r="D399" s="243" t="s">
        <v>944</v>
      </c>
      <c r="E399" s="243" t="s">
        <v>1033</v>
      </c>
      <c r="F399" s="245">
        <v>5.0</v>
      </c>
      <c r="G399" s="245">
        <v>5.0</v>
      </c>
      <c r="H399" s="245">
        <v>0.0</v>
      </c>
      <c r="I399" s="245">
        <v>6.0</v>
      </c>
      <c r="J399" s="245">
        <v>6.0</v>
      </c>
      <c r="K399" s="245">
        <v>0.0</v>
      </c>
      <c r="L399" s="245">
        <v>8.0</v>
      </c>
      <c r="M399" s="245">
        <v>10.0</v>
      </c>
      <c r="N399" s="246">
        <v>1.0</v>
      </c>
      <c r="O399" s="247">
        <v>1.5</v>
      </c>
      <c r="P399" s="248">
        <v>1.5</v>
      </c>
    </row>
    <row r="400">
      <c r="A400" s="243" t="s">
        <v>795</v>
      </c>
      <c r="B400" s="244">
        <v>6244.0</v>
      </c>
      <c r="C400" s="243" t="s">
        <v>480</v>
      </c>
      <c r="D400" s="243" t="s">
        <v>481</v>
      </c>
      <c r="E400" s="243" t="s">
        <v>1026</v>
      </c>
      <c r="F400" s="245">
        <v>1.0</v>
      </c>
      <c r="G400" s="245">
        <v>1.0</v>
      </c>
      <c r="H400" s="245">
        <v>0.0</v>
      </c>
      <c r="I400" s="245">
        <v>1.0</v>
      </c>
      <c r="J400" s="245">
        <v>1.0</v>
      </c>
      <c r="K400" s="245">
        <v>0.0</v>
      </c>
      <c r="L400" s="245">
        <v>1.0</v>
      </c>
      <c r="M400" s="245">
        <v>1.0</v>
      </c>
      <c r="N400" s="246">
        <v>0.5</v>
      </c>
      <c r="O400" s="247">
        <v>0.5</v>
      </c>
      <c r="P400" s="248">
        <v>0.5</v>
      </c>
    </row>
    <row r="401">
      <c r="A401" s="243" t="s">
        <v>896</v>
      </c>
      <c r="B401" s="244">
        <v>6245.0</v>
      </c>
      <c r="C401" s="243" t="s">
        <v>480</v>
      </c>
      <c r="D401" s="243" t="s">
        <v>937</v>
      </c>
      <c r="E401" s="243" t="s">
        <v>1026</v>
      </c>
      <c r="F401" s="245">
        <v>5.0</v>
      </c>
      <c r="G401" s="245">
        <v>2.0</v>
      </c>
      <c r="H401" s="245">
        <v>3.0</v>
      </c>
      <c r="I401" s="245">
        <v>5.0</v>
      </c>
      <c r="J401" s="245">
        <v>2.0</v>
      </c>
      <c r="K401" s="245">
        <v>3.0</v>
      </c>
      <c r="L401" s="245">
        <v>4.0</v>
      </c>
      <c r="M401" s="245">
        <v>4.0</v>
      </c>
      <c r="N401" s="246">
        <v>0.5</v>
      </c>
      <c r="O401" s="247">
        <v>0.5</v>
      </c>
      <c r="P401" s="248">
        <v>1.0</v>
      </c>
    </row>
    <row r="402">
      <c r="A402" s="243" t="s">
        <v>1295</v>
      </c>
      <c r="B402" s="244">
        <v>6248.0</v>
      </c>
      <c r="C402" s="243" t="s">
        <v>477</v>
      </c>
      <c r="D402" s="243" t="s">
        <v>478</v>
      </c>
      <c r="E402" s="243" t="s">
        <v>1233</v>
      </c>
      <c r="F402" s="245">
        <v>1.0</v>
      </c>
      <c r="G402" s="245">
        <v>1.0</v>
      </c>
      <c r="H402" s="245">
        <v>0.0</v>
      </c>
      <c r="I402" s="245">
        <v>1.0</v>
      </c>
      <c r="J402" s="245">
        <v>1.0</v>
      </c>
      <c r="K402" s="245">
        <v>0.0</v>
      </c>
      <c r="L402" s="245">
        <v>1.0</v>
      </c>
      <c r="M402" s="245">
        <v>1.0</v>
      </c>
      <c r="N402" s="246">
        <v>0.5</v>
      </c>
      <c r="O402" s="247">
        <v>0.5</v>
      </c>
      <c r="P402" s="248">
        <v>0.5</v>
      </c>
    </row>
    <row r="403">
      <c r="A403" s="243" t="s">
        <v>366</v>
      </c>
      <c r="B403" s="244">
        <v>6252.0</v>
      </c>
      <c r="C403" s="243" t="s">
        <v>492</v>
      </c>
      <c r="D403" s="243" t="s">
        <v>934</v>
      </c>
      <c r="E403" s="243" t="s">
        <v>987</v>
      </c>
      <c r="F403" s="245">
        <v>6.0</v>
      </c>
      <c r="G403" s="245">
        <v>7.0</v>
      </c>
      <c r="H403" s="245">
        <v>-1.0</v>
      </c>
      <c r="I403" s="245">
        <v>6.0</v>
      </c>
      <c r="J403" s="245">
        <v>7.0</v>
      </c>
      <c r="K403" s="245">
        <v>-1.0</v>
      </c>
      <c r="L403" s="245">
        <v>15.0</v>
      </c>
      <c r="M403" s="245">
        <v>15.0</v>
      </c>
      <c r="N403" s="246">
        <v>1.5</v>
      </c>
      <c r="O403" s="247">
        <v>2.0</v>
      </c>
      <c r="P403" s="248">
        <v>2.0</v>
      </c>
    </row>
    <row r="404">
      <c r="A404" s="243" t="s">
        <v>893</v>
      </c>
      <c r="B404" s="244">
        <v>6257.0</v>
      </c>
      <c r="C404" s="243" t="s">
        <v>480</v>
      </c>
      <c r="D404" s="243" t="s">
        <v>931</v>
      </c>
      <c r="E404" s="243" t="s">
        <v>998</v>
      </c>
      <c r="F404" s="245">
        <v>8.0</v>
      </c>
      <c r="G404" s="245">
        <v>8.0</v>
      </c>
      <c r="H404" s="245">
        <v>0.0</v>
      </c>
      <c r="I404" s="245">
        <v>8.0</v>
      </c>
      <c r="J404" s="245">
        <v>8.0</v>
      </c>
      <c r="K404" s="245">
        <v>0.0</v>
      </c>
      <c r="L404" s="245">
        <v>20.0</v>
      </c>
      <c r="M404" s="245">
        <v>20.0</v>
      </c>
      <c r="N404" s="246">
        <v>2.0</v>
      </c>
      <c r="O404" s="247">
        <v>2.5</v>
      </c>
      <c r="P404" s="248">
        <v>3.0</v>
      </c>
    </row>
    <row r="405">
      <c r="A405" s="243" t="s">
        <v>1296</v>
      </c>
      <c r="B405" s="244">
        <v>6284.0</v>
      </c>
      <c r="C405" s="243" t="s">
        <v>480</v>
      </c>
      <c r="D405" s="243" t="s">
        <v>481</v>
      </c>
      <c r="E405" s="243" t="s">
        <v>983</v>
      </c>
      <c r="F405" s="245">
        <v>2.0</v>
      </c>
      <c r="G405" s="245">
        <v>2.0</v>
      </c>
      <c r="H405" s="245">
        <v>0.0</v>
      </c>
      <c r="I405" s="245">
        <v>2.0</v>
      </c>
      <c r="J405" s="245">
        <v>2.0</v>
      </c>
      <c r="K405" s="245">
        <v>0.0</v>
      </c>
      <c r="L405" s="245">
        <v>3.0</v>
      </c>
      <c r="M405" s="245">
        <v>3.0</v>
      </c>
      <c r="N405" s="246">
        <v>0.5</v>
      </c>
      <c r="O405" s="247">
        <v>0.5</v>
      </c>
      <c r="P405" s="248">
        <v>0.5</v>
      </c>
    </row>
    <row r="406">
      <c r="A406" s="243" t="s">
        <v>644</v>
      </c>
      <c r="B406" s="244">
        <v>6299.0</v>
      </c>
      <c r="C406" s="243" t="s">
        <v>492</v>
      </c>
      <c r="D406" s="243" t="s">
        <v>934</v>
      </c>
      <c r="E406" s="243" t="s">
        <v>988</v>
      </c>
      <c r="F406" s="245">
        <v>10.0</v>
      </c>
      <c r="G406" s="245">
        <v>10.0</v>
      </c>
      <c r="H406" s="245">
        <v>0.0</v>
      </c>
      <c r="I406" s="245">
        <v>10.0</v>
      </c>
      <c r="J406" s="245">
        <v>10.0</v>
      </c>
      <c r="K406" s="245">
        <v>0.0</v>
      </c>
      <c r="L406" s="245">
        <v>21.0</v>
      </c>
      <c r="M406" s="245">
        <v>21.0</v>
      </c>
      <c r="N406" s="246">
        <v>2.5</v>
      </c>
      <c r="O406" s="247">
        <v>2.5</v>
      </c>
      <c r="P406" s="248">
        <v>3.0</v>
      </c>
    </row>
    <row r="407">
      <c r="A407" s="243" t="s">
        <v>673</v>
      </c>
      <c r="B407" s="244">
        <v>6394.0</v>
      </c>
      <c r="C407" s="243" t="s">
        <v>492</v>
      </c>
      <c r="D407" s="243" t="s">
        <v>930</v>
      </c>
      <c r="E407" s="243" t="s">
        <v>998</v>
      </c>
      <c r="F407" s="245">
        <v>5.0</v>
      </c>
      <c r="G407" s="245">
        <v>5.0</v>
      </c>
      <c r="H407" s="245">
        <v>0.0</v>
      </c>
      <c r="I407" s="245">
        <v>6.0</v>
      </c>
      <c r="J407" s="245">
        <v>6.0</v>
      </c>
      <c r="K407" s="245">
        <v>0.0</v>
      </c>
      <c r="L407" s="245">
        <v>10.0</v>
      </c>
      <c r="M407" s="245">
        <v>12.0</v>
      </c>
      <c r="N407" s="246">
        <v>1.5</v>
      </c>
      <c r="O407" s="247">
        <v>1.5</v>
      </c>
      <c r="P407" s="248">
        <v>2.0</v>
      </c>
    </row>
    <row r="408">
      <c r="A408" s="243" t="s">
        <v>663</v>
      </c>
      <c r="B408" s="244">
        <v>6398.0</v>
      </c>
      <c r="C408" s="243" t="s">
        <v>507</v>
      </c>
      <c r="D408" s="243" t="s">
        <v>935</v>
      </c>
      <c r="E408" s="243" t="s">
        <v>1000</v>
      </c>
      <c r="F408" s="245">
        <v>12.0</v>
      </c>
      <c r="G408" s="245">
        <v>11.0</v>
      </c>
      <c r="H408" s="245">
        <v>1.0</v>
      </c>
      <c r="I408" s="245">
        <v>13.0</v>
      </c>
      <c r="J408" s="245">
        <v>12.0</v>
      </c>
      <c r="K408" s="245">
        <v>1.0</v>
      </c>
      <c r="L408" s="245">
        <v>25.0</v>
      </c>
      <c r="M408" s="245">
        <v>27.0</v>
      </c>
      <c r="N408" s="246">
        <v>3.0</v>
      </c>
      <c r="O408" s="247">
        <v>3.5</v>
      </c>
      <c r="P408" s="248">
        <v>4.0</v>
      </c>
    </row>
    <row r="409">
      <c r="A409" s="243" t="s">
        <v>1297</v>
      </c>
      <c r="B409" s="244">
        <v>6403.0</v>
      </c>
      <c r="C409" s="243" t="s">
        <v>477</v>
      </c>
      <c r="D409" s="243" t="s">
        <v>478</v>
      </c>
      <c r="E409" s="243" t="s">
        <v>1033</v>
      </c>
      <c r="F409" s="245">
        <v>1.0</v>
      </c>
      <c r="G409" s="245">
        <v>1.0</v>
      </c>
      <c r="H409" s="245">
        <v>0.0</v>
      </c>
      <c r="I409" s="245">
        <v>1.0</v>
      </c>
      <c r="J409" s="245">
        <v>1.0</v>
      </c>
      <c r="K409" s="245">
        <v>0.0</v>
      </c>
      <c r="L409" s="245">
        <v>1.0</v>
      </c>
      <c r="M409" s="245">
        <v>1.0</v>
      </c>
      <c r="N409" s="246">
        <v>0.5</v>
      </c>
      <c r="O409" s="247">
        <v>0.5</v>
      </c>
      <c r="P409" s="248">
        <v>0.5</v>
      </c>
    </row>
    <row r="410">
      <c r="A410" s="243" t="s">
        <v>52</v>
      </c>
      <c r="B410" s="244">
        <v>6407.0</v>
      </c>
      <c r="C410" s="243" t="s">
        <v>480</v>
      </c>
      <c r="D410" s="243" t="s">
        <v>944</v>
      </c>
      <c r="E410" s="243" t="s">
        <v>1009</v>
      </c>
      <c r="F410" s="245">
        <v>1.0</v>
      </c>
      <c r="G410" s="245">
        <v>1.0</v>
      </c>
      <c r="H410" s="245">
        <v>0.0</v>
      </c>
      <c r="I410" s="245">
        <v>1.0</v>
      </c>
      <c r="J410" s="245">
        <v>1.0</v>
      </c>
      <c r="K410" s="245">
        <v>0.0</v>
      </c>
      <c r="L410" s="245">
        <v>1.0</v>
      </c>
      <c r="M410" s="245">
        <v>1.0</v>
      </c>
      <c r="N410" s="246">
        <v>0.5</v>
      </c>
      <c r="O410" s="247">
        <v>0.5</v>
      </c>
      <c r="P410" s="248">
        <v>0.5</v>
      </c>
    </row>
    <row r="411">
      <c r="A411" s="243" t="s">
        <v>745</v>
      </c>
      <c r="B411" s="244">
        <v>6409.0</v>
      </c>
      <c r="C411" s="243" t="s">
        <v>507</v>
      </c>
      <c r="D411" s="243" t="s">
        <v>507</v>
      </c>
      <c r="E411" s="243" t="s">
        <v>1033</v>
      </c>
      <c r="F411" s="245">
        <v>10.0</v>
      </c>
      <c r="G411" s="245">
        <v>11.0</v>
      </c>
      <c r="H411" s="245">
        <v>-1.0</v>
      </c>
      <c r="I411" s="245">
        <v>10.0</v>
      </c>
      <c r="J411" s="245">
        <v>11.0</v>
      </c>
      <c r="K411" s="245">
        <v>-1.0</v>
      </c>
      <c r="L411" s="245">
        <v>34.0</v>
      </c>
      <c r="M411" s="245">
        <v>34.0</v>
      </c>
      <c r="N411" s="246">
        <v>3.5</v>
      </c>
      <c r="O411" s="247">
        <v>4.0</v>
      </c>
      <c r="P411" s="248">
        <v>4.5</v>
      </c>
    </row>
    <row r="412">
      <c r="A412" s="243" t="s">
        <v>1083</v>
      </c>
      <c r="B412" s="244">
        <v>6410.0</v>
      </c>
      <c r="C412" s="243" t="s">
        <v>492</v>
      </c>
      <c r="D412" s="243" t="s">
        <v>930</v>
      </c>
      <c r="E412" s="243" t="s">
        <v>998</v>
      </c>
      <c r="F412" s="245">
        <v>1.0</v>
      </c>
      <c r="G412" s="245">
        <v>1.0</v>
      </c>
      <c r="H412" s="245">
        <v>0.0</v>
      </c>
      <c r="I412" s="245">
        <v>1.0</v>
      </c>
      <c r="J412" s="245">
        <v>1.0</v>
      </c>
      <c r="K412" s="245">
        <v>0.0</v>
      </c>
      <c r="L412" s="245">
        <v>1.0</v>
      </c>
      <c r="M412" s="245">
        <v>1.0</v>
      </c>
      <c r="N412" s="246">
        <v>0.5</v>
      </c>
      <c r="O412" s="247">
        <v>0.5</v>
      </c>
      <c r="P412" s="248">
        <v>0.5</v>
      </c>
    </row>
    <row r="413">
      <c r="A413" s="243" t="s">
        <v>355</v>
      </c>
      <c r="B413" s="244">
        <v>6417.0</v>
      </c>
      <c r="C413" s="243" t="s">
        <v>477</v>
      </c>
      <c r="D413" s="243" t="s">
        <v>478</v>
      </c>
      <c r="E413" s="243" t="s">
        <v>1000</v>
      </c>
      <c r="F413" s="245">
        <v>1.0</v>
      </c>
      <c r="G413" s="245">
        <v>1.0</v>
      </c>
      <c r="H413" s="245">
        <v>0.0</v>
      </c>
      <c r="I413" s="245">
        <v>1.0</v>
      </c>
      <c r="J413" s="245">
        <v>1.0</v>
      </c>
      <c r="K413" s="245">
        <v>0.0</v>
      </c>
      <c r="L413" s="245">
        <v>1.0</v>
      </c>
      <c r="M413" s="245">
        <v>1.0</v>
      </c>
      <c r="N413" s="246">
        <v>0.5</v>
      </c>
      <c r="O413" s="247">
        <v>0.5</v>
      </c>
      <c r="P413" s="248">
        <v>0.5</v>
      </c>
    </row>
    <row r="414">
      <c r="A414" s="243" t="s">
        <v>848</v>
      </c>
      <c r="B414" s="244">
        <v>6418.0</v>
      </c>
      <c r="C414" s="243" t="s">
        <v>507</v>
      </c>
      <c r="D414" s="243" t="s">
        <v>512</v>
      </c>
      <c r="E414" s="243" t="s">
        <v>998</v>
      </c>
      <c r="F414" s="245">
        <v>1.0</v>
      </c>
      <c r="G414" s="245">
        <v>1.0</v>
      </c>
      <c r="H414" s="245">
        <v>0.0</v>
      </c>
      <c r="I414" s="245">
        <v>1.0</v>
      </c>
      <c r="J414" s="245">
        <v>1.0</v>
      </c>
      <c r="K414" s="245">
        <v>0.0</v>
      </c>
      <c r="L414" s="245">
        <v>1.0</v>
      </c>
      <c r="M414" s="245">
        <v>1.0</v>
      </c>
      <c r="N414" s="246">
        <v>0.5</v>
      </c>
      <c r="O414" s="247">
        <v>0.5</v>
      </c>
      <c r="P414" s="248">
        <v>0.5</v>
      </c>
    </row>
    <row r="415">
      <c r="A415" s="243" t="s">
        <v>643</v>
      </c>
      <c r="B415" s="244">
        <v>6424.0</v>
      </c>
      <c r="C415" s="243" t="s">
        <v>492</v>
      </c>
      <c r="D415" s="243" t="s">
        <v>930</v>
      </c>
      <c r="E415" s="243" t="s">
        <v>975</v>
      </c>
      <c r="F415" s="245">
        <v>4.0</v>
      </c>
      <c r="G415" s="245">
        <v>4.0</v>
      </c>
      <c r="H415" s="245">
        <v>0.0</v>
      </c>
      <c r="I415" s="245">
        <v>5.0</v>
      </c>
      <c r="J415" s="245">
        <v>5.0</v>
      </c>
      <c r="K415" s="245">
        <v>0.0</v>
      </c>
      <c r="L415" s="245">
        <v>12.0</v>
      </c>
      <c r="M415" s="245">
        <v>14.0</v>
      </c>
      <c r="N415" s="246">
        <v>1.5</v>
      </c>
      <c r="O415" s="247">
        <v>2.0</v>
      </c>
      <c r="P415" s="248">
        <v>2.0</v>
      </c>
    </row>
    <row r="416">
      <c r="A416" s="243" t="s">
        <v>1144</v>
      </c>
      <c r="B416" s="244">
        <v>6426.0</v>
      </c>
      <c r="C416" s="243" t="s">
        <v>480</v>
      </c>
      <c r="D416" s="243" t="s">
        <v>521</v>
      </c>
      <c r="E416" s="243" t="s">
        <v>972</v>
      </c>
      <c r="F416" s="245">
        <v>6.0</v>
      </c>
      <c r="G416" s="245">
        <v>6.0</v>
      </c>
      <c r="H416" s="245">
        <v>0.0</v>
      </c>
      <c r="I416" s="245">
        <v>5.0</v>
      </c>
      <c r="J416" s="245">
        <v>5.0</v>
      </c>
      <c r="K416" s="245">
        <v>0.0</v>
      </c>
      <c r="L416" s="245">
        <v>12.0</v>
      </c>
      <c r="M416" s="245">
        <v>10.0</v>
      </c>
      <c r="N416" s="246">
        <v>1.0</v>
      </c>
      <c r="O416" s="247">
        <v>1.5</v>
      </c>
      <c r="P416" s="248">
        <v>1.5</v>
      </c>
    </row>
    <row r="417">
      <c r="A417" s="243" t="s">
        <v>453</v>
      </c>
      <c r="B417" s="244">
        <v>6434.0</v>
      </c>
      <c r="C417" s="243" t="s">
        <v>507</v>
      </c>
      <c r="D417" s="243" t="s">
        <v>507</v>
      </c>
      <c r="E417" s="243" t="s">
        <v>976</v>
      </c>
      <c r="F417" s="245">
        <v>16.0</v>
      </c>
      <c r="G417" s="245">
        <v>15.0</v>
      </c>
      <c r="H417" s="245">
        <v>1.0</v>
      </c>
      <c r="I417" s="245">
        <v>17.0</v>
      </c>
      <c r="J417" s="245">
        <v>16.0</v>
      </c>
      <c r="K417" s="245">
        <v>1.0</v>
      </c>
      <c r="L417" s="245">
        <v>84.0</v>
      </c>
      <c r="M417" s="245">
        <v>84.0</v>
      </c>
      <c r="N417" s="246">
        <v>8.5</v>
      </c>
      <c r="O417" s="247">
        <v>10.0</v>
      </c>
      <c r="P417" s="248">
        <v>11.0</v>
      </c>
    </row>
    <row r="418">
      <c r="A418" s="243" t="s">
        <v>341</v>
      </c>
      <c r="B418" s="244">
        <v>6435.0</v>
      </c>
      <c r="C418" s="243" t="s">
        <v>507</v>
      </c>
      <c r="D418" s="243" t="s">
        <v>512</v>
      </c>
      <c r="E418" s="243" t="s">
        <v>998</v>
      </c>
      <c r="F418" s="245">
        <v>16.0</v>
      </c>
      <c r="G418" s="245">
        <v>17.0</v>
      </c>
      <c r="H418" s="245">
        <v>-1.0</v>
      </c>
      <c r="I418" s="245">
        <v>15.0</v>
      </c>
      <c r="J418" s="245">
        <v>16.0</v>
      </c>
      <c r="K418" s="245">
        <v>-1.0</v>
      </c>
      <c r="L418" s="245">
        <v>72.0</v>
      </c>
      <c r="M418" s="245">
        <v>70.0</v>
      </c>
      <c r="N418" s="246">
        <v>7.0</v>
      </c>
      <c r="O418" s="247">
        <v>8.5</v>
      </c>
      <c r="P418" s="248">
        <v>9.5</v>
      </c>
    </row>
    <row r="419">
      <c r="A419" s="243" t="s">
        <v>1298</v>
      </c>
      <c r="B419" s="244">
        <v>6438.0</v>
      </c>
      <c r="C419" s="243" t="s">
        <v>480</v>
      </c>
      <c r="D419" s="243" t="s">
        <v>937</v>
      </c>
      <c r="E419" s="243" t="s">
        <v>975</v>
      </c>
      <c r="F419" s="245">
        <v>3.0</v>
      </c>
      <c r="G419" s="245">
        <v>3.0</v>
      </c>
      <c r="H419" s="245">
        <v>0.0</v>
      </c>
      <c r="I419" s="245">
        <v>3.0</v>
      </c>
      <c r="J419" s="245">
        <v>3.0</v>
      </c>
      <c r="K419" s="245">
        <v>0.0</v>
      </c>
      <c r="L419" s="245">
        <v>4.0</v>
      </c>
      <c r="M419" s="245">
        <v>4.0</v>
      </c>
      <c r="N419" s="246">
        <v>0.5</v>
      </c>
      <c r="O419" s="247">
        <v>0.5</v>
      </c>
      <c r="P419" s="248">
        <v>1.0</v>
      </c>
    </row>
    <row r="420">
      <c r="A420" s="243" t="s">
        <v>851</v>
      </c>
      <c r="B420" s="244">
        <v>6458.0</v>
      </c>
      <c r="C420" s="243" t="s">
        <v>492</v>
      </c>
      <c r="D420" s="243" t="s">
        <v>930</v>
      </c>
      <c r="E420" s="243" t="s">
        <v>983</v>
      </c>
      <c r="F420" s="245">
        <v>5.0</v>
      </c>
      <c r="G420" s="245">
        <v>5.0</v>
      </c>
      <c r="H420" s="245">
        <v>0.0</v>
      </c>
      <c r="I420" s="245">
        <v>6.0</v>
      </c>
      <c r="J420" s="245">
        <v>6.0</v>
      </c>
      <c r="K420" s="245">
        <v>0.0</v>
      </c>
      <c r="L420" s="245">
        <v>10.0</v>
      </c>
      <c r="M420" s="245">
        <v>12.0</v>
      </c>
      <c r="N420" s="246">
        <v>1.5</v>
      </c>
      <c r="O420" s="247">
        <v>1.5</v>
      </c>
      <c r="P420" s="248">
        <v>2.0</v>
      </c>
    </row>
    <row r="421">
      <c r="A421" s="243" t="s">
        <v>792</v>
      </c>
      <c r="B421" s="244">
        <v>6459.0</v>
      </c>
      <c r="C421" s="243" t="s">
        <v>492</v>
      </c>
      <c r="D421" s="243" t="s">
        <v>935</v>
      </c>
      <c r="E421" s="243" t="s">
        <v>1009</v>
      </c>
      <c r="F421" s="245">
        <v>7.0</v>
      </c>
      <c r="G421" s="245">
        <v>7.0</v>
      </c>
      <c r="H421" s="245">
        <v>0.0</v>
      </c>
      <c r="I421" s="245">
        <v>6.0</v>
      </c>
      <c r="J421" s="245">
        <v>6.0</v>
      </c>
      <c r="K421" s="245">
        <v>0.0</v>
      </c>
      <c r="L421" s="245">
        <v>10.0</v>
      </c>
      <c r="M421" s="245">
        <v>8.0</v>
      </c>
      <c r="N421" s="246">
        <v>1.0</v>
      </c>
      <c r="O421" s="247">
        <v>1.0</v>
      </c>
      <c r="P421" s="248">
        <v>1.5</v>
      </c>
    </row>
    <row r="422">
      <c r="A422" s="243" t="s">
        <v>864</v>
      </c>
      <c r="B422" s="244">
        <v>6462.0</v>
      </c>
      <c r="C422" s="243" t="s">
        <v>477</v>
      </c>
      <c r="D422" s="243" t="s">
        <v>478</v>
      </c>
      <c r="E422" s="243" t="s">
        <v>993</v>
      </c>
      <c r="F422" s="245">
        <v>8.0</v>
      </c>
      <c r="G422" s="245">
        <v>7.0</v>
      </c>
      <c r="H422" s="245">
        <v>1.0</v>
      </c>
      <c r="I422" s="245">
        <v>8.0</v>
      </c>
      <c r="J422" s="245">
        <v>7.0</v>
      </c>
      <c r="K422" s="245">
        <v>1.0</v>
      </c>
      <c r="L422" s="245">
        <v>31.0</v>
      </c>
      <c r="M422" s="245">
        <v>31.0</v>
      </c>
      <c r="N422" s="246">
        <v>3.5</v>
      </c>
      <c r="O422" s="247">
        <v>4.0</v>
      </c>
      <c r="P422" s="248">
        <v>4.5</v>
      </c>
    </row>
    <row r="423">
      <c r="A423" s="243" t="s">
        <v>1299</v>
      </c>
      <c r="B423" s="244">
        <v>6464.0</v>
      </c>
      <c r="C423" s="243" t="s">
        <v>480</v>
      </c>
      <c r="D423" s="243" t="s">
        <v>481</v>
      </c>
      <c r="E423" s="243" t="s">
        <v>975</v>
      </c>
      <c r="F423" s="245">
        <v>4.0</v>
      </c>
      <c r="G423" s="245">
        <v>3.0</v>
      </c>
      <c r="H423" s="245">
        <v>1.0</v>
      </c>
      <c r="I423" s="245">
        <v>4.0</v>
      </c>
      <c r="J423" s="245">
        <v>3.0</v>
      </c>
      <c r="K423" s="245">
        <v>1.0</v>
      </c>
      <c r="L423" s="245">
        <v>4.0</v>
      </c>
      <c r="M423" s="245">
        <v>4.0</v>
      </c>
      <c r="N423" s="246">
        <v>0.5</v>
      </c>
      <c r="O423" s="247">
        <v>0.5</v>
      </c>
      <c r="P423" s="248">
        <v>1.0</v>
      </c>
    </row>
    <row r="424">
      <c r="A424" s="243" t="s">
        <v>1300</v>
      </c>
      <c r="B424" s="244">
        <v>6474.0</v>
      </c>
      <c r="C424" s="243" t="s">
        <v>480</v>
      </c>
      <c r="D424" s="243" t="s">
        <v>481</v>
      </c>
      <c r="E424" s="243" t="s">
        <v>1222</v>
      </c>
      <c r="F424" s="245">
        <v>1.0</v>
      </c>
      <c r="G424" s="245">
        <v>1.0</v>
      </c>
      <c r="H424" s="245">
        <v>0.0</v>
      </c>
      <c r="I424" s="245">
        <v>1.0</v>
      </c>
      <c r="J424" s="245">
        <v>1.0</v>
      </c>
      <c r="K424" s="245">
        <v>0.0</v>
      </c>
      <c r="L424" s="245">
        <v>6.0</v>
      </c>
      <c r="M424" s="245">
        <v>6.0</v>
      </c>
      <c r="N424" s="246">
        <v>1.0</v>
      </c>
      <c r="O424" s="247">
        <v>1.0</v>
      </c>
      <c r="P424" s="248">
        <v>1.0</v>
      </c>
    </row>
    <row r="425">
      <c r="A425" s="243" t="s">
        <v>845</v>
      </c>
      <c r="B425" s="244">
        <v>6480.0</v>
      </c>
      <c r="C425" s="243" t="s">
        <v>480</v>
      </c>
      <c r="D425" s="243" t="s">
        <v>938</v>
      </c>
      <c r="E425" s="243" t="s">
        <v>983</v>
      </c>
      <c r="F425" s="245">
        <v>6.0</v>
      </c>
      <c r="G425" s="245">
        <v>6.0</v>
      </c>
      <c r="H425" s="245">
        <v>0.0</v>
      </c>
      <c r="I425" s="245">
        <v>6.0</v>
      </c>
      <c r="J425" s="245">
        <v>6.0</v>
      </c>
      <c r="K425" s="245">
        <v>0.0</v>
      </c>
      <c r="L425" s="245">
        <v>14.0</v>
      </c>
      <c r="M425" s="245">
        <v>14.0</v>
      </c>
      <c r="N425" s="246">
        <v>1.5</v>
      </c>
      <c r="O425" s="247">
        <v>2.0</v>
      </c>
      <c r="P425" s="248">
        <v>2.0</v>
      </c>
    </row>
    <row r="426">
      <c r="A426" s="243" t="s">
        <v>865</v>
      </c>
      <c r="B426" s="244">
        <v>6481.0</v>
      </c>
      <c r="C426" s="243" t="s">
        <v>492</v>
      </c>
      <c r="D426" s="243" t="s">
        <v>492</v>
      </c>
      <c r="E426" s="243" t="s">
        <v>993</v>
      </c>
      <c r="F426" s="245">
        <v>8.0</v>
      </c>
      <c r="G426" s="245">
        <v>8.0</v>
      </c>
      <c r="H426" s="245">
        <v>0.0</v>
      </c>
      <c r="I426" s="245">
        <v>7.0</v>
      </c>
      <c r="J426" s="245">
        <v>7.0</v>
      </c>
      <c r="K426" s="245">
        <v>0.0</v>
      </c>
      <c r="L426" s="245">
        <v>13.0</v>
      </c>
      <c r="M426" s="245">
        <v>10.0</v>
      </c>
      <c r="N426" s="246">
        <v>1.0</v>
      </c>
      <c r="O426" s="247">
        <v>1.5</v>
      </c>
      <c r="P426" s="248">
        <v>1.5</v>
      </c>
    </row>
    <row r="427">
      <c r="A427" s="243" t="s">
        <v>814</v>
      </c>
      <c r="B427" s="244">
        <v>6482.0</v>
      </c>
      <c r="C427" s="243" t="s">
        <v>477</v>
      </c>
      <c r="D427" s="243" t="s">
        <v>478</v>
      </c>
      <c r="E427" s="243" t="s">
        <v>1000</v>
      </c>
      <c r="F427" s="245">
        <v>1.0</v>
      </c>
      <c r="G427" s="245">
        <v>1.0</v>
      </c>
      <c r="H427" s="245">
        <v>0.0</v>
      </c>
      <c r="I427" s="245">
        <v>1.0</v>
      </c>
      <c r="J427" s="245">
        <v>1.0</v>
      </c>
      <c r="K427" s="245">
        <v>0.0</v>
      </c>
      <c r="L427" s="245">
        <v>1.0</v>
      </c>
      <c r="M427" s="245">
        <v>1.0</v>
      </c>
      <c r="N427" s="246">
        <v>0.5</v>
      </c>
      <c r="O427" s="247">
        <v>0.5</v>
      </c>
      <c r="P427" s="248">
        <v>0.5</v>
      </c>
    </row>
    <row r="428">
      <c r="A428" s="243" t="s">
        <v>1092</v>
      </c>
      <c r="B428" s="244">
        <v>6485.0</v>
      </c>
      <c r="C428" s="243" t="s">
        <v>480</v>
      </c>
      <c r="D428" s="243" t="s">
        <v>481</v>
      </c>
      <c r="E428" s="243" t="s">
        <v>993</v>
      </c>
      <c r="F428" s="245">
        <v>4.0</v>
      </c>
      <c r="G428" s="245">
        <v>5.0</v>
      </c>
      <c r="H428" s="245">
        <v>-1.0</v>
      </c>
      <c r="I428" s="245">
        <v>4.0</v>
      </c>
      <c r="J428" s="245">
        <v>5.0</v>
      </c>
      <c r="K428" s="245">
        <v>-1.0</v>
      </c>
      <c r="L428" s="245">
        <v>8.0</v>
      </c>
      <c r="M428" s="245">
        <v>8.0</v>
      </c>
      <c r="N428" s="246">
        <v>1.0</v>
      </c>
      <c r="O428" s="247">
        <v>1.0</v>
      </c>
      <c r="P428" s="248">
        <v>1.5</v>
      </c>
    </row>
    <row r="429">
      <c r="A429" s="243" t="s">
        <v>616</v>
      </c>
      <c r="B429" s="244">
        <v>6486.0</v>
      </c>
      <c r="C429" s="243" t="s">
        <v>492</v>
      </c>
      <c r="D429" s="243" t="s">
        <v>1057</v>
      </c>
      <c r="E429" s="243" t="s">
        <v>983</v>
      </c>
      <c r="F429" s="245">
        <v>13.0</v>
      </c>
      <c r="G429" s="245">
        <v>13.0</v>
      </c>
      <c r="H429" s="245">
        <v>0.0</v>
      </c>
      <c r="I429" s="245">
        <v>13.0</v>
      </c>
      <c r="J429" s="245">
        <v>13.0</v>
      </c>
      <c r="K429" s="245">
        <v>0.0</v>
      </c>
      <c r="L429" s="245">
        <v>37.0</v>
      </c>
      <c r="M429" s="245">
        <v>37.0</v>
      </c>
      <c r="N429" s="246">
        <v>4.0</v>
      </c>
      <c r="O429" s="247">
        <v>4.5</v>
      </c>
      <c r="P429" s="248">
        <v>5.0</v>
      </c>
    </row>
    <row r="430">
      <c r="A430" s="243" t="s">
        <v>1301</v>
      </c>
      <c r="B430" s="244">
        <v>6490.0</v>
      </c>
      <c r="C430" s="243" t="s">
        <v>507</v>
      </c>
      <c r="D430" s="243" t="s">
        <v>512</v>
      </c>
      <c r="E430" s="243" t="s">
        <v>983</v>
      </c>
      <c r="F430" s="245">
        <v>1.0</v>
      </c>
      <c r="G430" s="245">
        <v>1.0</v>
      </c>
      <c r="H430" s="245">
        <v>0.0</v>
      </c>
      <c r="I430" s="245">
        <v>1.0</v>
      </c>
      <c r="J430" s="245">
        <v>1.0</v>
      </c>
      <c r="K430" s="245">
        <v>0.0</v>
      </c>
      <c r="L430" s="245">
        <v>1.0</v>
      </c>
      <c r="M430" s="245">
        <v>1.0</v>
      </c>
      <c r="N430" s="246">
        <v>0.5</v>
      </c>
      <c r="O430" s="247">
        <v>0.5</v>
      </c>
      <c r="P430" s="248">
        <v>0.5</v>
      </c>
    </row>
    <row r="431">
      <c r="A431" s="243" t="s">
        <v>50</v>
      </c>
      <c r="B431" s="244">
        <v>6495.0</v>
      </c>
      <c r="C431" s="243" t="s">
        <v>480</v>
      </c>
      <c r="D431" s="243" t="s">
        <v>481</v>
      </c>
      <c r="E431" s="243" t="s">
        <v>1033</v>
      </c>
      <c r="F431" s="245">
        <v>2.0</v>
      </c>
      <c r="G431" s="245">
        <v>1.0</v>
      </c>
      <c r="H431" s="245">
        <v>1.0</v>
      </c>
      <c r="I431" s="245">
        <v>2.0</v>
      </c>
      <c r="J431" s="245">
        <v>1.0</v>
      </c>
      <c r="K431" s="245">
        <v>1.0</v>
      </c>
      <c r="L431" s="245">
        <v>10.0</v>
      </c>
      <c r="M431" s="245">
        <v>10.0</v>
      </c>
      <c r="N431" s="246">
        <v>1.0</v>
      </c>
      <c r="O431" s="247">
        <v>1.5</v>
      </c>
      <c r="P431" s="248">
        <v>1.5</v>
      </c>
    </row>
    <row r="432">
      <c r="A432" s="243" t="s">
        <v>1117</v>
      </c>
      <c r="B432" s="244">
        <v>6505.0</v>
      </c>
      <c r="C432" s="243" t="s">
        <v>477</v>
      </c>
      <c r="D432" s="243" t="s">
        <v>478</v>
      </c>
      <c r="E432" s="243" t="s">
        <v>991</v>
      </c>
      <c r="F432" s="245">
        <v>1.0</v>
      </c>
      <c r="G432" s="245">
        <v>1.0</v>
      </c>
      <c r="H432" s="245">
        <v>0.0</v>
      </c>
      <c r="I432" s="245">
        <v>1.0</v>
      </c>
      <c r="J432" s="245">
        <v>1.0</v>
      </c>
      <c r="K432" s="245">
        <v>0.0</v>
      </c>
      <c r="L432" s="245">
        <v>1.0</v>
      </c>
      <c r="M432" s="245">
        <v>1.0</v>
      </c>
      <c r="N432" s="246">
        <v>0.5</v>
      </c>
      <c r="O432" s="247">
        <v>0.5</v>
      </c>
      <c r="P432" s="248">
        <v>0.5</v>
      </c>
    </row>
    <row r="433">
      <c r="A433" s="243" t="s">
        <v>392</v>
      </c>
      <c r="B433" s="244">
        <v>6519.0</v>
      </c>
      <c r="C433" s="243" t="s">
        <v>507</v>
      </c>
      <c r="D433" s="243" t="s">
        <v>512</v>
      </c>
      <c r="E433" s="243" t="s">
        <v>991</v>
      </c>
      <c r="F433" s="245">
        <v>1.0</v>
      </c>
      <c r="G433" s="245">
        <v>1.0</v>
      </c>
      <c r="H433" s="245">
        <v>0.0</v>
      </c>
      <c r="I433" s="245">
        <v>1.0</v>
      </c>
      <c r="J433" s="245">
        <v>1.0</v>
      </c>
      <c r="K433" s="245">
        <v>0.0</v>
      </c>
      <c r="L433" s="245">
        <v>1.0</v>
      </c>
      <c r="M433" s="245">
        <v>1.0</v>
      </c>
      <c r="N433" s="246">
        <v>0.5</v>
      </c>
      <c r="O433" s="247">
        <v>0.5</v>
      </c>
      <c r="P433" s="248">
        <v>0.5</v>
      </c>
    </row>
    <row r="434">
      <c r="A434" s="243" t="s">
        <v>81</v>
      </c>
      <c r="B434" s="244">
        <v>6523.0</v>
      </c>
      <c r="C434" s="243" t="s">
        <v>477</v>
      </c>
      <c r="D434" s="243" t="s">
        <v>478</v>
      </c>
      <c r="E434" s="243" t="s">
        <v>998</v>
      </c>
      <c r="F434" s="245">
        <v>1.0</v>
      </c>
      <c r="G434" s="245">
        <v>1.0</v>
      </c>
      <c r="H434" s="245">
        <v>0.0</v>
      </c>
      <c r="I434" s="245">
        <v>1.0</v>
      </c>
      <c r="J434" s="245">
        <v>1.0</v>
      </c>
      <c r="K434" s="245">
        <v>0.0</v>
      </c>
      <c r="L434" s="245">
        <v>1.0</v>
      </c>
      <c r="M434" s="245">
        <v>1.0</v>
      </c>
      <c r="N434" s="246">
        <v>0.5</v>
      </c>
      <c r="O434" s="247">
        <v>0.5</v>
      </c>
      <c r="P434" s="248">
        <v>0.5</v>
      </c>
    </row>
    <row r="435">
      <c r="A435" s="243" t="s">
        <v>648</v>
      </c>
      <c r="B435" s="244">
        <v>6524.0</v>
      </c>
      <c r="C435" s="243" t="s">
        <v>492</v>
      </c>
      <c r="D435" s="243" t="s">
        <v>934</v>
      </c>
      <c r="E435" s="243" t="s">
        <v>991</v>
      </c>
      <c r="F435" s="245">
        <v>1.0</v>
      </c>
      <c r="G435" s="245">
        <v>1.0</v>
      </c>
      <c r="H435" s="245">
        <v>0.0</v>
      </c>
      <c r="I435" s="245">
        <v>1.0</v>
      </c>
      <c r="J435" s="245">
        <v>1.0</v>
      </c>
      <c r="K435" s="245">
        <v>0.0</v>
      </c>
      <c r="L435" s="245">
        <v>1.0</v>
      </c>
      <c r="M435" s="245">
        <v>1.0</v>
      </c>
      <c r="N435" s="246">
        <v>0.5</v>
      </c>
      <c r="O435" s="247">
        <v>0.5</v>
      </c>
      <c r="P435" s="248">
        <v>0.5</v>
      </c>
    </row>
    <row r="436">
      <c r="A436" s="243" t="s">
        <v>1302</v>
      </c>
      <c r="B436" s="244">
        <v>6532.0</v>
      </c>
      <c r="C436" s="243" t="s">
        <v>492</v>
      </c>
      <c r="D436" s="243" t="s">
        <v>1089</v>
      </c>
      <c r="E436" s="243" t="s">
        <v>973</v>
      </c>
      <c r="F436" s="245">
        <v>1.0</v>
      </c>
      <c r="G436" s="245">
        <v>1.0</v>
      </c>
      <c r="H436" s="245">
        <v>0.0</v>
      </c>
      <c r="I436" s="245">
        <v>1.0</v>
      </c>
      <c r="J436" s="245">
        <v>1.0</v>
      </c>
      <c r="K436" s="245">
        <v>0.0</v>
      </c>
      <c r="L436" s="245">
        <v>1.0</v>
      </c>
      <c r="M436" s="245">
        <v>1.0</v>
      </c>
      <c r="N436" s="246">
        <v>0.5</v>
      </c>
      <c r="O436" s="247">
        <v>0.5</v>
      </c>
      <c r="P436" s="248">
        <v>0.5</v>
      </c>
    </row>
    <row r="437">
      <c r="A437" s="243" t="s">
        <v>660</v>
      </c>
      <c r="B437" s="244">
        <v>6533.0</v>
      </c>
      <c r="C437" s="243" t="s">
        <v>480</v>
      </c>
      <c r="D437" s="243" t="s">
        <v>481</v>
      </c>
      <c r="E437" s="243" t="s">
        <v>993</v>
      </c>
      <c r="F437" s="245">
        <v>6.0</v>
      </c>
      <c r="G437" s="245">
        <v>4.0</v>
      </c>
      <c r="H437" s="245">
        <v>2.0</v>
      </c>
      <c r="I437" s="245">
        <v>6.0</v>
      </c>
      <c r="J437" s="245">
        <v>4.0</v>
      </c>
      <c r="K437" s="245">
        <v>2.0</v>
      </c>
      <c r="L437" s="245">
        <v>6.0</v>
      </c>
      <c r="M437" s="245">
        <v>6.0</v>
      </c>
      <c r="N437" s="246">
        <v>1.0</v>
      </c>
      <c r="O437" s="247">
        <v>1.0</v>
      </c>
      <c r="P437" s="248">
        <v>1.0</v>
      </c>
    </row>
    <row r="438">
      <c r="A438" s="243" t="s">
        <v>435</v>
      </c>
      <c r="B438" s="244">
        <v>6537.0</v>
      </c>
      <c r="C438" s="243" t="s">
        <v>480</v>
      </c>
      <c r="D438" s="243" t="s">
        <v>937</v>
      </c>
      <c r="E438" s="243" t="s">
        <v>1222</v>
      </c>
      <c r="F438" s="245">
        <v>1.0</v>
      </c>
      <c r="G438" s="245">
        <v>1.0</v>
      </c>
      <c r="H438" s="245">
        <v>0.0</v>
      </c>
      <c r="I438" s="245">
        <v>1.0</v>
      </c>
      <c r="J438" s="245">
        <v>1.0</v>
      </c>
      <c r="K438" s="245">
        <v>0.0</v>
      </c>
      <c r="L438" s="245">
        <v>1.0</v>
      </c>
      <c r="M438" s="245">
        <v>1.0</v>
      </c>
      <c r="N438" s="246">
        <v>0.5</v>
      </c>
      <c r="O438" s="247">
        <v>0.5</v>
      </c>
      <c r="P438" s="248">
        <v>0.5</v>
      </c>
    </row>
    <row r="439">
      <c r="A439" s="243" t="s">
        <v>764</v>
      </c>
      <c r="B439" s="244">
        <v>6549.0</v>
      </c>
      <c r="C439" s="243" t="s">
        <v>507</v>
      </c>
      <c r="D439" s="243" t="s">
        <v>935</v>
      </c>
      <c r="E439" s="243" t="s">
        <v>998</v>
      </c>
      <c r="F439" s="245">
        <v>4.0</v>
      </c>
      <c r="G439" s="245">
        <v>4.0</v>
      </c>
      <c r="H439" s="245">
        <v>0.0</v>
      </c>
      <c r="I439" s="245">
        <v>4.0</v>
      </c>
      <c r="J439" s="245">
        <v>4.0</v>
      </c>
      <c r="K439" s="245">
        <v>0.0</v>
      </c>
      <c r="L439" s="245">
        <v>4.0</v>
      </c>
      <c r="M439" s="245">
        <v>4.0</v>
      </c>
      <c r="N439" s="246">
        <v>0.5</v>
      </c>
      <c r="O439" s="247">
        <v>0.5</v>
      </c>
      <c r="P439" s="248">
        <v>1.0</v>
      </c>
    </row>
    <row r="440">
      <c r="A440" s="243" t="s">
        <v>1077</v>
      </c>
      <c r="B440" s="244">
        <v>6551.0</v>
      </c>
      <c r="C440" s="243" t="s">
        <v>480</v>
      </c>
      <c r="D440" s="243" t="s">
        <v>481</v>
      </c>
      <c r="E440" s="243" t="s">
        <v>1009</v>
      </c>
      <c r="F440" s="245">
        <v>1.0</v>
      </c>
      <c r="G440" s="245">
        <v>1.0</v>
      </c>
      <c r="H440" s="245">
        <v>0.0</v>
      </c>
      <c r="I440" s="245">
        <v>1.0</v>
      </c>
      <c r="J440" s="245">
        <v>1.0</v>
      </c>
      <c r="K440" s="245">
        <v>0.0</v>
      </c>
      <c r="L440" s="245">
        <v>1.0</v>
      </c>
      <c r="M440" s="245">
        <v>1.0</v>
      </c>
      <c r="N440" s="246">
        <v>0.5</v>
      </c>
      <c r="O440" s="247">
        <v>0.5</v>
      </c>
      <c r="P440" s="248">
        <v>0.5</v>
      </c>
    </row>
    <row r="441">
      <c r="A441" s="243" t="s">
        <v>626</v>
      </c>
      <c r="B441" s="244">
        <v>6556.0</v>
      </c>
      <c r="C441" s="243" t="s">
        <v>507</v>
      </c>
      <c r="D441" s="243" t="s">
        <v>507</v>
      </c>
      <c r="E441" s="243" t="s">
        <v>1000</v>
      </c>
      <c r="F441" s="245">
        <v>16.0</v>
      </c>
      <c r="G441" s="245">
        <v>16.0</v>
      </c>
      <c r="H441" s="245">
        <v>0.0</v>
      </c>
      <c r="I441" s="245">
        <v>16.0</v>
      </c>
      <c r="J441" s="245">
        <v>16.0</v>
      </c>
      <c r="K441" s="245">
        <v>0.0</v>
      </c>
      <c r="L441" s="245">
        <v>73.0</v>
      </c>
      <c r="M441" s="245">
        <v>78.0</v>
      </c>
      <c r="N441" s="246">
        <v>8.0</v>
      </c>
      <c r="O441" s="247">
        <v>9.0</v>
      </c>
      <c r="P441" s="248">
        <v>10.5</v>
      </c>
    </row>
    <row r="442">
      <c r="A442" s="243" t="s">
        <v>1303</v>
      </c>
      <c r="B442" s="244">
        <v>6562.0</v>
      </c>
      <c r="C442" s="243" t="s">
        <v>492</v>
      </c>
      <c r="D442" s="243" t="s">
        <v>930</v>
      </c>
      <c r="E442" s="243" t="s">
        <v>983</v>
      </c>
      <c r="F442" s="245">
        <v>3.0</v>
      </c>
      <c r="G442" s="245">
        <v>3.0</v>
      </c>
      <c r="H442" s="245">
        <v>0.0</v>
      </c>
      <c r="I442" s="245">
        <v>3.0</v>
      </c>
      <c r="J442" s="245">
        <v>3.0</v>
      </c>
      <c r="K442" s="245">
        <v>0.0</v>
      </c>
      <c r="L442" s="245">
        <v>5.0</v>
      </c>
      <c r="M442" s="245">
        <v>5.0</v>
      </c>
      <c r="N442" s="246">
        <v>0.5</v>
      </c>
      <c r="O442" s="247">
        <v>1.0</v>
      </c>
      <c r="P442" s="248">
        <v>1.0</v>
      </c>
    </row>
    <row r="443">
      <c r="A443" s="243" t="s">
        <v>1304</v>
      </c>
      <c r="B443" s="244">
        <v>6565.0</v>
      </c>
      <c r="C443" s="243" t="s">
        <v>507</v>
      </c>
      <c r="D443" s="243" t="s">
        <v>512</v>
      </c>
      <c r="E443" s="243" t="s">
        <v>1026</v>
      </c>
      <c r="F443" s="245">
        <v>1.0</v>
      </c>
      <c r="G443" s="245">
        <v>1.0</v>
      </c>
      <c r="H443" s="245">
        <v>0.0</v>
      </c>
      <c r="I443" s="245">
        <v>1.0</v>
      </c>
      <c r="J443" s="245">
        <v>1.0</v>
      </c>
      <c r="K443" s="245">
        <v>0.0</v>
      </c>
      <c r="L443" s="245">
        <v>1.0</v>
      </c>
      <c r="M443" s="245">
        <v>1.0</v>
      </c>
      <c r="N443" s="246">
        <v>0.5</v>
      </c>
      <c r="O443" s="247">
        <v>0.5</v>
      </c>
      <c r="P443" s="248">
        <v>0.5</v>
      </c>
    </row>
    <row r="444">
      <c r="A444" s="243" t="s">
        <v>291</v>
      </c>
      <c r="B444" s="244">
        <v>6572.0</v>
      </c>
      <c r="C444" s="243" t="s">
        <v>507</v>
      </c>
      <c r="D444" s="243" t="s">
        <v>512</v>
      </c>
      <c r="E444" s="243" t="s">
        <v>1009</v>
      </c>
      <c r="F444" s="245">
        <v>8.0</v>
      </c>
      <c r="G444" s="245">
        <v>8.0</v>
      </c>
      <c r="H444" s="245">
        <v>0.0</v>
      </c>
      <c r="I444" s="245">
        <v>7.0</v>
      </c>
      <c r="J444" s="245">
        <v>7.0</v>
      </c>
      <c r="K444" s="245">
        <v>0.0</v>
      </c>
      <c r="L444" s="245">
        <v>47.0</v>
      </c>
      <c r="M444" s="245">
        <v>45.0</v>
      </c>
      <c r="N444" s="246">
        <v>4.5</v>
      </c>
      <c r="O444" s="247">
        <v>5.5</v>
      </c>
      <c r="P444" s="248">
        <v>6.0</v>
      </c>
    </row>
    <row r="445">
      <c r="A445" s="243" t="s">
        <v>1305</v>
      </c>
      <c r="B445" s="244">
        <v>6579.0</v>
      </c>
      <c r="C445" s="243" t="s">
        <v>492</v>
      </c>
      <c r="D445" s="243" t="s">
        <v>563</v>
      </c>
      <c r="E445" s="243" t="s">
        <v>983</v>
      </c>
      <c r="F445" s="245">
        <v>3.0</v>
      </c>
      <c r="G445" s="245">
        <v>3.0</v>
      </c>
      <c r="H445" s="245">
        <v>0.0</v>
      </c>
      <c r="I445" s="245">
        <v>3.0</v>
      </c>
      <c r="J445" s="245">
        <v>3.0</v>
      </c>
      <c r="K445" s="245">
        <v>0.0</v>
      </c>
      <c r="L445" s="245">
        <v>6.0</v>
      </c>
      <c r="M445" s="245">
        <v>5.0</v>
      </c>
      <c r="N445" s="246">
        <v>0.5</v>
      </c>
      <c r="O445" s="247">
        <v>1.0</v>
      </c>
      <c r="P445" s="248">
        <v>1.0</v>
      </c>
    </row>
    <row r="446">
      <c r="A446" s="243" t="s">
        <v>1306</v>
      </c>
      <c r="B446" s="244">
        <v>6592.0</v>
      </c>
      <c r="C446" s="243" t="s">
        <v>492</v>
      </c>
      <c r="D446" s="243" t="s">
        <v>1057</v>
      </c>
      <c r="E446" s="243" t="s">
        <v>1225</v>
      </c>
      <c r="F446" s="245">
        <v>6.0</v>
      </c>
      <c r="G446" s="245">
        <v>6.0</v>
      </c>
      <c r="H446" s="245">
        <v>0.0</v>
      </c>
      <c r="I446" s="245">
        <v>6.0</v>
      </c>
      <c r="J446" s="245">
        <v>6.0</v>
      </c>
      <c r="K446" s="245">
        <v>0.0</v>
      </c>
      <c r="L446" s="245">
        <v>13.0</v>
      </c>
      <c r="M446" s="245">
        <v>13.0</v>
      </c>
      <c r="N446" s="246">
        <v>1.5</v>
      </c>
      <c r="O446" s="247">
        <v>1.5</v>
      </c>
      <c r="P446" s="248">
        <v>2.0</v>
      </c>
    </row>
    <row r="447">
      <c r="A447" s="243" t="s">
        <v>1307</v>
      </c>
      <c r="B447" s="244">
        <v>6598.0</v>
      </c>
      <c r="C447" s="243" t="s">
        <v>507</v>
      </c>
      <c r="D447" s="243" t="s">
        <v>512</v>
      </c>
      <c r="E447" s="243" t="s">
        <v>975</v>
      </c>
      <c r="F447" s="245">
        <v>1.0</v>
      </c>
      <c r="G447" s="245">
        <v>1.0</v>
      </c>
      <c r="H447" s="245">
        <v>0.0</v>
      </c>
      <c r="I447" s="245">
        <v>1.0</v>
      </c>
      <c r="J447" s="245">
        <v>1.0</v>
      </c>
      <c r="K447" s="245">
        <v>0.0</v>
      </c>
      <c r="L447" s="245">
        <v>2.0</v>
      </c>
      <c r="M447" s="245">
        <v>2.0</v>
      </c>
      <c r="N447" s="246">
        <v>0.5</v>
      </c>
      <c r="O447" s="247">
        <v>0.5</v>
      </c>
      <c r="P447" s="248">
        <v>0.5</v>
      </c>
    </row>
    <row r="448">
      <c r="A448" s="243" t="s">
        <v>1308</v>
      </c>
      <c r="B448" s="244">
        <v>6603.0</v>
      </c>
      <c r="C448" s="243" t="s">
        <v>507</v>
      </c>
      <c r="D448" s="243" t="s">
        <v>507</v>
      </c>
      <c r="E448" s="243" t="s">
        <v>988</v>
      </c>
      <c r="F448" s="245">
        <v>1.0</v>
      </c>
      <c r="G448" s="245">
        <v>1.0</v>
      </c>
      <c r="H448" s="245">
        <v>0.0</v>
      </c>
      <c r="I448" s="245">
        <v>1.0</v>
      </c>
      <c r="J448" s="245">
        <v>1.0</v>
      </c>
      <c r="K448" s="245">
        <v>0.0</v>
      </c>
      <c r="L448" s="245">
        <v>1.0</v>
      </c>
      <c r="M448" s="245">
        <v>1.0</v>
      </c>
      <c r="N448" s="246">
        <v>0.5</v>
      </c>
      <c r="O448" s="247">
        <v>0.5</v>
      </c>
      <c r="P448" s="248">
        <v>0.5</v>
      </c>
    </row>
    <row r="449">
      <c r="A449" s="243" t="s">
        <v>856</v>
      </c>
      <c r="B449" s="244">
        <v>6628.0</v>
      </c>
      <c r="C449" s="243" t="s">
        <v>507</v>
      </c>
      <c r="D449" s="243" t="s">
        <v>512</v>
      </c>
      <c r="E449" s="243" t="s">
        <v>973</v>
      </c>
      <c r="F449" s="245">
        <v>16.0</v>
      </c>
      <c r="G449" s="245">
        <v>15.0</v>
      </c>
      <c r="H449" s="245">
        <v>1.0</v>
      </c>
      <c r="I449" s="245">
        <v>15.0</v>
      </c>
      <c r="J449" s="245">
        <v>14.0</v>
      </c>
      <c r="K449" s="245">
        <v>1.0</v>
      </c>
      <c r="L449" s="245">
        <v>70.0</v>
      </c>
      <c r="M449" s="245">
        <v>65.0</v>
      </c>
      <c r="N449" s="246">
        <v>6.5</v>
      </c>
      <c r="O449" s="247">
        <v>7.5</v>
      </c>
      <c r="P449" s="248">
        <v>8.5</v>
      </c>
    </row>
    <row r="450">
      <c r="A450" s="243" t="s">
        <v>862</v>
      </c>
      <c r="B450" s="244">
        <v>6629.0</v>
      </c>
      <c r="C450" s="243" t="s">
        <v>492</v>
      </c>
      <c r="D450" s="243" t="s">
        <v>934</v>
      </c>
      <c r="E450" s="243" t="s">
        <v>1000</v>
      </c>
      <c r="F450" s="245">
        <v>6.0</v>
      </c>
      <c r="G450" s="245">
        <v>5.0</v>
      </c>
      <c r="H450" s="245">
        <v>1.0</v>
      </c>
      <c r="I450" s="245">
        <v>6.0</v>
      </c>
      <c r="J450" s="245">
        <v>5.0</v>
      </c>
      <c r="K450" s="245">
        <v>1.0</v>
      </c>
      <c r="L450" s="245">
        <v>20.0</v>
      </c>
      <c r="M450" s="245">
        <v>20.0</v>
      </c>
      <c r="N450" s="246">
        <v>2.0</v>
      </c>
      <c r="O450" s="247">
        <v>2.5</v>
      </c>
      <c r="P450" s="248">
        <v>3.0</v>
      </c>
    </row>
    <row r="451">
      <c r="A451" s="243" t="s">
        <v>669</v>
      </c>
      <c r="B451" s="244">
        <v>6630.0</v>
      </c>
      <c r="C451" s="243" t="s">
        <v>507</v>
      </c>
      <c r="D451" s="243" t="s">
        <v>512</v>
      </c>
      <c r="E451" s="243" t="s">
        <v>983</v>
      </c>
      <c r="F451" s="245">
        <v>10.0</v>
      </c>
      <c r="G451" s="245">
        <v>8.0</v>
      </c>
      <c r="H451" s="245">
        <v>2.0</v>
      </c>
      <c r="I451" s="245">
        <v>9.0</v>
      </c>
      <c r="J451" s="245">
        <v>7.0</v>
      </c>
      <c r="K451" s="245">
        <v>2.0</v>
      </c>
      <c r="L451" s="245">
        <v>25.0</v>
      </c>
      <c r="M451" s="245">
        <v>20.0</v>
      </c>
      <c r="N451" s="246">
        <v>2.0</v>
      </c>
      <c r="O451" s="247">
        <v>2.5</v>
      </c>
      <c r="P451" s="248">
        <v>3.0</v>
      </c>
    </row>
    <row r="452">
      <c r="A452" s="243" t="s">
        <v>368</v>
      </c>
      <c r="B452" s="244">
        <v>6631.0</v>
      </c>
      <c r="C452" s="243" t="s">
        <v>480</v>
      </c>
      <c r="D452" s="243" t="s">
        <v>481</v>
      </c>
      <c r="E452" s="243" t="s">
        <v>983</v>
      </c>
      <c r="F452" s="245">
        <v>1.0</v>
      </c>
      <c r="G452" s="245">
        <v>1.0</v>
      </c>
      <c r="H452" s="245">
        <v>0.0</v>
      </c>
      <c r="I452" s="245">
        <v>1.0</v>
      </c>
      <c r="J452" s="245">
        <v>1.0</v>
      </c>
      <c r="K452" s="245">
        <v>0.0</v>
      </c>
      <c r="L452" s="245">
        <v>1.0</v>
      </c>
      <c r="M452" s="245">
        <v>1.0</v>
      </c>
      <c r="N452" s="246">
        <v>0.5</v>
      </c>
      <c r="O452" s="247">
        <v>0.5</v>
      </c>
      <c r="P452" s="248">
        <v>0.5</v>
      </c>
    </row>
    <row r="453">
      <c r="A453" s="243" t="s">
        <v>701</v>
      </c>
      <c r="B453" s="244">
        <v>6632.0</v>
      </c>
      <c r="C453" s="243" t="s">
        <v>480</v>
      </c>
      <c r="D453" s="243" t="s">
        <v>481</v>
      </c>
      <c r="E453" s="243" t="s">
        <v>998</v>
      </c>
      <c r="F453" s="245">
        <v>3.0</v>
      </c>
      <c r="G453" s="245">
        <v>3.0</v>
      </c>
      <c r="H453" s="245">
        <v>0.0</v>
      </c>
      <c r="I453" s="245">
        <v>3.0</v>
      </c>
      <c r="J453" s="245">
        <v>3.0</v>
      </c>
      <c r="K453" s="245">
        <v>0.0</v>
      </c>
      <c r="L453" s="245">
        <v>12.0</v>
      </c>
      <c r="M453" s="245">
        <v>12.0</v>
      </c>
      <c r="N453" s="246">
        <v>1.5</v>
      </c>
      <c r="O453" s="247">
        <v>1.5</v>
      </c>
      <c r="P453" s="248">
        <v>2.0</v>
      </c>
    </row>
    <row r="454">
      <c r="A454" s="243" t="s">
        <v>672</v>
      </c>
      <c r="B454" s="244">
        <v>6633.0</v>
      </c>
      <c r="C454" s="243" t="s">
        <v>492</v>
      </c>
      <c r="D454" s="243" t="s">
        <v>930</v>
      </c>
      <c r="E454" s="243" t="s">
        <v>998</v>
      </c>
      <c r="F454" s="245">
        <v>4.0</v>
      </c>
      <c r="G454" s="245">
        <v>4.0</v>
      </c>
      <c r="H454" s="245">
        <v>0.0</v>
      </c>
      <c r="I454" s="245">
        <v>5.0</v>
      </c>
      <c r="J454" s="245">
        <v>5.0</v>
      </c>
      <c r="K454" s="245">
        <v>0.0</v>
      </c>
      <c r="L454" s="245">
        <v>8.0</v>
      </c>
      <c r="M454" s="245">
        <v>9.0</v>
      </c>
      <c r="N454" s="246">
        <v>1.0</v>
      </c>
      <c r="O454" s="247">
        <v>1.5</v>
      </c>
      <c r="P454" s="248">
        <v>1.5</v>
      </c>
    </row>
    <row r="455">
      <c r="A455" s="243" t="s">
        <v>1193</v>
      </c>
      <c r="B455" s="244">
        <v>6634.0</v>
      </c>
      <c r="C455" s="243" t="s">
        <v>492</v>
      </c>
      <c r="D455" s="243" t="s">
        <v>563</v>
      </c>
      <c r="E455" s="243" t="s">
        <v>998</v>
      </c>
      <c r="F455" s="245">
        <v>8.0</v>
      </c>
      <c r="G455" s="245">
        <v>9.0</v>
      </c>
      <c r="H455" s="245">
        <v>-1.0</v>
      </c>
      <c r="I455" s="245">
        <v>8.0</v>
      </c>
      <c r="J455" s="245">
        <v>8.0</v>
      </c>
      <c r="K455" s="245">
        <v>0.0</v>
      </c>
      <c r="L455" s="245">
        <v>18.0</v>
      </c>
      <c r="M455" s="245">
        <v>16.0</v>
      </c>
      <c r="N455" s="246">
        <v>2.0</v>
      </c>
      <c r="O455" s="247">
        <v>2.0</v>
      </c>
      <c r="P455" s="248">
        <v>2.5</v>
      </c>
    </row>
    <row r="456">
      <c r="A456" s="243" t="s">
        <v>1309</v>
      </c>
      <c r="B456" s="244">
        <v>6635.0</v>
      </c>
      <c r="C456" s="243" t="s">
        <v>507</v>
      </c>
      <c r="D456" s="243" t="s">
        <v>512</v>
      </c>
      <c r="E456" s="243" t="s">
        <v>993</v>
      </c>
      <c r="F456" s="245">
        <v>3.0</v>
      </c>
      <c r="G456" s="245">
        <v>3.0</v>
      </c>
      <c r="H456" s="245">
        <v>0.0</v>
      </c>
      <c r="I456" s="245">
        <v>3.0</v>
      </c>
      <c r="J456" s="245">
        <v>3.0</v>
      </c>
      <c r="K456" s="245">
        <v>0.0</v>
      </c>
      <c r="L456" s="245">
        <v>7.0</v>
      </c>
      <c r="M456" s="245">
        <v>7.0</v>
      </c>
      <c r="N456" s="246">
        <v>1.0</v>
      </c>
      <c r="O456" s="247">
        <v>1.0</v>
      </c>
      <c r="P456" s="248">
        <v>1.0</v>
      </c>
    </row>
    <row r="457">
      <c r="A457" s="243" t="s">
        <v>1310</v>
      </c>
      <c r="B457" s="244">
        <v>6637.0</v>
      </c>
      <c r="C457" s="243" t="s">
        <v>480</v>
      </c>
      <c r="D457" s="243" t="s">
        <v>938</v>
      </c>
      <c r="E457" s="243" t="s">
        <v>974</v>
      </c>
      <c r="F457" s="245">
        <v>1.0</v>
      </c>
      <c r="G457" s="245">
        <v>1.0</v>
      </c>
      <c r="H457" s="245">
        <v>0.0</v>
      </c>
      <c r="I457" s="245">
        <v>1.0</v>
      </c>
      <c r="J457" s="245">
        <v>1.0</v>
      </c>
      <c r="K457" s="245">
        <v>0.0</v>
      </c>
      <c r="L457" s="245">
        <v>1.0</v>
      </c>
      <c r="M457" s="245">
        <v>1.0</v>
      </c>
      <c r="N457" s="246">
        <v>0.5</v>
      </c>
      <c r="O457" s="247">
        <v>0.5</v>
      </c>
      <c r="P457" s="248">
        <v>0.5</v>
      </c>
    </row>
    <row r="458">
      <c r="A458" s="243" t="s">
        <v>791</v>
      </c>
      <c r="B458" s="244">
        <v>6638.0</v>
      </c>
      <c r="C458" s="243" t="s">
        <v>480</v>
      </c>
      <c r="D458" s="243" t="s">
        <v>481</v>
      </c>
      <c r="E458" s="243" t="s">
        <v>987</v>
      </c>
      <c r="F458" s="245">
        <v>7.0</v>
      </c>
      <c r="G458" s="245">
        <v>8.0</v>
      </c>
      <c r="H458" s="245">
        <v>-1.0</v>
      </c>
      <c r="I458" s="245">
        <v>7.0</v>
      </c>
      <c r="J458" s="245">
        <v>8.0</v>
      </c>
      <c r="K458" s="245">
        <v>-1.0</v>
      </c>
      <c r="L458" s="245">
        <v>18.0</v>
      </c>
      <c r="M458" s="245">
        <v>18.0</v>
      </c>
      <c r="N458" s="246">
        <v>2.0</v>
      </c>
      <c r="O458" s="247">
        <v>2.5</v>
      </c>
      <c r="P458" s="248">
        <v>2.5</v>
      </c>
    </row>
    <row r="459">
      <c r="A459" s="243" t="s">
        <v>812</v>
      </c>
      <c r="B459" s="244">
        <v>6639.0</v>
      </c>
      <c r="C459" s="243" t="s">
        <v>480</v>
      </c>
      <c r="D459" s="243" t="s">
        <v>931</v>
      </c>
      <c r="E459" s="243" t="s">
        <v>983</v>
      </c>
      <c r="F459" s="245">
        <v>5.0</v>
      </c>
      <c r="G459" s="245">
        <v>5.0</v>
      </c>
      <c r="H459" s="245">
        <v>0.0</v>
      </c>
      <c r="I459" s="245">
        <v>5.0</v>
      </c>
      <c r="J459" s="245">
        <v>5.0</v>
      </c>
      <c r="K459" s="245">
        <v>0.0</v>
      </c>
      <c r="L459" s="245">
        <v>7.0</v>
      </c>
      <c r="M459" s="245">
        <v>7.0</v>
      </c>
      <c r="N459" s="246">
        <v>1.0</v>
      </c>
      <c r="O459" s="247">
        <v>1.0</v>
      </c>
      <c r="P459" s="248">
        <v>1.0</v>
      </c>
    </row>
    <row r="460">
      <c r="A460" s="243" t="s">
        <v>762</v>
      </c>
      <c r="B460" s="244">
        <v>6640.0</v>
      </c>
      <c r="C460" s="243" t="s">
        <v>492</v>
      </c>
      <c r="D460" s="243" t="s">
        <v>1089</v>
      </c>
      <c r="E460" s="243" t="s">
        <v>975</v>
      </c>
      <c r="F460" s="245">
        <v>4.0</v>
      </c>
      <c r="G460" s="245">
        <v>5.0</v>
      </c>
      <c r="H460" s="245">
        <v>-1.0</v>
      </c>
      <c r="I460" s="245">
        <v>6.0</v>
      </c>
      <c r="J460" s="245">
        <v>6.0</v>
      </c>
      <c r="K460" s="245">
        <v>0.0</v>
      </c>
      <c r="L460" s="245">
        <v>12.0</v>
      </c>
      <c r="M460" s="245">
        <v>15.0</v>
      </c>
      <c r="N460" s="246">
        <v>1.5</v>
      </c>
      <c r="O460" s="247">
        <v>2.0</v>
      </c>
      <c r="P460" s="248">
        <v>2.0</v>
      </c>
    </row>
    <row r="461">
      <c r="A461" s="243" t="s">
        <v>708</v>
      </c>
      <c r="B461" s="244">
        <v>6641.0</v>
      </c>
      <c r="C461" s="243" t="s">
        <v>477</v>
      </c>
      <c r="D461" s="243" t="s">
        <v>478</v>
      </c>
      <c r="E461" s="243" t="s">
        <v>985</v>
      </c>
      <c r="F461" s="245">
        <v>7.0</v>
      </c>
      <c r="G461" s="245">
        <v>7.0</v>
      </c>
      <c r="H461" s="245">
        <v>0.0</v>
      </c>
      <c r="I461" s="245">
        <v>7.0</v>
      </c>
      <c r="J461" s="245">
        <v>7.0</v>
      </c>
      <c r="K461" s="245">
        <v>0.0</v>
      </c>
      <c r="L461" s="245">
        <v>22.0</v>
      </c>
      <c r="M461" s="245">
        <v>22.0</v>
      </c>
      <c r="N461" s="246">
        <v>2.5</v>
      </c>
      <c r="O461" s="247">
        <v>3.0</v>
      </c>
      <c r="P461" s="248">
        <v>3.0</v>
      </c>
    </row>
    <row r="462">
      <c r="A462" s="243" t="s">
        <v>152</v>
      </c>
      <c r="B462" s="244">
        <v>6642.0</v>
      </c>
      <c r="C462" s="243" t="s">
        <v>480</v>
      </c>
      <c r="D462" s="243" t="s">
        <v>481</v>
      </c>
      <c r="E462" s="243" t="s">
        <v>972</v>
      </c>
      <c r="F462" s="245">
        <v>8.0</v>
      </c>
      <c r="G462" s="245">
        <v>8.0</v>
      </c>
      <c r="H462" s="245">
        <v>0.0</v>
      </c>
      <c r="I462" s="245">
        <v>8.0</v>
      </c>
      <c r="J462" s="245">
        <v>8.0</v>
      </c>
      <c r="K462" s="245">
        <v>0.0</v>
      </c>
      <c r="L462" s="245">
        <v>22.0</v>
      </c>
      <c r="M462" s="245">
        <v>22.0</v>
      </c>
      <c r="N462" s="246">
        <v>2.5</v>
      </c>
      <c r="O462" s="247">
        <v>3.0</v>
      </c>
      <c r="P462" s="248">
        <v>3.0</v>
      </c>
    </row>
    <row r="463">
      <c r="A463" s="243" t="s">
        <v>810</v>
      </c>
      <c r="B463" s="244">
        <v>6643.0</v>
      </c>
      <c r="C463" s="243" t="s">
        <v>507</v>
      </c>
      <c r="D463" s="243" t="s">
        <v>512</v>
      </c>
      <c r="E463" s="243" t="s">
        <v>1009</v>
      </c>
      <c r="F463" s="245">
        <v>21.0</v>
      </c>
      <c r="G463" s="245">
        <v>22.0</v>
      </c>
      <c r="H463" s="245">
        <v>-1.0</v>
      </c>
      <c r="I463" s="245">
        <v>20.0</v>
      </c>
      <c r="J463" s="245">
        <v>21.0</v>
      </c>
      <c r="K463" s="245">
        <v>-1.0</v>
      </c>
      <c r="L463" s="245">
        <v>94.0</v>
      </c>
      <c r="M463" s="245">
        <v>91.0</v>
      </c>
      <c r="N463" s="246">
        <v>9.5</v>
      </c>
      <c r="O463" s="247">
        <v>10.5</v>
      </c>
      <c r="P463" s="248">
        <v>12.0</v>
      </c>
    </row>
    <row r="464">
      <c r="A464" s="243" t="s">
        <v>855</v>
      </c>
      <c r="B464" s="244">
        <v>6644.0</v>
      </c>
      <c r="C464" s="243" t="s">
        <v>507</v>
      </c>
      <c r="D464" s="243" t="s">
        <v>512</v>
      </c>
      <c r="E464" s="243" t="s">
        <v>983</v>
      </c>
      <c r="F464" s="245">
        <v>6.0</v>
      </c>
      <c r="G464" s="245">
        <v>4.0</v>
      </c>
      <c r="H464" s="245">
        <v>2.0</v>
      </c>
      <c r="I464" s="245">
        <v>5.0</v>
      </c>
      <c r="J464" s="245">
        <v>3.0</v>
      </c>
      <c r="K464" s="245">
        <v>2.0</v>
      </c>
      <c r="L464" s="245">
        <v>12.0</v>
      </c>
      <c r="M464" s="245">
        <v>10.0</v>
      </c>
      <c r="N464" s="246">
        <v>1.0</v>
      </c>
      <c r="O464" s="247">
        <v>1.5</v>
      </c>
      <c r="P464" s="248">
        <v>1.5</v>
      </c>
    </row>
    <row r="465">
      <c r="A465" s="243" t="s">
        <v>766</v>
      </c>
      <c r="B465" s="244">
        <v>6645.0</v>
      </c>
      <c r="C465" s="243" t="s">
        <v>492</v>
      </c>
      <c r="D465" s="243" t="s">
        <v>543</v>
      </c>
      <c r="E465" s="243" t="s">
        <v>998</v>
      </c>
      <c r="F465" s="245">
        <v>7.0</v>
      </c>
      <c r="G465" s="245">
        <v>8.0</v>
      </c>
      <c r="H465" s="245">
        <v>-1.0</v>
      </c>
      <c r="I465" s="245">
        <v>6.0</v>
      </c>
      <c r="J465" s="245">
        <v>7.0</v>
      </c>
      <c r="K465" s="245">
        <v>-1.0</v>
      </c>
      <c r="L465" s="245">
        <v>16.0</v>
      </c>
      <c r="M465" s="245">
        <v>13.0</v>
      </c>
      <c r="N465" s="246">
        <v>1.5</v>
      </c>
      <c r="O465" s="247">
        <v>1.5</v>
      </c>
      <c r="P465" s="248">
        <v>2.0</v>
      </c>
    </row>
    <row r="466">
      <c r="A466" s="243" t="s">
        <v>695</v>
      </c>
      <c r="B466" s="244">
        <v>6646.0</v>
      </c>
      <c r="C466" s="243" t="s">
        <v>507</v>
      </c>
      <c r="D466" s="243" t="s">
        <v>507</v>
      </c>
      <c r="E466" s="243" t="s">
        <v>972</v>
      </c>
      <c r="F466" s="245">
        <v>16.0</v>
      </c>
      <c r="G466" s="245">
        <v>14.0</v>
      </c>
      <c r="H466" s="245">
        <v>2.0</v>
      </c>
      <c r="I466" s="245">
        <v>16.0</v>
      </c>
      <c r="J466" s="245">
        <v>15.0</v>
      </c>
      <c r="K466" s="245">
        <v>1.0</v>
      </c>
      <c r="L466" s="245">
        <v>72.0</v>
      </c>
      <c r="M466" s="245">
        <v>72.0</v>
      </c>
      <c r="N466" s="246">
        <v>7.5</v>
      </c>
      <c r="O466" s="247">
        <v>8.5</v>
      </c>
      <c r="P466" s="248">
        <v>9.5</v>
      </c>
    </row>
    <row r="467">
      <c r="A467" s="243" t="s">
        <v>1311</v>
      </c>
      <c r="B467" s="244">
        <v>6647.0</v>
      </c>
      <c r="C467" s="243" t="s">
        <v>480</v>
      </c>
      <c r="D467" s="243" t="s">
        <v>931</v>
      </c>
      <c r="E467" s="243" t="s">
        <v>988</v>
      </c>
      <c r="F467" s="245">
        <v>3.0</v>
      </c>
      <c r="G467" s="245">
        <v>3.0</v>
      </c>
      <c r="H467" s="245">
        <v>0.0</v>
      </c>
      <c r="I467" s="245">
        <v>3.0</v>
      </c>
      <c r="J467" s="245">
        <v>3.0</v>
      </c>
      <c r="K467" s="245">
        <v>0.0</v>
      </c>
      <c r="L467" s="245">
        <v>8.0</v>
      </c>
      <c r="M467" s="245">
        <v>8.0</v>
      </c>
      <c r="N467" s="246">
        <v>1.0</v>
      </c>
      <c r="O467" s="247">
        <v>1.0</v>
      </c>
      <c r="P467" s="248">
        <v>1.5</v>
      </c>
    </row>
    <row r="468">
      <c r="A468" s="243" t="s">
        <v>162</v>
      </c>
      <c r="B468" s="244">
        <v>6648.0</v>
      </c>
      <c r="C468" s="243" t="s">
        <v>507</v>
      </c>
      <c r="D468" s="243" t="s">
        <v>935</v>
      </c>
      <c r="E468" s="243" t="s">
        <v>974</v>
      </c>
      <c r="F468" s="245">
        <v>1.0</v>
      </c>
      <c r="G468" s="245">
        <v>1.0</v>
      </c>
      <c r="H468" s="245">
        <v>0.0</v>
      </c>
      <c r="I468" s="245">
        <v>1.0</v>
      </c>
      <c r="J468" s="245">
        <v>1.0</v>
      </c>
      <c r="K468" s="245">
        <v>0.0</v>
      </c>
      <c r="L468" s="245">
        <v>1.0</v>
      </c>
      <c r="M468" s="245">
        <v>1.0</v>
      </c>
      <c r="N468" s="246">
        <v>0.5</v>
      </c>
      <c r="O468" s="247">
        <v>0.5</v>
      </c>
      <c r="P468" s="248">
        <v>0.5</v>
      </c>
    </row>
    <row r="469">
      <c r="A469" s="243" t="s">
        <v>871</v>
      </c>
      <c r="B469" s="244">
        <v>6649.0</v>
      </c>
      <c r="C469" s="243" t="s">
        <v>480</v>
      </c>
      <c r="D469" s="243" t="s">
        <v>938</v>
      </c>
      <c r="E469" s="243" t="s">
        <v>988</v>
      </c>
      <c r="F469" s="245">
        <v>1.0</v>
      </c>
      <c r="G469" s="245">
        <v>1.0</v>
      </c>
      <c r="H469" s="245">
        <v>0.0</v>
      </c>
      <c r="I469" s="245">
        <v>1.0</v>
      </c>
      <c r="J469" s="245">
        <v>1.0</v>
      </c>
      <c r="K469" s="245">
        <v>0.0</v>
      </c>
      <c r="L469" s="245">
        <v>1.0</v>
      </c>
      <c r="M469" s="245">
        <v>1.0</v>
      </c>
      <c r="N469" s="246">
        <v>0.5</v>
      </c>
      <c r="O469" s="247">
        <v>0.5</v>
      </c>
      <c r="P469" s="248">
        <v>0.5</v>
      </c>
    </row>
    <row r="470">
      <c r="A470" s="243" t="s">
        <v>1312</v>
      </c>
      <c r="B470" s="244">
        <v>6650.0</v>
      </c>
      <c r="C470" s="243" t="s">
        <v>477</v>
      </c>
      <c r="D470" s="243" t="s">
        <v>478</v>
      </c>
      <c r="E470" s="243" t="s">
        <v>975</v>
      </c>
      <c r="F470" s="245">
        <v>1.0</v>
      </c>
      <c r="G470" s="245">
        <v>1.0</v>
      </c>
      <c r="H470" s="245">
        <v>0.0</v>
      </c>
      <c r="I470" s="245">
        <v>1.0</v>
      </c>
      <c r="J470" s="245">
        <v>1.0</v>
      </c>
      <c r="K470" s="245">
        <v>0.0</v>
      </c>
      <c r="L470" s="245">
        <v>1.0</v>
      </c>
      <c r="M470" s="245">
        <v>1.0</v>
      </c>
      <c r="N470" s="246">
        <v>0.5</v>
      </c>
      <c r="O470" s="247">
        <v>0.5</v>
      </c>
      <c r="P470" s="248">
        <v>0.5</v>
      </c>
    </row>
    <row r="471">
      <c r="A471" s="243" t="s">
        <v>289</v>
      </c>
      <c r="B471" s="244">
        <v>6653.0</v>
      </c>
      <c r="C471" s="243" t="s">
        <v>507</v>
      </c>
      <c r="D471" s="243" t="s">
        <v>507</v>
      </c>
      <c r="E471" s="243" t="s">
        <v>993</v>
      </c>
      <c r="F471" s="245">
        <v>4.0</v>
      </c>
      <c r="G471" s="245">
        <v>4.0</v>
      </c>
      <c r="H471" s="245">
        <v>0.0</v>
      </c>
      <c r="I471" s="245">
        <v>4.0</v>
      </c>
      <c r="J471" s="245">
        <v>4.0</v>
      </c>
      <c r="K471" s="245">
        <v>0.0</v>
      </c>
      <c r="L471" s="245">
        <v>8.0</v>
      </c>
      <c r="M471" s="245">
        <v>8.0</v>
      </c>
      <c r="N471" s="246">
        <v>1.0</v>
      </c>
      <c r="O471" s="247">
        <v>1.0</v>
      </c>
      <c r="P471" s="248">
        <v>1.5</v>
      </c>
    </row>
    <row r="472">
      <c r="A472" s="243" t="s">
        <v>1313</v>
      </c>
      <c r="B472" s="244">
        <v>6654.0</v>
      </c>
      <c r="C472" s="243" t="s">
        <v>480</v>
      </c>
      <c r="D472" s="243" t="s">
        <v>938</v>
      </c>
      <c r="E472" s="243" t="s">
        <v>974</v>
      </c>
      <c r="F472" s="245">
        <v>3.0</v>
      </c>
      <c r="G472" s="245">
        <v>3.0</v>
      </c>
      <c r="H472" s="245">
        <v>0.0</v>
      </c>
      <c r="I472" s="245">
        <v>3.0</v>
      </c>
      <c r="J472" s="245">
        <v>3.0</v>
      </c>
      <c r="K472" s="245">
        <v>0.0</v>
      </c>
      <c r="L472" s="245">
        <v>7.0</v>
      </c>
      <c r="M472" s="245">
        <v>7.0</v>
      </c>
      <c r="N472" s="246">
        <v>1.0</v>
      </c>
      <c r="O472" s="247">
        <v>1.0</v>
      </c>
      <c r="P472" s="248">
        <v>1.0</v>
      </c>
    </row>
    <row r="473">
      <c r="A473" s="243" t="s">
        <v>774</v>
      </c>
      <c r="B473" s="244">
        <v>6656.0</v>
      </c>
      <c r="C473" s="243" t="s">
        <v>492</v>
      </c>
      <c r="D473" s="243" t="s">
        <v>930</v>
      </c>
      <c r="E473" s="243" t="s">
        <v>974</v>
      </c>
      <c r="F473" s="245">
        <v>3.0</v>
      </c>
      <c r="G473" s="245">
        <v>3.0</v>
      </c>
      <c r="H473" s="245">
        <v>0.0</v>
      </c>
      <c r="I473" s="245">
        <v>4.0</v>
      </c>
      <c r="J473" s="245">
        <v>4.0</v>
      </c>
      <c r="K473" s="245">
        <v>0.0</v>
      </c>
      <c r="L473" s="245">
        <v>8.0</v>
      </c>
      <c r="M473" s="245">
        <v>10.0</v>
      </c>
      <c r="N473" s="246">
        <v>1.0</v>
      </c>
      <c r="O473" s="247">
        <v>1.5</v>
      </c>
      <c r="P473" s="248">
        <v>1.5</v>
      </c>
    </row>
    <row r="474">
      <c r="A474" s="243" t="s">
        <v>1314</v>
      </c>
      <c r="B474" s="244">
        <v>6657.0</v>
      </c>
      <c r="C474" s="243" t="s">
        <v>507</v>
      </c>
      <c r="D474" s="243" t="s">
        <v>512</v>
      </c>
      <c r="E474" s="243" t="s">
        <v>974</v>
      </c>
      <c r="F474" s="245">
        <v>2.0</v>
      </c>
      <c r="G474" s="245">
        <v>2.0</v>
      </c>
      <c r="H474" s="245">
        <v>0.0</v>
      </c>
      <c r="I474" s="245">
        <v>2.0</v>
      </c>
      <c r="J474" s="245">
        <v>1.0</v>
      </c>
      <c r="K474" s="245">
        <v>1.0</v>
      </c>
      <c r="L474" s="245">
        <v>2.0</v>
      </c>
      <c r="M474" s="245">
        <v>1.0</v>
      </c>
      <c r="N474" s="246">
        <v>0.5</v>
      </c>
      <c r="O474" s="247">
        <v>0.5</v>
      </c>
      <c r="P474" s="248">
        <v>0.5</v>
      </c>
    </row>
    <row r="475">
      <c r="A475" s="243" t="s">
        <v>1102</v>
      </c>
      <c r="B475" s="244">
        <v>6660.0</v>
      </c>
      <c r="C475" s="243" t="s">
        <v>480</v>
      </c>
      <c r="D475" s="243" t="s">
        <v>481</v>
      </c>
      <c r="E475" s="243" t="s">
        <v>1026</v>
      </c>
      <c r="F475" s="245">
        <v>1.0</v>
      </c>
      <c r="G475" s="245">
        <v>1.0</v>
      </c>
      <c r="H475" s="245">
        <v>0.0</v>
      </c>
      <c r="I475" s="245">
        <v>1.0</v>
      </c>
      <c r="J475" s="245">
        <v>1.0</v>
      </c>
      <c r="K475" s="245">
        <v>0.0</v>
      </c>
      <c r="L475" s="245">
        <v>1.0</v>
      </c>
      <c r="M475" s="245">
        <v>1.0</v>
      </c>
      <c r="N475" s="246">
        <v>0.5</v>
      </c>
      <c r="O475" s="247">
        <v>0.5</v>
      </c>
      <c r="P475" s="248">
        <v>0.5</v>
      </c>
    </row>
    <row r="476">
      <c r="A476" s="243" t="s">
        <v>1315</v>
      </c>
      <c r="B476" s="244">
        <v>6661.0</v>
      </c>
      <c r="C476" s="243" t="s">
        <v>477</v>
      </c>
      <c r="D476" s="243" t="s">
        <v>478</v>
      </c>
      <c r="E476" s="243" t="s">
        <v>985</v>
      </c>
      <c r="F476" s="245">
        <v>1.0</v>
      </c>
      <c r="G476" s="245">
        <v>1.0</v>
      </c>
      <c r="H476" s="245">
        <v>0.0</v>
      </c>
      <c r="I476" s="245">
        <v>1.0</v>
      </c>
      <c r="J476" s="245">
        <v>1.0</v>
      </c>
      <c r="K476" s="245">
        <v>0.0</v>
      </c>
      <c r="L476" s="245">
        <v>1.0</v>
      </c>
      <c r="M476" s="245">
        <v>1.0</v>
      </c>
      <c r="N476" s="246">
        <v>0.5</v>
      </c>
      <c r="O476" s="247">
        <v>0.5</v>
      </c>
      <c r="P476" s="248">
        <v>0.5</v>
      </c>
    </row>
    <row r="477">
      <c r="A477" s="243" t="s">
        <v>1036</v>
      </c>
      <c r="B477" s="244">
        <v>6662.0</v>
      </c>
      <c r="C477" s="243" t="s">
        <v>477</v>
      </c>
      <c r="D477" s="243" t="s">
        <v>478</v>
      </c>
      <c r="E477" s="243" t="s">
        <v>985</v>
      </c>
      <c r="F477" s="245">
        <v>1.0</v>
      </c>
      <c r="G477" s="245">
        <v>1.0</v>
      </c>
      <c r="H477" s="245">
        <v>0.0</v>
      </c>
      <c r="I477" s="245">
        <v>1.0</v>
      </c>
      <c r="J477" s="245">
        <v>1.0</v>
      </c>
      <c r="K477" s="245">
        <v>0.0</v>
      </c>
      <c r="L477" s="245">
        <v>1.0</v>
      </c>
      <c r="M477" s="245">
        <v>1.0</v>
      </c>
      <c r="N477" s="246">
        <v>0.5</v>
      </c>
      <c r="O477" s="247">
        <v>0.5</v>
      </c>
      <c r="P477" s="248">
        <v>0.5</v>
      </c>
    </row>
    <row r="478">
      <c r="A478" s="243" t="s">
        <v>715</v>
      </c>
      <c r="B478" s="244">
        <v>6663.0</v>
      </c>
      <c r="C478" s="243" t="s">
        <v>480</v>
      </c>
      <c r="D478" s="243" t="s">
        <v>481</v>
      </c>
      <c r="E478" s="243" t="s">
        <v>985</v>
      </c>
      <c r="F478" s="245">
        <v>6.0</v>
      </c>
      <c r="G478" s="245">
        <v>5.0</v>
      </c>
      <c r="H478" s="245">
        <v>1.0</v>
      </c>
      <c r="I478" s="245">
        <v>6.0</v>
      </c>
      <c r="J478" s="245">
        <v>5.0</v>
      </c>
      <c r="K478" s="245">
        <v>1.0</v>
      </c>
      <c r="L478" s="245">
        <v>8.0</v>
      </c>
      <c r="M478" s="245">
        <v>8.0</v>
      </c>
      <c r="N478" s="246">
        <v>1.0</v>
      </c>
      <c r="O478" s="247">
        <v>1.0</v>
      </c>
      <c r="P478" s="248">
        <v>1.5</v>
      </c>
    </row>
    <row r="479">
      <c r="A479" s="243" t="s">
        <v>612</v>
      </c>
      <c r="B479" s="244">
        <v>6664.0</v>
      </c>
      <c r="C479" s="243" t="s">
        <v>480</v>
      </c>
      <c r="D479" s="243" t="s">
        <v>1019</v>
      </c>
      <c r="E479" s="243" t="s">
        <v>985</v>
      </c>
      <c r="F479" s="245">
        <v>6.0</v>
      </c>
      <c r="G479" s="245">
        <v>6.0</v>
      </c>
      <c r="H479" s="245">
        <v>0.0</v>
      </c>
      <c r="I479" s="245">
        <v>7.0</v>
      </c>
      <c r="J479" s="245">
        <v>7.0</v>
      </c>
      <c r="K479" s="245">
        <v>0.0</v>
      </c>
      <c r="L479" s="245">
        <v>14.0</v>
      </c>
      <c r="M479" s="245">
        <v>16.0</v>
      </c>
      <c r="N479" s="246">
        <v>2.0</v>
      </c>
      <c r="O479" s="247">
        <v>2.0</v>
      </c>
      <c r="P479" s="248">
        <v>2.5</v>
      </c>
    </row>
    <row r="480">
      <c r="A480" s="243" t="s">
        <v>690</v>
      </c>
      <c r="B480" s="244">
        <v>6665.0</v>
      </c>
      <c r="C480" s="243" t="s">
        <v>480</v>
      </c>
      <c r="D480" s="243" t="s">
        <v>944</v>
      </c>
      <c r="E480" s="243" t="s">
        <v>985</v>
      </c>
      <c r="F480" s="245">
        <v>3.0</v>
      </c>
      <c r="G480" s="245">
        <v>2.0</v>
      </c>
      <c r="H480" s="245">
        <v>1.0</v>
      </c>
      <c r="I480" s="245">
        <v>3.0</v>
      </c>
      <c r="J480" s="245">
        <v>2.0</v>
      </c>
      <c r="K480" s="245">
        <v>1.0</v>
      </c>
      <c r="L480" s="245">
        <v>14.0</v>
      </c>
      <c r="M480" s="245">
        <v>14.0</v>
      </c>
      <c r="N480" s="246">
        <v>1.5</v>
      </c>
      <c r="O480" s="247">
        <v>2.0</v>
      </c>
      <c r="P480" s="248">
        <v>2.0</v>
      </c>
    </row>
    <row r="481">
      <c r="A481" s="243" t="s">
        <v>773</v>
      </c>
      <c r="B481" s="244">
        <v>6666.0</v>
      </c>
      <c r="C481" s="243" t="s">
        <v>492</v>
      </c>
      <c r="D481" s="243" t="s">
        <v>934</v>
      </c>
      <c r="E481" s="243" t="s">
        <v>985</v>
      </c>
      <c r="F481" s="245">
        <v>14.0</v>
      </c>
      <c r="G481" s="245">
        <v>14.0</v>
      </c>
      <c r="H481" s="245">
        <v>0.0</v>
      </c>
      <c r="I481" s="245">
        <v>14.0</v>
      </c>
      <c r="J481" s="245">
        <v>14.0</v>
      </c>
      <c r="K481" s="245">
        <v>0.0</v>
      </c>
      <c r="L481" s="245">
        <v>45.0</v>
      </c>
      <c r="M481" s="245">
        <v>45.0</v>
      </c>
      <c r="N481" s="246">
        <v>4.5</v>
      </c>
      <c r="O481" s="247">
        <v>5.5</v>
      </c>
      <c r="P481" s="248">
        <v>6.0</v>
      </c>
    </row>
    <row r="482">
      <c r="A482" s="243" t="s">
        <v>1004</v>
      </c>
      <c r="B482" s="244">
        <v>6667.0</v>
      </c>
      <c r="C482" s="243" t="s">
        <v>507</v>
      </c>
      <c r="D482" s="243" t="s">
        <v>507</v>
      </c>
      <c r="E482" s="243" t="s">
        <v>985</v>
      </c>
      <c r="F482" s="245">
        <v>9.0</v>
      </c>
      <c r="G482" s="245">
        <v>10.0</v>
      </c>
      <c r="H482" s="245">
        <v>-1.0</v>
      </c>
      <c r="I482" s="245">
        <v>9.0</v>
      </c>
      <c r="J482" s="245">
        <v>10.0</v>
      </c>
      <c r="K482" s="245">
        <v>-1.0</v>
      </c>
      <c r="L482" s="245">
        <v>20.0</v>
      </c>
      <c r="M482" s="245">
        <v>22.0</v>
      </c>
      <c r="N482" s="246">
        <v>2.5</v>
      </c>
      <c r="O482" s="247">
        <v>3.0</v>
      </c>
      <c r="P482" s="248">
        <v>3.0</v>
      </c>
    </row>
    <row r="483">
      <c r="A483" s="243" t="s">
        <v>879</v>
      </c>
      <c r="B483" s="244">
        <v>6669.0</v>
      </c>
      <c r="C483" s="243" t="s">
        <v>507</v>
      </c>
      <c r="D483" s="243" t="s">
        <v>512</v>
      </c>
      <c r="E483" s="243" t="s">
        <v>985</v>
      </c>
      <c r="F483" s="245">
        <v>9.0</v>
      </c>
      <c r="G483" s="245">
        <v>8.0</v>
      </c>
      <c r="H483" s="245">
        <v>1.0</v>
      </c>
      <c r="I483" s="245">
        <v>8.0</v>
      </c>
      <c r="J483" s="245">
        <v>7.0</v>
      </c>
      <c r="K483" s="245">
        <v>1.0</v>
      </c>
      <c r="L483" s="245">
        <v>42.0</v>
      </c>
      <c r="M483" s="245">
        <v>40.0</v>
      </c>
      <c r="N483" s="246">
        <v>4.0</v>
      </c>
      <c r="O483" s="247">
        <v>5.0</v>
      </c>
      <c r="P483" s="248">
        <v>5.5</v>
      </c>
    </row>
    <row r="484">
      <c r="A484" s="243" t="s">
        <v>1316</v>
      </c>
      <c r="B484" s="244">
        <v>6670.0</v>
      </c>
      <c r="C484" s="243" t="s">
        <v>507</v>
      </c>
      <c r="D484" s="243" t="s">
        <v>512</v>
      </c>
      <c r="E484" s="243" t="s">
        <v>985</v>
      </c>
      <c r="F484" s="245">
        <v>1.0</v>
      </c>
      <c r="G484" s="245">
        <v>1.0</v>
      </c>
      <c r="H484" s="245">
        <v>0.0</v>
      </c>
      <c r="I484" s="245">
        <v>1.0</v>
      </c>
      <c r="J484" s="245">
        <v>1.0</v>
      </c>
      <c r="K484" s="245">
        <v>0.0</v>
      </c>
      <c r="L484" s="245">
        <v>1.0</v>
      </c>
      <c r="M484" s="245">
        <v>1.0</v>
      </c>
      <c r="N484" s="246">
        <v>0.5</v>
      </c>
      <c r="O484" s="247">
        <v>0.5</v>
      </c>
      <c r="P484" s="248">
        <v>0.5</v>
      </c>
    </row>
    <row r="485">
      <c r="A485" s="243" t="s">
        <v>1317</v>
      </c>
      <c r="B485" s="244">
        <v>6671.0</v>
      </c>
      <c r="C485" s="243" t="s">
        <v>477</v>
      </c>
      <c r="D485" s="243" t="s">
        <v>478</v>
      </c>
      <c r="E485" s="243" t="s">
        <v>1233</v>
      </c>
      <c r="F485" s="245">
        <v>1.0</v>
      </c>
      <c r="G485" s="245">
        <v>1.0</v>
      </c>
      <c r="H485" s="245">
        <v>0.0</v>
      </c>
      <c r="I485" s="245">
        <v>1.0</v>
      </c>
      <c r="J485" s="245">
        <v>1.0</v>
      </c>
      <c r="K485" s="245">
        <v>0.0</v>
      </c>
      <c r="L485" s="245">
        <v>1.0</v>
      </c>
      <c r="M485" s="245">
        <v>1.0</v>
      </c>
      <c r="N485" s="246">
        <v>0.5</v>
      </c>
      <c r="O485" s="247">
        <v>0.5</v>
      </c>
      <c r="P485" s="248">
        <v>0.5</v>
      </c>
    </row>
    <row r="486">
      <c r="A486" s="243" t="s">
        <v>782</v>
      </c>
      <c r="B486" s="244">
        <v>6672.0</v>
      </c>
      <c r="C486" s="243" t="s">
        <v>480</v>
      </c>
      <c r="D486" s="243" t="s">
        <v>481</v>
      </c>
      <c r="E486" s="243" t="s">
        <v>1233</v>
      </c>
      <c r="F486" s="245">
        <v>4.0</v>
      </c>
      <c r="G486" s="245">
        <v>4.0</v>
      </c>
      <c r="H486" s="245">
        <v>0.0</v>
      </c>
      <c r="I486" s="245">
        <v>4.0</v>
      </c>
      <c r="J486" s="245">
        <v>4.0</v>
      </c>
      <c r="K486" s="245">
        <v>0.0</v>
      </c>
      <c r="L486" s="245">
        <v>9.0</v>
      </c>
      <c r="M486" s="245">
        <v>9.0</v>
      </c>
      <c r="N486" s="246">
        <v>1.0</v>
      </c>
      <c r="O486" s="247">
        <v>1.5</v>
      </c>
      <c r="P486" s="248">
        <v>1.5</v>
      </c>
    </row>
    <row r="487">
      <c r="A487" s="243" t="s">
        <v>1318</v>
      </c>
      <c r="B487" s="244">
        <v>6673.0</v>
      </c>
      <c r="C487" s="243" t="s">
        <v>480</v>
      </c>
      <c r="D487" s="243" t="s">
        <v>979</v>
      </c>
      <c r="E487" s="243" t="s">
        <v>1233</v>
      </c>
      <c r="F487" s="245">
        <v>4.0</v>
      </c>
      <c r="G487" s="245">
        <v>4.0</v>
      </c>
      <c r="H487" s="245">
        <v>0.0</v>
      </c>
      <c r="I487" s="245">
        <v>5.0</v>
      </c>
      <c r="J487" s="245">
        <v>5.0</v>
      </c>
      <c r="K487" s="245">
        <v>0.0</v>
      </c>
      <c r="L487" s="245">
        <v>7.0</v>
      </c>
      <c r="M487" s="245">
        <v>9.0</v>
      </c>
      <c r="N487" s="246">
        <v>1.0</v>
      </c>
      <c r="O487" s="247">
        <v>1.5</v>
      </c>
      <c r="P487" s="248">
        <v>1.5</v>
      </c>
    </row>
    <row r="488">
      <c r="A488" s="243" t="s">
        <v>1319</v>
      </c>
      <c r="B488" s="244">
        <v>6674.0</v>
      </c>
      <c r="C488" s="243" t="s">
        <v>492</v>
      </c>
      <c r="D488" s="243" t="s">
        <v>930</v>
      </c>
      <c r="E488" s="243" t="s">
        <v>1233</v>
      </c>
      <c r="F488" s="245">
        <v>4.0</v>
      </c>
      <c r="G488" s="245">
        <v>2.0</v>
      </c>
      <c r="H488" s="245">
        <v>2.0</v>
      </c>
      <c r="I488" s="245">
        <v>4.0</v>
      </c>
      <c r="J488" s="245">
        <v>2.0</v>
      </c>
      <c r="K488" s="245">
        <v>2.0</v>
      </c>
      <c r="L488" s="245">
        <v>13.0</v>
      </c>
      <c r="M488" s="245">
        <v>13.0</v>
      </c>
      <c r="N488" s="246">
        <v>1.5</v>
      </c>
      <c r="O488" s="247">
        <v>1.5</v>
      </c>
      <c r="P488" s="248">
        <v>2.0</v>
      </c>
    </row>
    <row r="489">
      <c r="A489" s="243" t="s">
        <v>333</v>
      </c>
      <c r="B489" s="244">
        <v>6675.0</v>
      </c>
      <c r="C489" s="243" t="s">
        <v>507</v>
      </c>
      <c r="D489" s="243" t="s">
        <v>512</v>
      </c>
      <c r="E489" s="243" t="s">
        <v>988</v>
      </c>
      <c r="F489" s="245">
        <v>30.0</v>
      </c>
      <c r="G489" s="245">
        <v>32.0</v>
      </c>
      <c r="H489" s="245">
        <v>-2.0</v>
      </c>
      <c r="I489" s="245">
        <v>30.0</v>
      </c>
      <c r="J489" s="245">
        <v>31.0</v>
      </c>
      <c r="K489" s="245">
        <v>-1.0</v>
      </c>
      <c r="L489" s="245">
        <v>238.0</v>
      </c>
      <c r="M489" s="245">
        <v>235.0</v>
      </c>
      <c r="N489" s="246">
        <v>23.5</v>
      </c>
      <c r="O489" s="247">
        <v>27.5</v>
      </c>
      <c r="P489" s="248">
        <v>31.0</v>
      </c>
    </row>
    <row r="490">
      <c r="A490" s="243" t="s">
        <v>1320</v>
      </c>
      <c r="B490" s="244">
        <v>6676.0</v>
      </c>
      <c r="C490" s="243" t="s">
        <v>492</v>
      </c>
      <c r="D490" s="243" t="s">
        <v>930</v>
      </c>
      <c r="E490" s="243" t="s">
        <v>974</v>
      </c>
      <c r="F490" s="245">
        <v>3.0</v>
      </c>
      <c r="G490" s="245">
        <v>4.0</v>
      </c>
      <c r="H490" s="245">
        <v>-1.0</v>
      </c>
      <c r="I490" s="245">
        <v>3.0</v>
      </c>
      <c r="J490" s="245">
        <v>4.0</v>
      </c>
      <c r="K490" s="245">
        <v>-1.0</v>
      </c>
      <c r="L490" s="245">
        <v>8.0</v>
      </c>
      <c r="M490" s="245">
        <v>10.0</v>
      </c>
      <c r="N490" s="246">
        <v>1.0</v>
      </c>
      <c r="O490" s="247">
        <v>1.5</v>
      </c>
      <c r="P490" s="248">
        <v>1.5</v>
      </c>
    </row>
    <row r="491">
      <c r="A491" s="243" t="s">
        <v>427</v>
      </c>
      <c r="B491" s="244">
        <v>6677.0</v>
      </c>
      <c r="C491" s="243" t="s">
        <v>492</v>
      </c>
      <c r="D491" s="243" t="s">
        <v>543</v>
      </c>
      <c r="E491" s="243" t="s">
        <v>976</v>
      </c>
      <c r="F491" s="245">
        <v>1.0</v>
      </c>
      <c r="G491" s="245">
        <v>1.0</v>
      </c>
      <c r="H491" s="245">
        <v>0.0</v>
      </c>
      <c r="I491" s="245">
        <v>1.0</v>
      </c>
      <c r="J491" s="245">
        <v>1.0</v>
      </c>
      <c r="K491" s="245">
        <v>0.0</v>
      </c>
      <c r="L491" s="245">
        <v>1.0</v>
      </c>
      <c r="M491" s="245">
        <v>1.0</v>
      </c>
      <c r="N491" s="246">
        <v>0.5</v>
      </c>
      <c r="O491" s="247">
        <v>0.5</v>
      </c>
      <c r="P491" s="248">
        <v>0.5</v>
      </c>
    </row>
    <row r="492">
      <c r="A492" s="243" t="s">
        <v>647</v>
      </c>
      <c r="B492" s="244">
        <v>6678.0</v>
      </c>
      <c r="C492" s="243" t="s">
        <v>492</v>
      </c>
      <c r="D492" s="243" t="s">
        <v>1057</v>
      </c>
      <c r="E492" s="243" t="s">
        <v>991</v>
      </c>
      <c r="F492" s="245">
        <v>1.0</v>
      </c>
      <c r="G492" s="245">
        <v>1.0</v>
      </c>
      <c r="H492" s="245">
        <v>0.0</v>
      </c>
      <c r="I492" s="245">
        <v>1.0</v>
      </c>
      <c r="J492" s="245">
        <v>1.0</v>
      </c>
      <c r="K492" s="245">
        <v>0.0</v>
      </c>
      <c r="L492" s="245">
        <v>1.0</v>
      </c>
      <c r="M492" s="245">
        <v>1.0</v>
      </c>
      <c r="N492" s="246">
        <v>0.5</v>
      </c>
      <c r="O492" s="247">
        <v>0.5</v>
      </c>
      <c r="P492" s="248">
        <v>0.5</v>
      </c>
    </row>
    <row r="493">
      <c r="A493" s="243" t="s">
        <v>874</v>
      </c>
      <c r="B493" s="244">
        <v>6680.0</v>
      </c>
      <c r="C493" s="243" t="s">
        <v>492</v>
      </c>
      <c r="D493" s="243" t="s">
        <v>930</v>
      </c>
      <c r="E493" s="243" t="s">
        <v>993</v>
      </c>
      <c r="F493" s="245">
        <v>6.0</v>
      </c>
      <c r="G493" s="245">
        <v>5.0</v>
      </c>
      <c r="H493" s="245">
        <v>1.0</v>
      </c>
      <c r="I493" s="245">
        <v>6.0</v>
      </c>
      <c r="J493" s="245">
        <v>5.0</v>
      </c>
      <c r="K493" s="245">
        <v>1.0</v>
      </c>
      <c r="L493" s="245">
        <v>8.0</v>
      </c>
      <c r="M493" s="245">
        <v>8.0</v>
      </c>
      <c r="N493" s="246">
        <v>1.0</v>
      </c>
      <c r="O493" s="247">
        <v>1.0</v>
      </c>
      <c r="P493" s="248">
        <v>1.5</v>
      </c>
    </row>
    <row r="494">
      <c r="A494" s="243" t="s">
        <v>1321</v>
      </c>
      <c r="B494" s="244">
        <v>6681.0</v>
      </c>
      <c r="C494" s="243" t="s">
        <v>480</v>
      </c>
      <c r="D494" s="243" t="s">
        <v>938</v>
      </c>
      <c r="E494" s="243" t="s">
        <v>1233</v>
      </c>
      <c r="F494" s="245">
        <v>2.0</v>
      </c>
      <c r="G494" s="245">
        <v>1.0</v>
      </c>
      <c r="H494" s="245">
        <v>1.0</v>
      </c>
      <c r="I494" s="245">
        <v>2.0</v>
      </c>
      <c r="J494" s="245">
        <v>1.0</v>
      </c>
      <c r="K494" s="245">
        <v>1.0</v>
      </c>
      <c r="L494" s="245">
        <v>7.0</v>
      </c>
      <c r="M494" s="245">
        <v>7.0</v>
      </c>
      <c r="N494" s="246">
        <v>1.0</v>
      </c>
      <c r="O494" s="247">
        <v>1.0</v>
      </c>
      <c r="P494" s="248">
        <v>1.0</v>
      </c>
    </row>
    <row r="495">
      <c r="A495" s="243" t="s">
        <v>828</v>
      </c>
      <c r="B495" s="244">
        <v>6682.0</v>
      </c>
      <c r="C495" s="243" t="s">
        <v>477</v>
      </c>
      <c r="D495" s="243" t="s">
        <v>478</v>
      </c>
      <c r="E495" s="243" t="s">
        <v>1225</v>
      </c>
      <c r="F495" s="245">
        <v>3.0</v>
      </c>
      <c r="G495" s="245">
        <v>1.0</v>
      </c>
      <c r="H495" s="245">
        <v>2.0</v>
      </c>
      <c r="I495" s="245">
        <v>3.0</v>
      </c>
      <c r="J495" s="245">
        <v>1.0</v>
      </c>
      <c r="K495" s="245">
        <v>2.0</v>
      </c>
      <c r="L495" s="245">
        <v>15.0</v>
      </c>
      <c r="M495" s="245">
        <v>15.0</v>
      </c>
      <c r="N495" s="246">
        <v>1.5</v>
      </c>
      <c r="O495" s="247">
        <v>2.0</v>
      </c>
      <c r="P495" s="248">
        <v>2.0</v>
      </c>
    </row>
    <row r="496">
      <c r="A496" s="243" t="s">
        <v>1322</v>
      </c>
      <c r="B496" s="244">
        <v>6683.0</v>
      </c>
      <c r="C496" s="243" t="s">
        <v>492</v>
      </c>
      <c r="D496" s="243" t="s">
        <v>930</v>
      </c>
      <c r="E496" s="243" t="s">
        <v>1233</v>
      </c>
      <c r="F496" s="245">
        <v>1.0</v>
      </c>
      <c r="G496" s="245">
        <v>1.0</v>
      </c>
      <c r="H496" s="245">
        <v>0.0</v>
      </c>
      <c r="I496" s="245">
        <v>1.0</v>
      </c>
      <c r="J496" s="245">
        <v>1.0</v>
      </c>
      <c r="K496" s="245">
        <v>0.0</v>
      </c>
      <c r="L496" s="245">
        <v>2.0</v>
      </c>
      <c r="M496" s="245">
        <v>2.0</v>
      </c>
      <c r="N496" s="246">
        <v>0.5</v>
      </c>
      <c r="O496" s="247">
        <v>0.5</v>
      </c>
      <c r="P496" s="248">
        <v>0.5</v>
      </c>
    </row>
    <row r="497">
      <c r="A497" s="243" t="s">
        <v>749</v>
      </c>
      <c r="B497" s="244">
        <v>6684.0</v>
      </c>
      <c r="C497" s="243" t="s">
        <v>492</v>
      </c>
      <c r="D497" s="243" t="s">
        <v>934</v>
      </c>
      <c r="E497" s="243" t="s">
        <v>993</v>
      </c>
      <c r="F497" s="245">
        <v>7.0</v>
      </c>
      <c r="G497" s="245">
        <v>6.0</v>
      </c>
      <c r="H497" s="245">
        <v>1.0</v>
      </c>
      <c r="I497" s="245">
        <v>7.0</v>
      </c>
      <c r="J497" s="245">
        <v>6.0</v>
      </c>
      <c r="K497" s="245">
        <v>1.0</v>
      </c>
      <c r="L497" s="245">
        <v>12.0</v>
      </c>
      <c r="M497" s="245">
        <v>12.0</v>
      </c>
      <c r="N497" s="246">
        <v>1.5</v>
      </c>
      <c r="O497" s="247">
        <v>1.5</v>
      </c>
      <c r="P497" s="248">
        <v>2.0</v>
      </c>
    </row>
    <row r="498">
      <c r="A498" s="243" t="s">
        <v>646</v>
      </c>
      <c r="B498" s="244">
        <v>6801.0</v>
      </c>
      <c r="C498" s="243" t="s">
        <v>507</v>
      </c>
      <c r="D498" s="243" t="s">
        <v>512</v>
      </c>
      <c r="E498" s="243" t="s">
        <v>983</v>
      </c>
      <c r="F498" s="245">
        <v>12.0</v>
      </c>
      <c r="G498" s="245">
        <v>12.0</v>
      </c>
      <c r="H498" s="245">
        <v>0.0</v>
      </c>
      <c r="I498" s="245">
        <v>11.0</v>
      </c>
      <c r="J498" s="245">
        <v>11.0</v>
      </c>
      <c r="K498" s="245">
        <v>0.0</v>
      </c>
      <c r="L498" s="245">
        <v>22.0</v>
      </c>
      <c r="M498" s="245">
        <v>17.0</v>
      </c>
      <c r="N498" s="246">
        <v>2.0</v>
      </c>
      <c r="O498" s="247">
        <v>2.0</v>
      </c>
      <c r="P498" s="248">
        <v>2.5</v>
      </c>
    </row>
    <row r="499">
      <c r="A499" s="243" t="s">
        <v>696</v>
      </c>
      <c r="B499" s="244">
        <v>6802.0</v>
      </c>
      <c r="C499" s="243" t="s">
        <v>480</v>
      </c>
      <c r="D499" s="243" t="s">
        <v>1019</v>
      </c>
      <c r="E499" s="243" t="s">
        <v>976</v>
      </c>
      <c r="F499" s="245">
        <v>4.0</v>
      </c>
      <c r="G499" s="245">
        <v>1.0</v>
      </c>
      <c r="H499" s="245">
        <v>3.0</v>
      </c>
      <c r="I499" s="245">
        <v>4.0</v>
      </c>
      <c r="J499" s="245">
        <v>1.0</v>
      </c>
      <c r="K499" s="245">
        <v>3.0</v>
      </c>
      <c r="L499" s="245">
        <v>10.0</v>
      </c>
      <c r="M499" s="245">
        <v>10.0</v>
      </c>
      <c r="N499" s="246">
        <v>1.0</v>
      </c>
      <c r="O499" s="247">
        <v>1.5</v>
      </c>
      <c r="P499" s="248">
        <v>1.5</v>
      </c>
    </row>
    <row r="500">
      <c r="A500" s="243" t="s">
        <v>174</v>
      </c>
      <c r="B500" s="244">
        <v>6803.0</v>
      </c>
      <c r="C500" s="243" t="s">
        <v>480</v>
      </c>
      <c r="D500" s="243" t="s">
        <v>931</v>
      </c>
      <c r="E500" s="243" t="s">
        <v>976</v>
      </c>
      <c r="F500" s="245">
        <v>1.0</v>
      </c>
      <c r="G500" s="245">
        <v>1.0</v>
      </c>
      <c r="H500" s="245">
        <v>0.0</v>
      </c>
      <c r="I500" s="245">
        <v>1.0</v>
      </c>
      <c r="J500" s="245">
        <v>1.0</v>
      </c>
      <c r="K500" s="245">
        <v>0.0</v>
      </c>
      <c r="L500" s="245">
        <v>1.0</v>
      </c>
      <c r="M500" s="245">
        <v>1.0</v>
      </c>
      <c r="N500" s="246">
        <v>0.5</v>
      </c>
      <c r="O500" s="247">
        <v>0.5</v>
      </c>
      <c r="P500" s="248">
        <v>0.5</v>
      </c>
    </row>
    <row r="501">
      <c r="A501" s="243" t="s">
        <v>854</v>
      </c>
      <c r="B501" s="244">
        <v>6804.0</v>
      </c>
      <c r="C501" s="243" t="s">
        <v>492</v>
      </c>
      <c r="D501" s="243" t="s">
        <v>930</v>
      </c>
      <c r="E501" s="243" t="s">
        <v>1033</v>
      </c>
      <c r="F501" s="245">
        <v>8.0</v>
      </c>
      <c r="G501" s="245">
        <v>8.0</v>
      </c>
      <c r="H501" s="245">
        <v>0.0</v>
      </c>
      <c r="I501" s="245">
        <v>8.0</v>
      </c>
      <c r="J501" s="245">
        <v>8.0</v>
      </c>
      <c r="K501" s="245">
        <v>0.0</v>
      </c>
      <c r="L501" s="245">
        <v>16.0</v>
      </c>
      <c r="M501" s="245">
        <v>17.0</v>
      </c>
      <c r="N501" s="246">
        <v>2.0</v>
      </c>
      <c r="O501" s="247">
        <v>2.0</v>
      </c>
      <c r="P501" s="248">
        <v>2.5</v>
      </c>
    </row>
    <row r="502">
      <c r="A502" s="243" t="s">
        <v>1323</v>
      </c>
      <c r="B502" s="244">
        <v>6806.0</v>
      </c>
      <c r="C502" s="243" t="s">
        <v>480</v>
      </c>
      <c r="D502" s="243" t="s">
        <v>954</v>
      </c>
      <c r="E502" s="243" t="s">
        <v>998</v>
      </c>
      <c r="F502" s="245">
        <v>3.0</v>
      </c>
      <c r="G502" s="245">
        <v>3.0</v>
      </c>
      <c r="H502" s="245">
        <v>0.0</v>
      </c>
      <c r="I502" s="245">
        <v>4.0</v>
      </c>
      <c r="J502" s="245">
        <v>5.0</v>
      </c>
      <c r="K502" s="245">
        <v>-1.0</v>
      </c>
      <c r="L502" s="245">
        <v>7.0</v>
      </c>
      <c r="M502" s="245">
        <v>9.0</v>
      </c>
      <c r="N502" s="246">
        <v>1.0</v>
      </c>
      <c r="O502" s="247">
        <v>1.5</v>
      </c>
      <c r="P502" s="248">
        <v>1.5</v>
      </c>
    </row>
    <row r="503">
      <c r="A503" s="243" t="s">
        <v>373</v>
      </c>
      <c r="B503" s="244">
        <v>6809.0</v>
      </c>
      <c r="C503" s="243" t="s">
        <v>480</v>
      </c>
      <c r="D503" s="243" t="s">
        <v>481</v>
      </c>
      <c r="E503" s="243" t="s">
        <v>1222</v>
      </c>
      <c r="F503" s="245">
        <v>1.0</v>
      </c>
      <c r="G503" s="245">
        <v>1.0</v>
      </c>
      <c r="H503" s="245">
        <v>0.0</v>
      </c>
      <c r="I503" s="245">
        <v>1.0</v>
      </c>
      <c r="J503" s="245">
        <v>1.0</v>
      </c>
      <c r="K503" s="245">
        <v>0.0</v>
      </c>
      <c r="L503" s="245">
        <v>1.0</v>
      </c>
      <c r="M503" s="245">
        <v>1.0</v>
      </c>
      <c r="N503" s="246">
        <v>0.5</v>
      </c>
      <c r="O503" s="247">
        <v>0.5</v>
      </c>
      <c r="P503" s="248">
        <v>0.5</v>
      </c>
    </row>
    <row r="504">
      <c r="A504" s="243" t="s">
        <v>236</v>
      </c>
      <c r="B504" s="244">
        <v>6813.0</v>
      </c>
      <c r="C504" s="243" t="s">
        <v>477</v>
      </c>
      <c r="D504" s="243" t="s">
        <v>478</v>
      </c>
      <c r="E504" s="243" t="s">
        <v>991</v>
      </c>
      <c r="F504" s="245">
        <v>1.0</v>
      </c>
      <c r="G504" s="245">
        <v>1.0</v>
      </c>
      <c r="H504" s="245">
        <v>0.0</v>
      </c>
      <c r="I504" s="245">
        <v>1.0</v>
      </c>
      <c r="J504" s="245">
        <v>1.0</v>
      </c>
      <c r="K504" s="245">
        <v>0.0</v>
      </c>
      <c r="L504" s="245">
        <v>1.0</v>
      </c>
      <c r="M504" s="245">
        <v>1.0</v>
      </c>
      <c r="N504" s="246">
        <v>0.5</v>
      </c>
      <c r="O504" s="247">
        <v>0.5</v>
      </c>
      <c r="P504" s="248">
        <v>0.5</v>
      </c>
    </row>
    <row r="505">
      <c r="A505" s="243" t="s">
        <v>1127</v>
      </c>
      <c r="B505" s="244">
        <v>6814.0</v>
      </c>
      <c r="C505" s="243" t="s">
        <v>480</v>
      </c>
      <c r="D505" s="243" t="s">
        <v>938</v>
      </c>
      <c r="E505" s="243" t="s">
        <v>1026</v>
      </c>
      <c r="F505" s="245">
        <v>4.0</v>
      </c>
      <c r="G505" s="245">
        <v>4.0</v>
      </c>
      <c r="H505" s="245">
        <v>0.0</v>
      </c>
      <c r="I505" s="245">
        <v>4.0</v>
      </c>
      <c r="J505" s="245">
        <v>4.0</v>
      </c>
      <c r="K505" s="245">
        <v>0.0</v>
      </c>
      <c r="L505" s="245">
        <v>5.0</v>
      </c>
      <c r="M505" s="245">
        <v>5.0</v>
      </c>
      <c r="N505" s="246">
        <v>0.5</v>
      </c>
      <c r="O505" s="247">
        <v>1.0</v>
      </c>
      <c r="P505" s="248">
        <v>1.0</v>
      </c>
    </row>
    <row r="506">
      <c r="A506" s="243" t="s">
        <v>904</v>
      </c>
      <c r="B506" s="244">
        <v>6815.0</v>
      </c>
      <c r="C506" s="243" t="s">
        <v>492</v>
      </c>
      <c r="D506" s="243" t="s">
        <v>935</v>
      </c>
      <c r="E506" s="243" t="s">
        <v>974</v>
      </c>
      <c r="F506" s="245">
        <v>6.0</v>
      </c>
      <c r="G506" s="245">
        <v>6.0</v>
      </c>
      <c r="H506" s="245">
        <v>0.0</v>
      </c>
      <c r="I506" s="245">
        <v>4.0</v>
      </c>
      <c r="J506" s="245">
        <v>5.0</v>
      </c>
      <c r="K506" s="245">
        <v>-1.0</v>
      </c>
      <c r="L506" s="245">
        <v>13.0</v>
      </c>
      <c r="M506" s="245">
        <v>12.0</v>
      </c>
      <c r="N506" s="246">
        <v>1.5</v>
      </c>
      <c r="O506" s="247">
        <v>1.5</v>
      </c>
      <c r="P506" s="248">
        <v>2.0</v>
      </c>
    </row>
    <row r="507">
      <c r="A507" s="243" t="s">
        <v>768</v>
      </c>
      <c r="B507" s="244">
        <v>6820.0</v>
      </c>
      <c r="C507" s="243" t="s">
        <v>480</v>
      </c>
      <c r="D507" s="243" t="s">
        <v>521</v>
      </c>
      <c r="E507" s="243" t="s">
        <v>972</v>
      </c>
      <c r="F507" s="245">
        <v>7.0</v>
      </c>
      <c r="G507" s="245">
        <v>8.0</v>
      </c>
      <c r="H507" s="245">
        <v>-1.0</v>
      </c>
      <c r="I507" s="245">
        <v>6.0</v>
      </c>
      <c r="J507" s="245">
        <v>7.0</v>
      </c>
      <c r="K507" s="245">
        <v>-1.0</v>
      </c>
      <c r="L507" s="245">
        <v>17.0</v>
      </c>
      <c r="M507" s="245">
        <v>15.0</v>
      </c>
      <c r="N507" s="246">
        <v>1.5</v>
      </c>
      <c r="O507" s="247">
        <v>2.0</v>
      </c>
      <c r="P507" s="248">
        <v>2.0</v>
      </c>
    </row>
    <row r="508">
      <c r="A508" s="243" t="s">
        <v>251</v>
      </c>
      <c r="B508" s="244">
        <v>6822.0</v>
      </c>
      <c r="C508" s="243" t="s">
        <v>507</v>
      </c>
      <c r="D508" s="243" t="s">
        <v>512</v>
      </c>
      <c r="E508" s="243" t="s">
        <v>1026</v>
      </c>
      <c r="F508" s="245">
        <v>1.0</v>
      </c>
      <c r="G508" s="245">
        <v>1.0</v>
      </c>
      <c r="H508" s="245">
        <v>0.0</v>
      </c>
      <c r="I508" s="245">
        <v>1.0</v>
      </c>
      <c r="J508" s="245">
        <v>1.0</v>
      </c>
      <c r="K508" s="245">
        <v>0.0</v>
      </c>
      <c r="L508" s="245">
        <v>1.0</v>
      </c>
      <c r="M508" s="245">
        <v>1.0</v>
      </c>
      <c r="N508" s="246">
        <v>0.5</v>
      </c>
      <c r="O508" s="247">
        <v>0.5</v>
      </c>
      <c r="P508" s="248">
        <v>0.5</v>
      </c>
    </row>
    <row r="509">
      <c r="A509" s="243" t="s">
        <v>759</v>
      </c>
      <c r="B509" s="244">
        <v>6824.0</v>
      </c>
      <c r="C509" s="243" t="s">
        <v>477</v>
      </c>
      <c r="D509" s="243" t="s">
        <v>478</v>
      </c>
      <c r="E509" s="243" t="s">
        <v>988</v>
      </c>
      <c r="F509" s="245">
        <v>1.0</v>
      </c>
      <c r="G509" s="245">
        <v>1.0</v>
      </c>
      <c r="H509" s="245">
        <v>0.0</v>
      </c>
      <c r="I509" s="245">
        <v>1.0</v>
      </c>
      <c r="J509" s="245">
        <v>1.0</v>
      </c>
      <c r="K509" s="245">
        <v>0.0</v>
      </c>
      <c r="L509" s="245">
        <v>1.0</v>
      </c>
      <c r="M509" s="245">
        <v>1.0</v>
      </c>
      <c r="N509" s="246">
        <v>0.5</v>
      </c>
      <c r="O509" s="247">
        <v>0.5</v>
      </c>
      <c r="P509" s="248">
        <v>0.5</v>
      </c>
    </row>
    <row r="510">
      <c r="A510" s="243" t="s">
        <v>1324</v>
      </c>
      <c r="B510" s="244">
        <v>6826.0</v>
      </c>
      <c r="C510" s="243" t="s">
        <v>480</v>
      </c>
      <c r="D510" s="243" t="s">
        <v>521</v>
      </c>
      <c r="E510" s="243" t="s">
        <v>972</v>
      </c>
      <c r="F510" s="245">
        <v>2.0</v>
      </c>
      <c r="G510" s="245">
        <v>1.0</v>
      </c>
      <c r="H510" s="245">
        <v>1.0</v>
      </c>
      <c r="I510" s="245">
        <v>2.0</v>
      </c>
      <c r="J510" s="245">
        <v>1.0</v>
      </c>
      <c r="K510" s="245">
        <v>1.0</v>
      </c>
      <c r="L510" s="245">
        <v>3.0</v>
      </c>
      <c r="M510" s="245">
        <v>3.0</v>
      </c>
      <c r="N510" s="246">
        <v>0.5</v>
      </c>
      <c r="O510" s="247">
        <v>0.5</v>
      </c>
      <c r="P510" s="248">
        <v>0.5</v>
      </c>
    </row>
    <row r="511">
      <c r="A511" s="243" t="s">
        <v>449</v>
      </c>
      <c r="B511" s="244">
        <v>6831.0</v>
      </c>
      <c r="C511" s="243" t="s">
        <v>492</v>
      </c>
      <c r="D511" s="243" t="s">
        <v>935</v>
      </c>
      <c r="E511" s="243" t="s">
        <v>987</v>
      </c>
      <c r="F511" s="245">
        <v>20.0</v>
      </c>
      <c r="G511" s="245">
        <v>20.0</v>
      </c>
      <c r="H511" s="245">
        <v>0.0</v>
      </c>
      <c r="I511" s="245">
        <v>19.0</v>
      </c>
      <c r="J511" s="245">
        <v>19.0</v>
      </c>
      <c r="K511" s="245">
        <v>0.0</v>
      </c>
      <c r="L511" s="245">
        <v>77.0</v>
      </c>
      <c r="M511" s="245">
        <v>75.0</v>
      </c>
      <c r="N511" s="246">
        <v>7.5</v>
      </c>
      <c r="O511" s="247">
        <v>9.0</v>
      </c>
      <c r="P511" s="248">
        <v>10.0</v>
      </c>
    </row>
    <row r="512">
      <c r="A512" s="243" t="s">
        <v>624</v>
      </c>
      <c r="B512" s="244">
        <v>6833.0</v>
      </c>
      <c r="C512" s="243" t="s">
        <v>507</v>
      </c>
      <c r="D512" s="243" t="s">
        <v>507</v>
      </c>
      <c r="E512" s="243" t="s">
        <v>976</v>
      </c>
      <c r="F512" s="245">
        <v>5.0</v>
      </c>
      <c r="G512" s="245">
        <v>1.0</v>
      </c>
      <c r="H512" s="245">
        <v>4.0</v>
      </c>
      <c r="I512" s="245">
        <v>5.0</v>
      </c>
      <c r="J512" s="245">
        <v>1.0</v>
      </c>
      <c r="K512" s="245">
        <v>4.0</v>
      </c>
      <c r="L512" s="245">
        <v>17.0</v>
      </c>
      <c r="M512" s="245">
        <v>17.0</v>
      </c>
      <c r="N512" s="246">
        <v>2.0</v>
      </c>
      <c r="O512" s="247">
        <v>2.0</v>
      </c>
      <c r="P512" s="248">
        <v>2.5</v>
      </c>
    </row>
    <row r="513">
      <c r="A513" s="243" t="s">
        <v>430</v>
      </c>
      <c r="B513" s="244">
        <v>6839.0</v>
      </c>
      <c r="C513" s="243" t="s">
        <v>492</v>
      </c>
      <c r="D513" s="243" t="s">
        <v>934</v>
      </c>
      <c r="E513" s="243" t="s">
        <v>1009</v>
      </c>
      <c r="F513" s="245">
        <v>1.0</v>
      </c>
      <c r="G513" s="245">
        <v>1.0</v>
      </c>
      <c r="H513" s="245">
        <v>0.0</v>
      </c>
      <c r="I513" s="245">
        <v>1.0</v>
      </c>
      <c r="J513" s="245">
        <v>1.0</v>
      </c>
      <c r="K513" s="245">
        <v>0.0</v>
      </c>
      <c r="L513" s="245">
        <v>1.0</v>
      </c>
      <c r="M513" s="245">
        <v>1.0</v>
      </c>
      <c r="N513" s="246">
        <v>0.5</v>
      </c>
      <c r="O513" s="247">
        <v>0.5</v>
      </c>
      <c r="P513" s="248">
        <v>0.5</v>
      </c>
    </row>
    <row r="514">
      <c r="A514" s="243" t="s">
        <v>1173</v>
      </c>
      <c r="B514" s="244">
        <v>6842.0</v>
      </c>
      <c r="C514" s="243" t="s">
        <v>477</v>
      </c>
      <c r="D514" s="243" t="s">
        <v>478</v>
      </c>
      <c r="E514" s="243" t="s">
        <v>993</v>
      </c>
      <c r="F514" s="245">
        <v>1.0</v>
      </c>
      <c r="G514" s="245">
        <v>1.0</v>
      </c>
      <c r="H514" s="245">
        <v>0.0</v>
      </c>
      <c r="I514" s="245">
        <v>1.0</v>
      </c>
      <c r="J514" s="245">
        <v>1.0</v>
      </c>
      <c r="K514" s="245">
        <v>0.0</v>
      </c>
      <c r="L514" s="245">
        <v>1.0</v>
      </c>
      <c r="M514" s="245">
        <v>1.0</v>
      </c>
      <c r="N514" s="246">
        <v>0.5</v>
      </c>
      <c r="O514" s="247">
        <v>0.5</v>
      </c>
      <c r="P514" s="248">
        <v>0.5</v>
      </c>
    </row>
    <row r="515">
      <c r="A515" s="243" t="s">
        <v>798</v>
      </c>
      <c r="B515" s="244">
        <v>6874.0</v>
      </c>
      <c r="C515" s="243" t="s">
        <v>480</v>
      </c>
      <c r="D515" s="243" t="s">
        <v>481</v>
      </c>
      <c r="E515" s="243" t="s">
        <v>973</v>
      </c>
      <c r="F515" s="245">
        <v>3.0</v>
      </c>
      <c r="G515" s="245">
        <v>3.0</v>
      </c>
      <c r="H515" s="245">
        <v>0.0</v>
      </c>
      <c r="I515" s="245">
        <v>3.0</v>
      </c>
      <c r="J515" s="245">
        <v>3.0</v>
      </c>
      <c r="K515" s="245">
        <v>0.0</v>
      </c>
      <c r="L515" s="245">
        <v>6.0</v>
      </c>
      <c r="M515" s="245">
        <v>6.0</v>
      </c>
      <c r="N515" s="246">
        <v>1.0</v>
      </c>
      <c r="O515" s="247">
        <v>1.0</v>
      </c>
      <c r="P515" s="248">
        <v>1.0</v>
      </c>
    </row>
    <row r="516">
      <c r="A516" s="243" t="s">
        <v>671</v>
      </c>
      <c r="B516" s="244">
        <v>6875.0</v>
      </c>
      <c r="C516" s="243" t="s">
        <v>492</v>
      </c>
      <c r="D516" s="243" t="s">
        <v>947</v>
      </c>
      <c r="E516" s="243" t="s">
        <v>974</v>
      </c>
      <c r="F516" s="245">
        <v>7.0</v>
      </c>
      <c r="G516" s="245">
        <v>7.0</v>
      </c>
      <c r="H516" s="245">
        <v>0.0</v>
      </c>
      <c r="I516" s="245">
        <v>6.0</v>
      </c>
      <c r="J516" s="245">
        <v>6.0</v>
      </c>
      <c r="K516" s="245">
        <v>0.0</v>
      </c>
      <c r="L516" s="245">
        <v>20.0</v>
      </c>
      <c r="M516" s="245">
        <v>17.0</v>
      </c>
      <c r="N516" s="246">
        <v>2.0</v>
      </c>
      <c r="O516" s="247">
        <v>2.0</v>
      </c>
      <c r="P516" s="248">
        <v>2.5</v>
      </c>
    </row>
    <row r="517">
      <c r="A517" s="243" t="s">
        <v>664</v>
      </c>
      <c r="B517" s="244">
        <v>6883.0</v>
      </c>
      <c r="C517" s="243" t="s">
        <v>480</v>
      </c>
      <c r="D517" s="243" t="s">
        <v>481</v>
      </c>
      <c r="E517" s="243" t="s">
        <v>998</v>
      </c>
      <c r="F517" s="245">
        <v>2.0</v>
      </c>
      <c r="G517" s="245">
        <v>2.0</v>
      </c>
      <c r="H517" s="245">
        <v>0.0</v>
      </c>
      <c r="I517" s="245">
        <v>2.0</v>
      </c>
      <c r="J517" s="245">
        <v>2.0</v>
      </c>
      <c r="K517" s="245">
        <v>0.0</v>
      </c>
      <c r="L517" s="245">
        <v>3.0</v>
      </c>
      <c r="M517" s="245">
        <v>3.0</v>
      </c>
      <c r="N517" s="246">
        <v>0.5</v>
      </c>
      <c r="O517" s="247">
        <v>0.5</v>
      </c>
      <c r="P517" s="248">
        <v>0.5</v>
      </c>
    </row>
    <row r="518">
      <c r="A518" s="243" t="s">
        <v>247</v>
      </c>
      <c r="B518" s="244">
        <v>6884.0</v>
      </c>
      <c r="C518" s="243" t="s">
        <v>492</v>
      </c>
      <c r="D518" s="243" t="s">
        <v>935</v>
      </c>
      <c r="E518" s="243" t="s">
        <v>976</v>
      </c>
      <c r="F518" s="245">
        <v>11.0</v>
      </c>
      <c r="G518" s="245">
        <v>11.0</v>
      </c>
      <c r="H518" s="245">
        <v>0.0</v>
      </c>
      <c r="I518" s="245">
        <v>10.0</v>
      </c>
      <c r="J518" s="245">
        <v>10.0</v>
      </c>
      <c r="K518" s="245">
        <v>0.0</v>
      </c>
      <c r="L518" s="245">
        <v>24.0</v>
      </c>
      <c r="M518" s="245">
        <v>22.0</v>
      </c>
      <c r="N518" s="246">
        <v>2.5</v>
      </c>
      <c r="O518" s="247">
        <v>3.0</v>
      </c>
      <c r="P518" s="248">
        <v>3.0</v>
      </c>
    </row>
    <row r="519">
      <c r="A519" s="243" t="s">
        <v>711</v>
      </c>
      <c r="B519" s="244">
        <v>6885.0</v>
      </c>
      <c r="C519" s="243" t="s">
        <v>480</v>
      </c>
      <c r="D519" s="243" t="s">
        <v>938</v>
      </c>
      <c r="E519" s="243" t="s">
        <v>988</v>
      </c>
      <c r="F519" s="245">
        <v>5.0</v>
      </c>
      <c r="G519" s="245">
        <v>5.0</v>
      </c>
      <c r="H519" s="245">
        <v>0.0</v>
      </c>
      <c r="I519" s="245">
        <v>5.0</v>
      </c>
      <c r="J519" s="245">
        <v>5.0</v>
      </c>
      <c r="K519" s="245">
        <v>0.0</v>
      </c>
      <c r="L519" s="245">
        <v>12.0</v>
      </c>
      <c r="M519" s="245">
        <v>12.0</v>
      </c>
      <c r="N519" s="246">
        <v>1.5</v>
      </c>
      <c r="O519" s="247">
        <v>1.5</v>
      </c>
      <c r="P519" s="248">
        <v>2.0</v>
      </c>
    </row>
    <row r="520">
      <c r="A520" s="243" t="s">
        <v>1325</v>
      </c>
      <c r="B520" s="244">
        <v>6887.0</v>
      </c>
      <c r="C520" s="243" t="s">
        <v>480</v>
      </c>
      <c r="D520" s="243" t="s">
        <v>481</v>
      </c>
      <c r="E520" s="243" t="s">
        <v>985</v>
      </c>
      <c r="F520" s="245">
        <v>2.0</v>
      </c>
      <c r="G520" s="245">
        <v>2.0</v>
      </c>
      <c r="H520" s="245">
        <v>0.0</v>
      </c>
      <c r="I520" s="245">
        <v>2.0</v>
      </c>
      <c r="J520" s="245">
        <v>2.0</v>
      </c>
      <c r="K520" s="245">
        <v>0.0</v>
      </c>
      <c r="L520" s="245">
        <v>3.0</v>
      </c>
      <c r="M520" s="245">
        <v>3.0</v>
      </c>
      <c r="N520" s="246">
        <v>0.5</v>
      </c>
      <c r="O520" s="247">
        <v>0.5</v>
      </c>
      <c r="P520" s="248">
        <v>0.5</v>
      </c>
    </row>
    <row r="521">
      <c r="A521" s="243" t="s">
        <v>727</v>
      </c>
      <c r="B521" s="244">
        <v>6889.0</v>
      </c>
      <c r="C521" s="243" t="s">
        <v>492</v>
      </c>
      <c r="D521" s="243" t="s">
        <v>1057</v>
      </c>
      <c r="E521" s="243" t="s">
        <v>1222</v>
      </c>
      <c r="F521" s="245">
        <v>2.0</v>
      </c>
      <c r="G521" s="245">
        <v>2.0</v>
      </c>
      <c r="H521" s="245">
        <v>0.0</v>
      </c>
      <c r="I521" s="245">
        <v>2.0</v>
      </c>
      <c r="J521" s="245">
        <v>2.0</v>
      </c>
      <c r="K521" s="245">
        <v>0.0</v>
      </c>
      <c r="L521" s="245">
        <v>4.0</v>
      </c>
      <c r="M521" s="245">
        <v>4.0</v>
      </c>
      <c r="N521" s="246">
        <v>0.5</v>
      </c>
      <c r="O521" s="247">
        <v>0.5</v>
      </c>
      <c r="P521" s="248">
        <v>1.0</v>
      </c>
    </row>
    <row r="522">
      <c r="A522" s="243" t="s">
        <v>737</v>
      </c>
      <c r="B522" s="244">
        <v>6890.0</v>
      </c>
      <c r="C522" s="243" t="s">
        <v>480</v>
      </c>
      <c r="D522" s="243" t="s">
        <v>481</v>
      </c>
      <c r="E522" s="243" t="s">
        <v>1033</v>
      </c>
      <c r="F522" s="245">
        <v>4.0</v>
      </c>
      <c r="G522" s="245">
        <v>4.0</v>
      </c>
      <c r="H522" s="245">
        <v>0.0</v>
      </c>
      <c r="I522" s="245">
        <v>4.0</v>
      </c>
      <c r="J522" s="245">
        <v>4.0</v>
      </c>
      <c r="K522" s="245">
        <v>0.0</v>
      </c>
      <c r="L522" s="245">
        <v>8.0</v>
      </c>
      <c r="M522" s="245">
        <v>8.0</v>
      </c>
      <c r="N522" s="246">
        <v>1.0</v>
      </c>
      <c r="O522" s="247">
        <v>1.0</v>
      </c>
      <c r="P522" s="248">
        <v>1.5</v>
      </c>
    </row>
    <row r="523">
      <c r="A523" s="243" t="s">
        <v>1326</v>
      </c>
      <c r="B523" s="244">
        <v>6891.0</v>
      </c>
      <c r="C523" s="243" t="s">
        <v>492</v>
      </c>
      <c r="D523" s="243" t="s">
        <v>930</v>
      </c>
      <c r="E523" s="243" t="s">
        <v>991</v>
      </c>
      <c r="F523" s="245">
        <v>1.0</v>
      </c>
      <c r="G523" s="245">
        <v>1.0</v>
      </c>
      <c r="H523" s="245">
        <v>0.0</v>
      </c>
      <c r="I523" s="245">
        <v>1.0</v>
      </c>
      <c r="J523" s="245">
        <v>1.0</v>
      </c>
      <c r="K523" s="245">
        <v>0.0</v>
      </c>
      <c r="L523" s="245">
        <v>1.0</v>
      </c>
      <c r="M523" s="245">
        <v>1.0</v>
      </c>
      <c r="N523" s="246">
        <v>0.5</v>
      </c>
      <c r="O523" s="247">
        <v>0.5</v>
      </c>
      <c r="P523" s="248">
        <v>0.5</v>
      </c>
    </row>
    <row r="524">
      <c r="A524" s="243" t="s">
        <v>1327</v>
      </c>
      <c r="B524" s="244">
        <v>6892.0</v>
      </c>
      <c r="C524" s="243" t="s">
        <v>480</v>
      </c>
      <c r="D524" s="243" t="s">
        <v>937</v>
      </c>
      <c r="E524" s="243" t="s">
        <v>1233</v>
      </c>
      <c r="F524" s="245">
        <v>3.0</v>
      </c>
      <c r="G524" s="245">
        <v>3.0</v>
      </c>
      <c r="H524" s="245">
        <v>0.0</v>
      </c>
      <c r="I524" s="245">
        <v>3.0</v>
      </c>
      <c r="J524" s="245">
        <v>3.0</v>
      </c>
      <c r="K524" s="245">
        <v>0.0</v>
      </c>
      <c r="L524" s="245">
        <v>6.0</v>
      </c>
      <c r="M524" s="245">
        <v>7.0</v>
      </c>
      <c r="N524" s="246">
        <v>1.0</v>
      </c>
      <c r="O524" s="247">
        <v>1.0</v>
      </c>
      <c r="P524" s="248">
        <v>1.0</v>
      </c>
    </row>
    <row r="525">
      <c r="A525" s="243" t="s">
        <v>1086</v>
      </c>
      <c r="B525" s="244">
        <v>6893.0</v>
      </c>
      <c r="C525" s="243" t="s">
        <v>480</v>
      </c>
      <c r="D525" s="243" t="s">
        <v>481</v>
      </c>
      <c r="E525" s="243" t="s">
        <v>974</v>
      </c>
      <c r="F525" s="245">
        <v>3.0</v>
      </c>
      <c r="G525" s="245">
        <v>3.0</v>
      </c>
      <c r="H525" s="245">
        <v>0.0</v>
      </c>
      <c r="I525" s="245">
        <v>3.0</v>
      </c>
      <c r="J525" s="245">
        <v>3.0</v>
      </c>
      <c r="K525" s="245">
        <v>0.0</v>
      </c>
      <c r="L525" s="245">
        <v>6.0</v>
      </c>
      <c r="M525" s="245">
        <v>6.0</v>
      </c>
      <c r="N525" s="246">
        <v>1.0</v>
      </c>
      <c r="O525" s="247">
        <v>1.0</v>
      </c>
      <c r="P525" s="248">
        <v>1.0</v>
      </c>
    </row>
    <row r="526">
      <c r="A526" s="243" t="s">
        <v>694</v>
      </c>
      <c r="B526" s="244">
        <v>6895.0</v>
      </c>
      <c r="C526" s="243" t="s">
        <v>507</v>
      </c>
      <c r="D526" s="243" t="s">
        <v>507</v>
      </c>
      <c r="E526" s="243" t="s">
        <v>1009</v>
      </c>
      <c r="F526" s="245">
        <v>5.0</v>
      </c>
      <c r="G526" s="245">
        <v>5.0</v>
      </c>
      <c r="H526" s="245">
        <v>0.0</v>
      </c>
      <c r="I526" s="245">
        <v>5.0</v>
      </c>
      <c r="J526" s="245">
        <v>5.0</v>
      </c>
      <c r="K526" s="245">
        <v>0.0</v>
      </c>
      <c r="L526" s="245">
        <v>11.0</v>
      </c>
      <c r="M526" s="245">
        <v>11.0</v>
      </c>
      <c r="N526" s="246">
        <v>1.5</v>
      </c>
      <c r="O526" s="247">
        <v>1.5</v>
      </c>
      <c r="P526" s="248">
        <v>1.5</v>
      </c>
    </row>
    <row r="527">
      <c r="A527" s="243" t="s">
        <v>1205</v>
      </c>
      <c r="B527" s="244">
        <v>6896.0</v>
      </c>
      <c r="C527" s="243" t="s">
        <v>480</v>
      </c>
      <c r="D527" s="243" t="s">
        <v>938</v>
      </c>
      <c r="E527" s="243" t="s">
        <v>974</v>
      </c>
      <c r="F527" s="245">
        <v>5.0</v>
      </c>
      <c r="G527" s="245">
        <v>5.0</v>
      </c>
      <c r="H527" s="245">
        <v>0.0</v>
      </c>
      <c r="I527" s="245">
        <v>5.0</v>
      </c>
      <c r="J527" s="245">
        <v>5.0</v>
      </c>
      <c r="K527" s="245">
        <v>0.0</v>
      </c>
      <c r="L527" s="245">
        <v>8.0</v>
      </c>
      <c r="M527" s="245">
        <v>8.0</v>
      </c>
      <c r="N527" s="246">
        <v>1.0</v>
      </c>
      <c r="O527" s="247">
        <v>1.0</v>
      </c>
      <c r="P527" s="248">
        <v>1.5</v>
      </c>
    </row>
    <row r="528">
      <c r="A528" s="243" t="s">
        <v>1085</v>
      </c>
      <c r="B528" s="244">
        <v>6898.0</v>
      </c>
      <c r="C528" s="243" t="s">
        <v>492</v>
      </c>
      <c r="D528" s="243" t="s">
        <v>930</v>
      </c>
      <c r="E528" s="243" t="s">
        <v>985</v>
      </c>
      <c r="F528" s="245">
        <v>6.0</v>
      </c>
      <c r="G528" s="245">
        <v>6.0</v>
      </c>
      <c r="H528" s="245">
        <v>0.0</v>
      </c>
      <c r="I528" s="245">
        <v>7.0</v>
      </c>
      <c r="J528" s="245">
        <v>7.0</v>
      </c>
      <c r="K528" s="245">
        <v>0.0</v>
      </c>
      <c r="L528" s="245">
        <v>12.0</v>
      </c>
      <c r="M528" s="245">
        <v>14.0</v>
      </c>
      <c r="N528" s="246">
        <v>1.5</v>
      </c>
      <c r="O528" s="247">
        <v>2.0</v>
      </c>
      <c r="P528" s="248">
        <v>2.0</v>
      </c>
    </row>
    <row r="529">
      <c r="A529" s="243" t="s">
        <v>1167</v>
      </c>
      <c r="B529" s="244">
        <v>6900.0</v>
      </c>
      <c r="C529" s="243" t="s">
        <v>492</v>
      </c>
      <c r="D529" s="243" t="s">
        <v>1089</v>
      </c>
      <c r="E529" s="243" t="s">
        <v>993</v>
      </c>
      <c r="F529" s="245">
        <v>3.0</v>
      </c>
      <c r="G529" s="245">
        <v>3.0</v>
      </c>
      <c r="H529" s="245">
        <v>0.0</v>
      </c>
      <c r="I529" s="245">
        <v>4.0</v>
      </c>
      <c r="J529" s="245">
        <v>4.0</v>
      </c>
      <c r="K529" s="245">
        <v>0.0</v>
      </c>
      <c r="L529" s="245">
        <v>5.0</v>
      </c>
      <c r="M529" s="245">
        <v>7.0</v>
      </c>
      <c r="N529" s="246">
        <v>1.0</v>
      </c>
      <c r="O529" s="247">
        <v>1.0</v>
      </c>
      <c r="P529" s="248">
        <v>1.0</v>
      </c>
    </row>
    <row r="530">
      <c r="A530" s="243" t="s">
        <v>1328</v>
      </c>
      <c r="B530" s="244">
        <v>6903.0</v>
      </c>
      <c r="C530" s="243" t="s">
        <v>492</v>
      </c>
      <c r="D530" s="243" t="s">
        <v>934</v>
      </c>
      <c r="E530" s="243" t="s">
        <v>998</v>
      </c>
      <c r="F530" s="245">
        <v>1.0</v>
      </c>
      <c r="G530" s="245">
        <v>1.0</v>
      </c>
      <c r="H530" s="245">
        <v>0.0</v>
      </c>
      <c r="I530" s="245">
        <v>1.0</v>
      </c>
      <c r="J530" s="245">
        <v>1.0</v>
      </c>
      <c r="K530" s="245">
        <v>0.0</v>
      </c>
      <c r="L530" s="245">
        <v>1.0</v>
      </c>
      <c r="M530" s="245">
        <v>1.0</v>
      </c>
      <c r="N530" s="246">
        <v>0.5</v>
      </c>
      <c r="O530" s="247">
        <v>0.5</v>
      </c>
      <c r="P530" s="248">
        <v>0.5</v>
      </c>
    </row>
    <row r="531">
      <c r="A531" s="243" t="s">
        <v>710</v>
      </c>
      <c r="B531" s="244">
        <v>6904.0</v>
      </c>
      <c r="C531" s="243" t="s">
        <v>492</v>
      </c>
      <c r="D531" s="243" t="s">
        <v>1057</v>
      </c>
      <c r="E531" s="243" t="s">
        <v>1233</v>
      </c>
      <c r="F531" s="245">
        <v>3.0</v>
      </c>
      <c r="G531" s="245">
        <v>3.0</v>
      </c>
      <c r="H531" s="245">
        <v>0.0</v>
      </c>
      <c r="I531" s="245">
        <v>3.0</v>
      </c>
      <c r="J531" s="245">
        <v>3.0</v>
      </c>
      <c r="K531" s="245">
        <v>0.0</v>
      </c>
      <c r="L531" s="245">
        <v>8.0</v>
      </c>
      <c r="M531" s="245">
        <v>8.0</v>
      </c>
      <c r="N531" s="246">
        <v>1.0</v>
      </c>
      <c r="O531" s="247">
        <v>1.0</v>
      </c>
      <c r="P531" s="248">
        <v>1.5</v>
      </c>
    </row>
    <row r="532">
      <c r="A532" s="236" t="s">
        <v>992</v>
      </c>
      <c r="B532" s="237">
        <v>6908.0</v>
      </c>
      <c r="C532" s="236" t="s">
        <v>492</v>
      </c>
      <c r="D532" s="236" t="s">
        <v>930</v>
      </c>
      <c r="E532" s="236" t="s">
        <v>993</v>
      </c>
      <c r="F532" s="237">
        <v>1.0</v>
      </c>
      <c r="G532" s="237">
        <v>1.0</v>
      </c>
      <c r="H532" s="237">
        <v>0.0</v>
      </c>
      <c r="I532" s="237">
        <v>1.0</v>
      </c>
      <c r="J532" s="237">
        <v>1.0</v>
      </c>
      <c r="K532" s="237">
        <v>0.0</v>
      </c>
      <c r="L532" s="237">
        <v>1.0</v>
      </c>
      <c r="M532" s="237">
        <v>1.0</v>
      </c>
      <c r="N532" s="250">
        <v>0.5</v>
      </c>
      <c r="O532" s="251">
        <v>0.5</v>
      </c>
      <c r="P532" s="252">
        <v>0.5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75"/>
  <sheetData>
    <row r="1">
      <c r="A1" s="253" t="s">
        <v>960</v>
      </c>
      <c r="B1" s="253" t="s">
        <v>961</v>
      </c>
      <c r="C1" s="253" t="s">
        <v>466</v>
      </c>
      <c r="D1" s="253" t="s">
        <v>962</v>
      </c>
      <c r="E1" s="253" t="s">
        <v>467</v>
      </c>
      <c r="F1" s="253" t="s">
        <v>963</v>
      </c>
      <c r="G1" s="253" t="s">
        <v>964</v>
      </c>
      <c r="H1" s="253" t="s">
        <v>965</v>
      </c>
      <c r="I1" s="253" t="s">
        <v>966</v>
      </c>
      <c r="J1" s="253" t="s">
        <v>967</v>
      </c>
      <c r="K1" s="253" t="s">
        <v>968</v>
      </c>
      <c r="L1" s="253" t="s">
        <v>969</v>
      </c>
      <c r="M1" s="253" t="s">
        <v>970</v>
      </c>
    </row>
    <row r="2">
      <c r="A2" s="254">
        <v>6021.0</v>
      </c>
      <c r="B2" s="255" t="s">
        <v>480</v>
      </c>
      <c r="C2" s="255" t="s">
        <v>1329</v>
      </c>
      <c r="D2" s="255" t="s">
        <v>937</v>
      </c>
      <c r="E2" s="255" t="s">
        <v>993</v>
      </c>
      <c r="F2" s="254">
        <v>1.0</v>
      </c>
      <c r="G2" s="254">
        <v>1.0</v>
      </c>
      <c r="H2" s="254">
        <v>0.0</v>
      </c>
      <c r="I2" s="254">
        <v>1.0</v>
      </c>
      <c r="J2" s="254">
        <v>1.0</v>
      </c>
      <c r="K2" s="254">
        <v>0.0</v>
      </c>
      <c r="L2" s="254">
        <v>1.0</v>
      </c>
      <c r="M2" s="254">
        <v>1.0</v>
      </c>
    </row>
    <row r="3">
      <c r="A3" s="256">
        <v>2544.0</v>
      </c>
      <c r="B3" s="253" t="s">
        <v>507</v>
      </c>
      <c r="C3" s="253" t="s">
        <v>877</v>
      </c>
      <c r="D3" s="253" t="s">
        <v>512</v>
      </c>
      <c r="E3" s="253" t="s">
        <v>988</v>
      </c>
      <c r="F3" s="256">
        <v>14.0</v>
      </c>
      <c r="G3" s="256">
        <v>15.0</v>
      </c>
      <c r="H3" s="256">
        <v>-1.0</v>
      </c>
      <c r="I3" s="256">
        <v>14.0</v>
      </c>
      <c r="J3" s="256">
        <v>15.0</v>
      </c>
      <c r="K3" s="256">
        <v>-1.0</v>
      </c>
      <c r="L3" s="256">
        <v>50.0</v>
      </c>
      <c r="M3" s="256">
        <v>45.0</v>
      </c>
    </row>
    <row r="4">
      <c r="A4" s="256">
        <v>513.0</v>
      </c>
      <c r="B4" s="253" t="s">
        <v>480</v>
      </c>
      <c r="C4" s="253" t="s">
        <v>744</v>
      </c>
      <c r="D4" s="253" t="s">
        <v>481</v>
      </c>
      <c r="E4" s="253" t="s">
        <v>973</v>
      </c>
      <c r="F4" s="256">
        <v>10.0</v>
      </c>
      <c r="G4" s="256">
        <v>11.0</v>
      </c>
      <c r="H4" s="256">
        <v>-1.0</v>
      </c>
      <c r="I4" s="256">
        <v>10.0</v>
      </c>
      <c r="J4" s="256">
        <v>11.0</v>
      </c>
      <c r="K4" s="256">
        <v>-1.0</v>
      </c>
      <c r="L4" s="256">
        <v>32.0</v>
      </c>
      <c r="M4" s="256">
        <v>32.0</v>
      </c>
    </row>
    <row r="5">
      <c r="A5" s="256">
        <v>5875.0</v>
      </c>
      <c r="B5" s="253" t="s">
        <v>492</v>
      </c>
      <c r="C5" s="253" t="s">
        <v>679</v>
      </c>
      <c r="D5" s="253" t="s">
        <v>543</v>
      </c>
      <c r="E5" s="253" t="s">
        <v>991</v>
      </c>
      <c r="F5" s="256">
        <v>1.0</v>
      </c>
      <c r="G5" s="256">
        <v>1.0</v>
      </c>
      <c r="H5" s="256">
        <v>0.0</v>
      </c>
      <c r="I5" s="256">
        <v>1.0</v>
      </c>
      <c r="J5" s="256">
        <v>1.0</v>
      </c>
      <c r="K5" s="256">
        <v>0.0</v>
      </c>
      <c r="L5" s="256">
        <v>3.0</v>
      </c>
      <c r="M5" s="256">
        <v>3.0</v>
      </c>
    </row>
    <row r="6">
      <c r="A6" s="256">
        <v>4870.0</v>
      </c>
      <c r="B6" s="253" t="s">
        <v>492</v>
      </c>
      <c r="C6" s="253" t="s">
        <v>763</v>
      </c>
      <c r="D6" s="253" t="s">
        <v>930</v>
      </c>
      <c r="E6" s="253" t="s">
        <v>980</v>
      </c>
      <c r="F6" s="256">
        <v>3.0</v>
      </c>
      <c r="G6" s="256">
        <v>2.0</v>
      </c>
      <c r="H6" s="256">
        <v>1.0</v>
      </c>
      <c r="I6" s="256">
        <v>3.0</v>
      </c>
      <c r="J6" s="256">
        <v>2.0</v>
      </c>
      <c r="K6" s="256">
        <v>1.0</v>
      </c>
      <c r="L6" s="256">
        <v>4.0</v>
      </c>
      <c r="M6" s="256">
        <v>5.0</v>
      </c>
    </row>
    <row r="7">
      <c r="A7" s="256">
        <v>5784.0</v>
      </c>
      <c r="B7" s="253" t="s">
        <v>492</v>
      </c>
      <c r="C7" s="253" t="s">
        <v>712</v>
      </c>
      <c r="D7" s="253" t="s">
        <v>1038</v>
      </c>
      <c r="E7" s="253" t="s">
        <v>1009</v>
      </c>
      <c r="F7" s="256">
        <v>6.0</v>
      </c>
      <c r="G7" s="256">
        <v>5.0</v>
      </c>
      <c r="H7" s="256">
        <v>1.0</v>
      </c>
      <c r="I7" s="256">
        <v>6.0</v>
      </c>
      <c r="J7" s="256">
        <v>5.0</v>
      </c>
      <c r="K7" s="256">
        <v>1.0</v>
      </c>
      <c r="L7" s="256">
        <v>9.0</v>
      </c>
      <c r="M7" s="256">
        <v>12.0</v>
      </c>
    </row>
    <row r="8">
      <c r="A8" s="256">
        <v>5060.0</v>
      </c>
      <c r="B8" s="253" t="s">
        <v>507</v>
      </c>
      <c r="C8" s="253" t="s">
        <v>1330</v>
      </c>
      <c r="D8" s="253" t="s">
        <v>507</v>
      </c>
      <c r="E8" s="253" t="s">
        <v>993</v>
      </c>
      <c r="F8" s="256">
        <v>1.0</v>
      </c>
      <c r="G8" s="256">
        <v>1.0</v>
      </c>
      <c r="H8" s="256">
        <v>0.0</v>
      </c>
      <c r="I8" s="256">
        <v>1.0</v>
      </c>
      <c r="J8" s="256">
        <v>1.0</v>
      </c>
      <c r="K8" s="256">
        <v>0.0</v>
      </c>
      <c r="L8" s="256">
        <v>2.0</v>
      </c>
      <c r="M8" s="256">
        <v>2.0</v>
      </c>
    </row>
    <row r="9">
      <c r="A9" s="256">
        <v>5286.0</v>
      </c>
      <c r="B9" s="253" t="s">
        <v>492</v>
      </c>
      <c r="C9" s="253" t="s">
        <v>1266</v>
      </c>
      <c r="D9" s="253" t="s">
        <v>930</v>
      </c>
      <c r="E9" s="253" t="s">
        <v>1225</v>
      </c>
      <c r="F9" s="256">
        <v>2.0</v>
      </c>
      <c r="G9" s="256">
        <v>3.0</v>
      </c>
      <c r="H9" s="256">
        <v>-1.0</v>
      </c>
      <c r="I9" s="256">
        <v>2.0</v>
      </c>
      <c r="J9" s="256">
        <v>3.0</v>
      </c>
      <c r="K9" s="256">
        <v>-1.0</v>
      </c>
      <c r="L9" s="256">
        <v>3.0</v>
      </c>
      <c r="M9" s="256">
        <v>3.0</v>
      </c>
    </row>
    <row r="10">
      <c r="A10" s="254">
        <v>6573.0</v>
      </c>
      <c r="B10" s="255" t="s">
        <v>492</v>
      </c>
      <c r="C10" s="255" t="s">
        <v>1331</v>
      </c>
      <c r="D10" s="255" t="s">
        <v>934</v>
      </c>
      <c r="E10" s="255" t="s">
        <v>976</v>
      </c>
      <c r="F10" s="254">
        <v>13.0</v>
      </c>
      <c r="G10" s="254">
        <v>14.0</v>
      </c>
      <c r="H10" s="254">
        <v>-1.0</v>
      </c>
      <c r="I10" s="254">
        <v>13.0</v>
      </c>
      <c r="J10" s="254">
        <v>14.0</v>
      </c>
      <c r="K10" s="254">
        <v>-1.0</v>
      </c>
      <c r="L10" s="254">
        <v>37.0</v>
      </c>
      <c r="M10" s="254">
        <v>37.0</v>
      </c>
    </row>
    <row r="11">
      <c r="A11" s="256">
        <v>662.0</v>
      </c>
      <c r="B11" s="253" t="s">
        <v>480</v>
      </c>
      <c r="C11" s="253" t="s">
        <v>1332</v>
      </c>
      <c r="D11" s="253" t="s">
        <v>1022</v>
      </c>
      <c r="E11" s="253" t="s">
        <v>976</v>
      </c>
      <c r="F11" s="256">
        <v>6.0</v>
      </c>
      <c r="G11" s="256">
        <v>6.0</v>
      </c>
      <c r="H11" s="256">
        <v>0.0</v>
      </c>
      <c r="I11" s="256">
        <v>7.0</v>
      </c>
      <c r="J11" s="256">
        <v>7.0</v>
      </c>
      <c r="K11" s="256">
        <v>0.0</v>
      </c>
      <c r="L11" s="256">
        <v>12.0</v>
      </c>
      <c r="M11" s="256">
        <v>16.0</v>
      </c>
    </row>
    <row r="12">
      <c r="A12" s="256">
        <v>6207.0</v>
      </c>
      <c r="B12" s="253" t="s">
        <v>507</v>
      </c>
      <c r="C12" s="253" t="s">
        <v>936</v>
      </c>
      <c r="D12" s="253" t="s">
        <v>507</v>
      </c>
      <c r="E12" s="253" t="s">
        <v>998</v>
      </c>
      <c r="F12" s="256">
        <v>11.0</v>
      </c>
      <c r="G12" s="256">
        <v>10.0</v>
      </c>
      <c r="H12" s="256">
        <v>1.0</v>
      </c>
      <c r="I12" s="256">
        <v>11.0</v>
      </c>
      <c r="J12" s="256">
        <v>10.0</v>
      </c>
      <c r="K12" s="256">
        <v>1.0</v>
      </c>
      <c r="L12" s="256">
        <v>28.0</v>
      </c>
      <c r="M12" s="256">
        <v>32.0</v>
      </c>
    </row>
    <row r="13">
      <c r="A13" s="256">
        <v>5845.0</v>
      </c>
      <c r="B13" s="253" t="s">
        <v>507</v>
      </c>
      <c r="C13" s="253" t="s">
        <v>1333</v>
      </c>
      <c r="D13" s="253" t="s">
        <v>512</v>
      </c>
      <c r="E13" s="253" t="s">
        <v>1005</v>
      </c>
      <c r="F13" s="256">
        <v>4.0</v>
      </c>
      <c r="G13" s="256">
        <v>5.0</v>
      </c>
      <c r="H13" s="256">
        <v>-1.0</v>
      </c>
      <c r="I13" s="256">
        <v>3.0</v>
      </c>
      <c r="J13" s="256">
        <v>4.0</v>
      </c>
      <c r="K13" s="256">
        <v>-1.0</v>
      </c>
      <c r="L13" s="256">
        <v>5.0</v>
      </c>
      <c r="M13" s="256">
        <v>4.0</v>
      </c>
    </row>
    <row r="14">
      <c r="A14" s="256">
        <v>6236.0</v>
      </c>
      <c r="B14" s="253" t="s">
        <v>492</v>
      </c>
      <c r="C14" s="253" t="s">
        <v>1334</v>
      </c>
      <c r="D14" s="253" t="s">
        <v>930</v>
      </c>
      <c r="E14" s="253" t="s">
        <v>1033</v>
      </c>
      <c r="F14" s="256">
        <v>2.0</v>
      </c>
      <c r="G14" s="256">
        <v>1.0</v>
      </c>
      <c r="H14" s="256">
        <v>1.0</v>
      </c>
      <c r="I14" s="256">
        <v>2.0</v>
      </c>
      <c r="J14" s="256">
        <v>1.0</v>
      </c>
      <c r="K14" s="256">
        <v>1.0</v>
      </c>
      <c r="L14" s="256">
        <v>1.0</v>
      </c>
      <c r="M14" s="256">
        <v>2.0</v>
      </c>
    </row>
    <row r="15">
      <c r="A15" s="256">
        <v>5424.0</v>
      </c>
      <c r="B15" s="253" t="s">
        <v>480</v>
      </c>
      <c r="C15" s="253" t="s">
        <v>1335</v>
      </c>
      <c r="D15" s="253" t="s">
        <v>937</v>
      </c>
      <c r="E15" s="253" t="s">
        <v>1009</v>
      </c>
      <c r="F15" s="256">
        <v>1.0</v>
      </c>
      <c r="G15" s="256">
        <v>1.0</v>
      </c>
      <c r="H15" s="256">
        <v>0.0</v>
      </c>
      <c r="I15" s="256">
        <v>1.0</v>
      </c>
      <c r="J15" s="256">
        <v>1.0</v>
      </c>
      <c r="K15" s="256">
        <v>0.0</v>
      </c>
      <c r="L15" s="256">
        <v>1.0</v>
      </c>
      <c r="M15" s="256">
        <v>2.0</v>
      </c>
    </row>
    <row r="16">
      <c r="A16" s="256">
        <v>5316.0</v>
      </c>
      <c r="B16" s="253" t="s">
        <v>480</v>
      </c>
      <c r="C16" s="253" t="s">
        <v>1336</v>
      </c>
      <c r="D16" s="253" t="s">
        <v>1022</v>
      </c>
      <c r="E16" s="253" t="s">
        <v>983</v>
      </c>
      <c r="F16" s="256">
        <v>2.0</v>
      </c>
      <c r="G16" s="256">
        <v>3.0</v>
      </c>
      <c r="H16" s="256">
        <v>-1.0</v>
      </c>
      <c r="I16" s="256">
        <v>3.0</v>
      </c>
      <c r="J16" s="256">
        <v>4.0</v>
      </c>
      <c r="K16" s="256">
        <v>-1.0</v>
      </c>
      <c r="L16" s="256">
        <v>5.0</v>
      </c>
      <c r="M16" s="256">
        <v>6.0</v>
      </c>
    </row>
    <row r="17">
      <c r="A17" s="254">
        <v>4772.0</v>
      </c>
      <c r="B17" s="255" t="s">
        <v>480</v>
      </c>
      <c r="C17" s="255" t="s">
        <v>321</v>
      </c>
      <c r="D17" s="255" t="s">
        <v>931</v>
      </c>
      <c r="E17" s="255" t="s">
        <v>988</v>
      </c>
      <c r="F17" s="254">
        <v>8.0</v>
      </c>
      <c r="G17" s="254">
        <v>8.0</v>
      </c>
      <c r="H17" s="254">
        <v>0.0</v>
      </c>
      <c r="I17" s="254">
        <v>8.0</v>
      </c>
      <c r="J17" s="254">
        <v>8.0</v>
      </c>
      <c r="K17" s="254">
        <v>0.0</v>
      </c>
      <c r="L17" s="254">
        <v>27.0</v>
      </c>
      <c r="M17" s="254">
        <v>27.0</v>
      </c>
    </row>
    <row r="18">
      <c r="A18" s="254">
        <v>6565.0</v>
      </c>
      <c r="B18" s="255" t="s">
        <v>507</v>
      </c>
      <c r="C18" s="255" t="s">
        <v>1304</v>
      </c>
      <c r="D18" s="255" t="s">
        <v>512</v>
      </c>
      <c r="E18" s="255" t="s">
        <v>1026</v>
      </c>
      <c r="F18" s="254">
        <v>1.0</v>
      </c>
      <c r="G18" s="254">
        <v>2.0</v>
      </c>
      <c r="H18" s="254">
        <v>-1.0</v>
      </c>
      <c r="I18" s="254">
        <v>1.0</v>
      </c>
      <c r="J18" s="254">
        <v>2.0</v>
      </c>
      <c r="K18" s="254">
        <v>-1.0</v>
      </c>
      <c r="L18" s="254">
        <v>5.0</v>
      </c>
      <c r="M18" s="254">
        <v>5.0</v>
      </c>
    </row>
    <row r="19">
      <c r="A19" s="256">
        <v>4142.0</v>
      </c>
      <c r="B19" s="253" t="s">
        <v>492</v>
      </c>
      <c r="C19" s="253" t="s">
        <v>1337</v>
      </c>
      <c r="D19" s="253" t="s">
        <v>934</v>
      </c>
      <c r="E19" s="253" t="s">
        <v>988</v>
      </c>
      <c r="F19" s="256">
        <v>16.0</v>
      </c>
      <c r="G19" s="256">
        <v>15.0</v>
      </c>
      <c r="H19" s="256">
        <v>1.0</v>
      </c>
      <c r="I19" s="256">
        <v>16.0</v>
      </c>
      <c r="J19" s="256">
        <v>15.0</v>
      </c>
      <c r="K19" s="256">
        <v>1.0</v>
      </c>
      <c r="L19" s="256">
        <v>47.0</v>
      </c>
      <c r="M19" s="256">
        <v>47.0</v>
      </c>
    </row>
    <row r="20">
      <c r="A20" s="256">
        <v>1946.0</v>
      </c>
      <c r="B20" s="253" t="s">
        <v>477</v>
      </c>
      <c r="C20" s="253" t="s">
        <v>1338</v>
      </c>
      <c r="D20" s="253" t="s">
        <v>478</v>
      </c>
      <c r="E20" s="253" t="s">
        <v>975</v>
      </c>
      <c r="F20" s="256">
        <v>1.0</v>
      </c>
      <c r="G20" s="256">
        <v>1.0</v>
      </c>
      <c r="H20" s="256">
        <v>0.0</v>
      </c>
      <c r="I20" s="256">
        <v>1.0</v>
      </c>
      <c r="J20" s="256">
        <v>1.0</v>
      </c>
      <c r="K20" s="256">
        <v>0.0</v>
      </c>
      <c r="L20" s="256">
        <v>1.0</v>
      </c>
      <c r="M20" s="256">
        <v>1.0</v>
      </c>
    </row>
    <row r="21">
      <c r="A21" s="256">
        <v>4268.0</v>
      </c>
      <c r="B21" s="253" t="s">
        <v>507</v>
      </c>
      <c r="C21" s="253" t="s">
        <v>1256</v>
      </c>
      <c r="D21" s="253" t="s">
        <v>512</v>
      </c>
      <c r="E21" s="253" t="s">
        <v>973</v>
      </c>
      <c r="F21" s="256">
        <v>23.0</v>
      </c>
      <c r="G21" s="256">
        <v>23.0</v>
      </c>
      <c r="H21" s="256">
        <v>0.0</v>
      </c>
      <c r="I21" s="256">
        <v>23.0</v>
      </c>
      <c r="J21" s="256">
        <v>23.0</v>
      </c>
      <c r="K21" s="256">
        <v>0.0</v>
      </c>
      <c r="L21" s="256">
        <v>122.0</v>
      </c>
      <c r="M21" s="256">
        <v>131.0</v>
      </c>
    </row>
    <row r="22">
      <c r="A22" s="256">
        <v>4285.0</v>
      </c>
      <c r="B22" s="253" t="s">
        <v>492</v>
      </c>
      <c r="C22" s="253" t="s">
        <v>1339</v>
      </c>
      <c r="D22" s="253" t="s">
        <v>930</v>
      </c>
      <c r="E22" s="253" t="s">
        <v>1033</v>
      </c>
      <c r="F22" s="256">
        <v>8.0</v>
      </c>
      <c r="G22" s="256">
        <v>7.0</v>
      </c>
      <c r="H22" s="256">
        <v>1.0</v>
      </c>
      <c r="I22" s="256">
        <v>9.0</v>
      </c>
      <c r="J22" s="256">
        <v>8.0</v>
      </c>
      <c r="K22" s="256">
        <v>1.0</v>
      </c>
      <c r="L22" s="256">
        <v>18.0</v>
      </c>
      <c r="M22" s="256">
        <v>18.0</v>
      </c>
    </row>
    <row r="23">
      <c r="A23" s="256">
        <v>5719.0</v>
      </c>
      <c r="B23" s="253" t="s">
        <v>492</v>
      </c>
      <c r="C23" s="253" t="s">
        <v>713</v>
      </c>
      <c r="D23" s="253" t="s">
        <v>930</v>
      </c>
      <c r="E23" s="253" t="s">
        <v>973</v>
      </c>
      <c r="F23" s="256">
        <v>3.0</v>
      </c>
      <c r="G23" s="256">
        <v>4.0</v>
      </c>
      <c r="H23" s="256">
        <v>-1.0</v>
      </c>
      <c r="I23" s="256">
        <v>4.0</v>
      </c>
      <c r="J23" s="256">
        <v>5.0</v>
      </c>
      <c r="K23" s="256">
        <v>-1.0</v>
      </c>
      <c r="L23" s="256">
        <v>8.0</v>
      </c>
      <c r="M23" s="256">
        <v>10.0</v>
      </c>
    </row>
    <row r="24">
      <c r="A24" s="256">
        <v>761.0</v>
      </c>
      <c r="B24" s="253" t="s">
        <v>477</v>
      </c>
      <c r="C24" s="253" t="s">
        <v>994</v>
      </c>
      <c r="D24" s="253" t="s">
        <v>478</v>
      </c>
      <c r="E24" s="253" t="s">
        <v>973</v>
      </c>
      <c r="F24" s="256">
        <v>1.0</v>
      </c>
      <c r="G24" s="256">
        <v>1.0</v>
      </c>
      <c r="H24" s="256">
        <v>0.0</v>
      </c>
      <c r="I24" s="256">
        <v>1.0</v>
      </c>
      <c r="J24" s="256">
        <v>1.0</v>
      </c>
      <c r="K24" s="256">
        <v>0.0</v>
      </c>
      <c r="L24" s="256">
        <v>1.0</v>
      </c>
      <c r="M24" s="256">
        <v>1.0</v>
      </c>
    </row>
    <row r="25">
      <c r="A25" s="256">
        <v>4421.0</v>
      </c>
      <c r="B25" s="253" t="s">
        <v>480</v>
      </c>
      <c r="C25" s="253" t="s">
        <v>613</v>
      </c>
      <c r="D25" s="253" t="s">
        <v>931</v>
      </c>
      <c r="E25" s="253" t="s">
        <v>975</v>
      </c>
      <c r="F25" s="256">
        <v>5.0</v>
      </c>
      <c r="G25" s="256">
        <v>5.0</v>
      </c>
      <c r="H25" s="256">
        <v>0.0</v>
      </c>
      <c r="I25" s="256">
        <v>5.0</v>
      </c>
      <c r="J25" s="256">
        <v>5.0</v>
      </c>
      <c r="K25" s="256">
        <v>0.0</v>
      </c>
      <c r="L25" s="256">
        <v>12.0</v>
      </c>
      <c r="M25" s="256">
        <v>12.0</v>
      </c>
    </row>
    <row r="26">
      <c r="A26" s="256">
        <v>5795.0</v>
      </c>
      <c r="B26" s="253" t="s">
        <v>507</v>
      </c>
      <c r="C26" s="253" t="s">
        <v>1340</v>
      </c>
      <c r="D26" s="253" t="s">
        <v>512</v>
      </c>
      <c r="E26" s="253" t="s">
        <v>988</v>
      </c>
      <c r="F26" s="256">
        <v>12.0</v>
      </c>
      <c r="G26" s="256">
        <v>13.0</v>
      </c>
      <c r="H26" s="256">
        <v>-1.0</v>
      </c>
      <c r="I26" s="256">
        <v>11.0</v>
      </c>
      <c r="J26" s="256">
        <v>12.0</v>
      </c>
      <c r="K26" s="256">
        <v>-1.0</v>
      </c>
      <c r="L26" s="256">
        <v>40.0</v>
      </c>
      <c r="M26" s="256">
        <v>45.0</v>
      </c>
    </row>
    <row r="27">
      <c r="A27" s="256">
        <v>6231.0</v>
      </c>
      <c r="B27" s="253" t="s">
        <v>480</v>
      </c>
      <c r="C27" s="253" t="s">
        <v>1294</v>
      </c>
      <c r="D27" s="253" t="s">
        <v>931</v>
      </c>
      <c r="E27" s="253" t="s">
        <v>975</v>
      </c>
      <c r="F27" s="256">
        <v>6.0</v>
      </c>
      <c r="G27" s="256">
        <v>5.0</v>
      </c>
      <c r="H27" s="256">
        <v>1.0</v>
      </c>
      <c r="I27" s="256">
        <v>6.0</v>
      </c>
      <c r="J27" s="256">
        <v>5.0</v>
      </c>
      <c r="K27" s="256">
        <v>1.0</v>
      </c>
      <c r="L27" s="256">
        <v>10.0</v>
      </c>
      <c r="M27" s="256">
        <v>10.0</v>
      </c>
    </row>
    <row r="28">
      <c r="A28" s="256">
        <v>170.0</v>
      </c>
      <c r="B28" s="253" t="s">
        <v>492</v>
      </c>
      <c r="C28" s="253" t="s">
        <v>832</v>
      </c>
      <c r="D28" s="253" t="s">
        <v>930</v>
      </c>
      <c r="E28" s="253" t="s">
        <v>1026</v>
      </c>
      <c r="F28" s="256">
        <v>5.0</v>
      </c>
      <c r="G28" s="256">
        <v>5.0</v>
      </c>
      <c r="H28" s="256">
        <v>0.0</v>
      </c>
      <c r="I28" s="256">
        <v>6.0</v>
      </c>
      <c r="J28" s="256">
        <v>6.0</v>
      </c>
      <c r="K28" s="256">
        <v>0.0</v>
      </c>
      <c r="L28" s="256">
        <v>7.0</v>
      </c>
      <c r="M28" s="256">
        <v>8.0</v>
      </c>
    </row>
    <row r="29">
      <c r="A29" s="256">
        <v>694.0</v>
      </c>
      <c r="B29" s="253" t="s">
        <v>492</v>
      </c>
      <c r="C29" s="253" t="s">
        <v>1341</v>
      </c>
      <c r="D29" s="253" t="s">
        <v>563</v>
      </c>
      <c r="E29" s="253" t="s">
        <v>1342</v>
      </c>
      <c r="F29" s="256">
        <v>4.0</v>
      </c>
      <c r="G29" s="256">
        <v>3.0</v>
      </c>
      <c r="H29" s="256">
        <v>1.0</v>
      </c>
      <c r="I29" s="256">
        <v>4.0</v>
      </c>
      <c r="J29" s="256">
        <v>3.0</v>
      </c>
      <c r="K29" s="256">
        <v>1.0</v>
      </c>
      <c r="L29" s="256">
        <v>6.0</v>
      </c>
      <c r="M29" s="256">
        <v>6.0</v>
      </c>
    </row>
    <row r="30">
      <c r="A30" s="256">
        <v>5822.0</v>
      </c>
      <c r="B30" s="253" t="s">
        <v>477</v>
      </c>
      <c r="C30" s="253" t="s">
        <v>390</v>
      </c>
      <c r="D30" s="253" t="s">
        <v>478</v>
      </c>
      <c r="E30" s="253" t="s">
        <v>1009</v>
      </c>
      <c r="F30" s="256">
        <v>1.0</v>
      </c>
      <c r="G30" s="256">
        <v>1.0</v>
      </c>
      <c r="H30" s="256">
        <v>0.0</v>
      </c>
      <c r="I30" s="256">
        <v>1.0</v>
      </c>
      <c r="J30" s="256">
        <v>1.0</v>
      </c>
      <c r="K30" s="256">
        <v>0.0</v>
      </c>
      <c r="L30" s="256">
        <v>1.0</v>
      </c>
      <c r="M30" s="256">
        <v>1.0</v>
      </c>
    </row>
    <row r="31">
      <c r="A31" s="256">
        <v>5451.0</v>
      </c>
      <c r="B31" s="253" t="s">
        <v>492</v>
      </c>
      <c r="C31" s="253" t="s">
        <v>1343</v>
      </c>
      <c r="D31" s="253" t="s">
        <v>543</v>
      </c>
      <c r="E31" s="253" t="s">
        <v>1005</v>
      </c>
      <c r="F31" s="256">
        <v>13.0</v>
      </c>
      <c r="G31" s="256">
        <v>13.0</v>
      </c>
      <c r="H31" s="256">
        <v>0.0</v>
      </c>
      <c r="I31" s="256">
        <v>12.0</v>
      </c>
      <c r="J31" s="256">
        <v>12.0</v>
      </c>
      <c r="K31" s="256">
        <v>0.0</v>
      </c>
      <c r="L31" s="256">
        <v>36.0</v>
      </c>
      <c r="M31" s="256">
        <v>30.0</v>
      </c>
    </row>
    <row r="32">
      <c r="A32" s="256">
        <v>5067.0</v>
      </c>
      <c r="B32" s="253" t="s">
        <v>480</v>
      </c>
      <c r="C32" s="253" t="s">
        <v>1344</v>
      </c>
      <c r="D32" s="253" t="s">
        <v>521</v>
      </c>
      <c r="E32" s="253" t="s">
        <v>980</v>
      </c>
      <c r="F32" s="256">
        <v>11.0</v>
      </c>
      <c r="G32" s="256">
        <v>12.0</v>
      </c>
      <c r="H32" s="256">
        <v>-1.0</v>
      </c>
      <c r="I32" s="256">
        <v>10.0</v>
      </c>
      <c r="J32" s="256">
        <v>11.0</v>
      </c>
      <c r="K32" s="256">
        <v>-1.0</v>
      </c>
      <c r="L32" s="256">
        <v>23.0</v>
      </c>
      <c r="M32" s="256">
        <v>20.0</v>
      </c>
    </row>
    <row r="33">
      <c r="A33" s="256">
        <v>5823.0</v>
      </c>
      <c r="B33" s="253" t="s">
        <v>492</v>
      </c>
      <c r="C33" s="253" t="s">
        <v>324</v>
      </c>
      <c r="D33" s="253" t="s">
        <v>947</v>
      </c>
      <c r="E33" s="253" t="s">
        <v>1222</v>
      </c>
      <c r="F33" s="256">
        <v>14.0</v>
      </c>
      <c r="G33" s="256">
        <v>15.0</v>
      </c>
      <c r="H33" s="256">
        <v>-1.0</v>
      </c>
      <c r="I33" s="256">
        <v>13.0</v>
      </c>
      <c r="J33" s="256">
        <v>14.0</v>
      </c>
      <c r="K33" s="256">
        <v>-1.0</v>
      </c>
      <c r="L33" s="256">
        <v>39.0</v>
      </c>
      <c r="M33" s="256">
        <v>36.0</v>
      </c>
    </row>
    <row r="34">
      <c r="A34" s="256">
        <v>6001.0</v>
      </c>
      <c r="B34" s="253" t="s">
        <v>507</v>
      </c>
      <c r="C34" s="253" t="s">
        <v>997</v>
      </c>
      <c r="D34" s="253" t="s">
        <v>507</v>
      </c>
      <c r="E34" s="253" t="s">
        <v>998</v>
      </c>
      <c r="F34" s="256">
        <v>9.0</v>
      </c>
      <c r="G34" s="256">
        <v>8.0</v>
      </c>
      <c r="H34" s="256">
        <v>1.0</v>
      </c>
      <c r="I34" s="256">
        <v>9.0</v>
      </c>
      <c r="J34" s="256">
        <v>8.0</v>
      </c>
      <c r="K34" s="256">
        <v>1.0</v>
      </c>
      <c r="L34" s="256">
        <v>16.0</v>
      </c>
      <c r="M34" s="256">
        <v>16.0</v>
      </c>
    </row>
    <row r="35">
      <c r="A35" s="256">
        <v>2285.0</v>
      </c>
      <c r="B35" s="253" t="s">
        <v>480</v>
      </c>
      <c r="C35" s="253" t="s">
        <v>858</v>
      </c>
      <c r="D35" s="253" t="s">
        <v>481</v>
      </c>
      <c r="E35" s="253" t="s">
        <v>1026</v>
      </c>
      <c r="F35" s="256">
        <v>3.0</v>
      </c>
      <c r="G35" s="256">
        <v>3.0</v>
      </c>
      <c r="H35" s="256">
        <v>0.0</v>
      </c>
      <c r="I35" s="256">
        <v>3.0</v>
      </c>
      <c r="J35" s="256">
        <v>3.0</v>
      </c>
      <c r="K35" s="256">
        <v>0.0</v>
      </c>
      <c r="L35" s="256">
        <v>6.0</v>
      </c>
      <c r="M35" s="256">
        <v>6.0</v>
      </c>
    </row>
    <row r="36">
      <c r="A36" s="256">
        <v>2172.0</v>
      </c>
      <c r="B36" s="253" t="s">
        <v>492</v>
      </c>
      <c r="C36" s="253" t="s">
        <v>946</v>
      </c>
      <c r="D36" s="253" t="s">
        <v>543</v>
      </c>
      <c r="E36" s="253" t="s">
        <v>1033</v>
      </c>
      <c r="F36" s="256">
        <v>11.0</v>
      </c>
      <c r="G36" s="256">
        <v>12.0</v>
      </c>
      <c r="H36" s="256">
        <v>-1.0</v>
      </c>
      <c r="I36" s="256">
        <v>10.0</v>
      </c>
      <c r="J36" s="256">
        <v>11.0</v>
      </c>
      <c r="K36" s="256">
        <v>-1.0</v>
      </c>
      <c r="L36" s="256">
        <v>14.0</v>
      </c>
      <c r="M36" s="256">
        <v>10.0</v>
      </c>
    </row>
    <row r="37">
      <c r="A37" s="256">
        <v>1870.0</v>
      </c>
      <c r="B37" s="253" t="s">
        <v>492</v>
      </c>
      <c r="C37" s="253" t="s">
        <v>610</v>
      </c>
      <c r="D37" s="253" t="s">
        <v>492</v>
      </c>
      <c r="E37" s="253" t="s">
        <v>973</v>
      </c>
      <c r="F37" s="256">
        <v>20.0</v>
      </c>
      <c r="G37" s="256">
        <v>20.0</v>
      </c>
      <c r="H37" s="256">
        <v>0.0</v>
      </c>
      <c r="I37" s="256">
        <v>20.0</v>
      </c>
      <c r="J37" s="256">
        <v>20.0</v>
      </c>
      <c r="K37" s="256">
        <v>0.0</v>
      </c>
      <c r="L37" s="256">
        <v>78.0</v>
      </c>
      <c r="M37" s="256">
        <v>78.0</v>
      </c>
    </row>
    <row r="38">
      <c r="A38" s="256">
        <v>6175.0</v>
      </c>
      <c r="B38" s="253" t="s">
        <v>492</v>
      </c>
      <c r="C38" s="253" t="s">
        <v>1345</v>
      </c>
      <c r="D38" s="253" t="s">
        <v>930</v>
      </c>
      <c r="E38" s="253" t="s">
        <v>1342</v>
      </c>
      <c r="F38" s="256">
        <v>3.0</v>
      </c>
      <c r="G38" s="256">
        <v>2.0</v>
      </c>
      <c r="H38" s="256">
        <v>1.0</v>
      </c>
      <c r="I38" s="256">
        <v>4.0</v>
      </c>
      <c r="J38" s="256">
        <v>3.0</v>
      </c>
      <c r="K38" s="256">
        <v>1.0</v>
      </c>
      <c r="L38" s="256">
        <v>6.0</v>
      </c>
      <c r="M38" s="256">
        <v>8.0</v>
      </c>
    </row>
    <row r="39">
      <c r="A39" s="256">
        <v>2719.0</v>
      </c>
      <c r="B39" s="253" t="s">
        <v>507</v>
      </c>
      <c r="C39" s="253" t="s">
        <v>1346</v>
      </c>
      <c r="D39" s="253" t="s">
        <v>507</v>
      </c>
      <c r="E39" s="253" t="s">
        <v>1009</v>
      </c>
      <c r="F39" s="256">
        <v>13.0</v>
      </c>
      <c r="G39" s="256">
        <v>14.0</v>
      </c>
      <c r="H39" s="256">
        <v>-1.0</v>
      </c>
      <c r="I39" s="256">
        <v>13.0</v>
      </c>
      <c r="J39" s="256">
        <v>14.0</v>
      </c>
      <c r="K39" s="256">
        <v>-1.0</v>
      </c>
      <c r="L39" s="256">
        <v>11.0</v>
      </c>
      <c r="M39" s="256">
        <v>11.0</v>
      </c>
    </row>
    <row r="40">
      <c r="A40" s="254">
        <v>6496.0</v>
      </c>
      <c r="B40" s="255" t="s">
        <v>480</v>
      </c>
      <c r="C40" s="255" t="s">
        <v>241</v>
      </c>
      <c r="D40" s="255" t="s">
        <v>931</v>
      </c>
      <c r="E40" s="255" t="s">
        <v>991</v>
      </c>
      <c r="F40" s="254">
        <v>2.0</v>
      </c>
      <c r="G40" s="254">
        <v>1.0</v>
      </c>
      <c r="H40" s="254">
        <v>1.0</v>
      </c>
      <c r="I40" s="254">
        <v>2.0</v>
      </c>
      <c r="J40" s="254">
        <v>1.0</v>
      </c>
      <c r="K40" s="254">
        <v>1.0</v>
      </c>
      <c r="L40" s="254">
        <v>2.0</v>
      </c>
      <c r="M40" s="254">
        <v>2.0</v>
      </c>
    </row>
    <row r="41">
      <c r="A41" s="256">
        <v>5835.0</v>
      </c>
      <c r="B41" s="253" t="s">
        <v>480</v>
      </c>
      <c r="C41" s="253" t="s">
        <v>632</v>
      </c>
      <c r="D41" s="253" t="s">
        <v>937</v>
      </c>
      <c r="E41" s="253" t="s">
        <v>998</v>
      </c>
      <c r="F41" s="256">
        <v>11.0</v>
      </c>
      <c r="G41" s="256">
        <v>10.0</v>
      </c>
      <c r="H41" s="256">
        <v>1.0</v>
      </c>
      <c r="I41" s="256">
        <v>12.0</v>
      </c>
      <c r="J41" s="256">
        <v>11.0</v>
      </c>
      <c r="K41" s="256">
        <v>1.0</v>
      </c>
      <c r="L41" s="256">
        <v>36.0</v>
      </c>
      <c r="M41" s="256">
        <v>40.0</v>
      </c>
    </row>
    <row r="42">
      <c r="A42" s="256">
        <v>5674.0</v>
      </c>
      <c r="B42" s="253" t="s">
        <v>492</v>
      </c>
      <c r="C42" s="253" t="s">
        <v>185</v>
      </c>
      <c r="D42" s="253" t="s">
        <v>492</v>
      </c>
      <c r="E42" s="253" t="s">
        <v>1000</v>
      </c>
      <c r="F42" s="256">
        <v>3.0</v>
      </c>
      <c r="G42" s="256">
        <v>4.0</v>
      </c>
      <c r="H42" s="256">
        <v>-1.0</v>
      </c>
      <c r="I42" s="256">
        <v>3.0</v>
      </c>
      <c r="J42" s="256">
        <v>4.0</v>
      </c>
      <c r="K42" s="256">
        <v>-1.0</v>
      </c>
      <c r="L42" s="256">
        <v>6.0</v>
      </c>
      <c r="M42" s="256">
        <v>5.0</v>
      </c>
    </row>
    <row r="43">
      <c r="A43" s="256">
        <v>2120.0</v>
      </c>
      <c r="B43" s="253" t="s">
        <v>480</v>
      </c>
      <c r="C43" s="253" t="s">
        <v>192</v>
      </c>
      <c r="D43" s="253" t="s">
        <v>481</v>
      </c>
      <c r="E43" s="253" t="s">
        <v>973</v>
      </c>
      <c r="F43" s="256">
        <v>14.0</v>
      </c>
      <c r="G43" s="256">
        <v>13.0</v>
      </c>
      <c r="H43" s="256">
        <v>1.0</v>
      </c>
      <c r="I43" s="256">
        <v>14.0</v>
      </c>
      <c r="J43" s="256">
        <v>13.0</v>
      </c>
      <c r="K43" s="256">
        <v>1.0</v>
      </c>
      <c r="L43" s="256">
        <v>48.0</v>
      </c>
      <c r="M43" s="256">
        <v>48.0</v>
      </c>
    </row>
    <row r="44">
      <c r="A44" s="256">
        <v>5332.0</v>
      </c>
      <c r="B44" s="253" t="s">
        <v>480</v>
      </c>
      <c r="C44" s="253" t="s">
        <v>1347</v>
      </c>
      <c r="D44" s="253" t="s">
        <v>931</v>
      </c>
      <c r="E44" s="253" t="s">
        <v>1222</v>
      </c>
      <c r="F44" s="256">
        <v>8.0</v>
      </c>
      <c r="G44" s="256">
        <v>8.0</v>
      </c>
      <c r="H44" s="256">
        <v>0.0</v>
      </c>
      <c r="I44" s="256">
        <v>8.0</v>
      </c>
      <c r="J44" s="256">
        <v>8.0</v>
      </c>
      <c r="K44" s="256">
        <v>0.0</v>
      </c>
      <c r="L44" s="256">
        <v>32.0</v>
      </c>
      <c r="M44" s="256">
        <v>32.0</v>
      </c>
    </row>
    <row r="45">
      <c r="A45" s="254">
        <v>6191.0</v>
      </c>
      <c r="B45" s="255" t="s">
        <v>492</v>
      </c>
      <c r="C45" s="255" t="s">
        <v>288</v>
      </c>
      <c r="D45" s="255" t="s">
        <v>930</v>
      </c>
      <c r="E45" s="255" t="s">
        <v>983</v>
      </c>
      <c r="F45" s="254">
        <v>1.0</v>
      </c>
      <c r="G45" s="254">
        <v>1.0</v>
      </c>
      <c r="H45" s="254">
        <v>0.0</v>
      </c>
      <c r="I45" s="254">
        <v>1.0</v>
      </c>
      <c r="J45" s="254">
        <v>1.0</v>
      </c>
      <c r="K45" s="254">
        <v>0.0</v>
      </c>
      <c r="L45" s="254">
        <v>1.0</v>
      </c>
      <c r="M45" s="254">
        <v>1.0</v>
      </c>
    </row>
    <row r="46">
      <c r="A46" s="256">
        <v>6203.0</v>
      </c>
      <c r="B46" s="253" t="s">
        <v>492</v>
      </c>
      <c r="C46" s="253" t="s">
        <v>1293</v>
      </c>
      <c r="D46" s="253" t="s">
        <v>930</v>
      </c>
      <c r="E46" s="253" t="s">
        <v>1222</v>
      </c>
      <c r="F46" s="256">
        <v>1.0</v>
      </c>
      <c r="G46" s="256">
        <v>2.0</v>
      </c>
      <c r="H46" s="256">
        <v>-1.0</v>
      </c>
      <c r="I46" s="256">
        <v>1.0</v>
      </c>
      <c r="J46" s="256">
        <v>2.0</v>
      </c>
      <c r="K46" s="256">
        <v>-1.0</v>
      </c>
      <c r="L46" s="256">
        <v>3.0</v>
      </c>
      <c r="M46" s="256">
        <v>3.0</v>
      </c>
    </row>
    <row r="47">
      <c r="A47" s="256">
        <v>4887.0</v>
      </c>
      <c r="B47" s="253" t="s">
        <v>480</v>
      </c>
      <c r="C47" s="253" t="s">
        <v>606</v>
      </c>
      <c r="D47" s="253" t="s">
        <v>938</v>
      </c>
      <c r="E47" s="253" t="s">
        <v>972</v>
      </c>
      <c r="F47" s="256">
        <v>7.0</v>
      </c>
      <c r="G47" s="256">
        <v>8.0</v>
      </c>
      <c r="H47" s="256">
        <v>-1.0</v>
      </c>
      <c r="I47" s="256">
        <v>7.0</v>
      </c>
      <c r="J47" s="256">
        <v>8.0</v>
      </c>
      <c r="K47" s="256">
        <v>-1.0</v>
      </c>
      <c r="L47" s="256">
        <v>25.0</v>
      </c>
      <c r="M47" s="256">
        <v>26.0</v>
      </c>
    </row>
    <row r="48">
      <c r="A48" s="256">
        <v>441.0</v>
      </c>
      <c r="B48" s="253" t="s">
        <v>507</v>
      </c>
      <c r="C48" s="253" t="s">
        <v>680</v>
      </c>
      <c r="D48" s="253" t="s">
        <v>512</v>
      </c>
      <c r="E48" s="253" t="s">
        <v>988</v>
      </c>
      <c r="F48" s="256">
        <v>12.0</v>
      </c>
      <c r="G48" s="256">
        <v>9.0</v>
      </c>
      <c r="H48" s="256">
        <v>3.0</v>
      </c>
      <c r="I48" s="256">
        <v>11.0</v>
      </c>
      <c r="J48" s="256">
        <v>8.0</v>
      </c>
      <c r="K48" s="256">
        <v>3.0</v>
      </c>
      <c r="L48" s="256">
        <v>52.0</v>
      </c>
      <c r="M48" s="256">
        <v>45.0</v>
      </c>
    </row>
    <row r="49">
      <c r="A49" s="256">
        <v>6409.0</v>
      </c>
      <c r="B49" s="253" t="s">
        <v>507</v>
      </c>
      <c r="C49" s="253" t="s">
        <v>745</v>
      </c>
      <c r="D49" s="253" t="s">
        <v>512</v>
      </c>
      <c r="E49" s="253" t="s">
        <v>1033</v>
      </c>
      <c r="F49" s="256">
        <v>15.0</v>
      </c>
      <c r="G49" s="256">
        <v>16.0</v>
      </c>
      <c r="H49" s="256">
        <v>-1.0</v>
      </c>
      <c r="I49" s="256">
        <v>15.0</v>
      </c>
      <c r="J49" s="256">
        <v>16.0</v>
      </c>
      <c r="K49" s="256">
        <v>-1.0</v>
      </c>
      <c r="L49" s="256">
        <v>61.0</v>
      </c>
      <c r="M49" s="256">
        <v>60.0</v>
      </c>
    </row>
    <row r="50">
      <c r="A50" s="256">
        <v>2818.0</v>
      </c>
      <c r="B50" s="253" t="s">
        <v>492</v>
      </c>
      <c r="C50" s="253" t="s">
        <v>1254</v>
      </c>
      <c r="D50" s="253" t="s">
        <v>930</v>
      </c>
      <c r="E50" s="253" t="s">
        <v>991</v>
      </c>
      <c r="F50" s="256">
        <v>9.0</v>
      </c>
      <c r="G50" s="256">
        <v>10.0</v>
      </c>
      <c r="H50" s="256">
        <v>-1.0</v>
      </c>
      <c r="I50" s="256">
        <v>10.0</v>
      </c>
      <c r="J50" s="256">
        <v>11.0</v>
      </c>
      <c r="K50" s="256">
        <v>-1.0</v>
      </c>
      <c r="L50" s="256">
        <v>9.0</v>
      </c>
      <c r="M50" s="256">
        <v>10.0</v>
      </c>
    </row>
    <row r="51">
      <c r="A51" s="256">
        <v>531.0</v>
      </c>
      <c r="B51" s="253" t="s">
        <v>507</v>
      </c>
      <c r="C51" s="253" t="s">
        <v>958</v>
      </c>
      <c r="D51" s="253" t="s">
        <v>507</v>
      </c>
      <c r="E51" s="253" t="s">
        <v>1005</v>
      </c>
      <c r="F51" s="256">
        <v>30.0</v>
      </c>
      <c r="G51" s="256">
        <v>30.0</v>
      </c>
      <c r="H51" s="256">
        <v>0.0</v>
      </c>
      <c r="I51" s="256">
        <v>30.0</v>
      </c>
      <c r="J51" s="256">
        <v>30.0</v>
      </c>
      <c r="K51" s="256">
        <v>0.0</v>
      </c>
      <c r="L51" s="256">
        <v>271.0</v>
      </c>
      <c r="M51" s="256">
        <v>274.0</v>
      </c>
    </row>
    <row r="52">
      <c r="A52" s="256">
        <v>4491.0</v>
      </c>
      <c r="B52" s="253" t="s">
        <v>477</v>
      </c>
      <c r="C52" s="253" t="s">
        <v>1261</v>
      </c>
      <c r="D52" s="253" t="s">
        <v>478</v>
      </c>
      <c r="E52" s="253" t="s">
        <v>983</v>
      </c>
      <c r="F52" s="256">
        <v>1.0</v>
      </c>
      <c r="G52" s="256">
        <v>1.0</v>
      </c>
      <c r="H52" s="256">
        <v>0.0</v>
      </c>
      <c r="I52" s="256">
        <v>1.0</v>
      </c>
      <c r="J52" s="256">
        <v>1.0</v>
      </c>
      <c r="K52" s="256">
        <v>0.0</v>
      </c>
      <c r="L52" s="256">
        <v>1.0</v>
      </c>
      <c r="M52" s="256">
        <v>1.0</v>
      </c>
    </row>
    <row r="53">
      <c r="A53" s="256">
        <v>2104.0</v>
      </c>
      <c r="B53" s="253" t="s">
        <v>480</v>
      </c>
      <c r="C53" s="253" t="s">
        <v>1348</v>
      </c>
      <c r="D53" s="253" t="s">
        <v>938</v>
      </c>
      <c r="E53" s="253" t="s">
        <v>1222</v>
      </c>
      <c r="F53" s="256">
        <v>3.0</v>
      </c>
      <c r="G53" s="256">
        <v>3.0</v>
      </c>
      <c r="H53" s="256">
        <v>0.0</v>
      </c>
      <c r="I53" s="256">
        <v>3.0</v>
      </c>
      <c r="J53" s="256">
        <v>3.0</v>
      </c>
      <c r="K53" s="256">
        <v>0.0</v>
      </c>
      <c r="L53" s="256">
        <v>4.0</v>
      </c>
      <c r="M53" s="256">
        <v>4.0</v>
      </c>
    </row>
    <row r="54">
      <c r="A54" s="256">
        <v>316.0</v>
      </c>
      <c r="B54" s="253" t="s">
        <v>477</v>
      </c>
      <c r="C54" s="253" t="s">
        <v>1349</v>
      </c>
      <c r="D54" s="253" t="s">
        <v>478</v>
      </c>
      <c r="E54" s="253" t="s">
        <v>1222</v>
      </c>
      <c r="F54" s="256">
        <v>3.0</v>
      </c>
      <c r="G54" s="256">
        <v>1.0</v>
      </c>
      <c r="H54" s="256">
        <v>2.0</v>
      </c>
      <c r="I54" s="256">
        <v>3.0</v>
      </c>
      <c r="J54" s="256">
        <v>1.0</v>
      </c>
      <c r="K54" s="256">
        <v>2.0</v>
      </c>
      <c r="L54" s="256">
        <v>5.0</v>
      </c>
      <c r="M54" s="256">
        <v>5.0</v>
      </c>
    </row>
    <row r="55">
      <c r="A55" s="256">
        <v>2737.0</v>
      </c>
      <c r="B55" s="253" t="s">
        <v>480</v>
      </c>
      <c r="C55" s="253" t="s">
        <v>1350</v>
      </c>
      <c r="D55" s="253" t="s">
        <v>481</v>
      </c>
      <c r="E55" s="253" t="s">
        <v>1225</v>
      </c>
      <c r="F55" s="256">
        <v>1.0</v>
      </c>
      <c r="G55" s="256">
        <v>1.0</v>
      </c>
      <c r="H55" s="256">
        <v>0.0</v>
      </c>
      <c r="I55" s="256">
        <v>1.0</v>
      </c>
      <c r="J55" s="256">
        <v>1.0</v>
      </c>
      <c r="K55" s="256">
        <v>0.0</v>
      </c>
      <c r="L55" s="256">
        <v>1.0</v>
      </c>
      <c r="M55" s="256">
        <v>1.0</v>
      </c>
    </row>
    <row r="56">
      <c r="A56" s="256">
        <v>6202.0</v>
      </c>
      <c r="B56" s="253" t="s">
        <v>480</v>
      </c>
      <c r="C56" s="253" t="s">
        <v>807</v>
      </c>
      <c r="D56" s="253" t="s">
        <v>481</v>
      </c>
      <c r="E56" s="253" t="s">
        <v>1009</v>
      </c>
      <c r="F56" s="256">
        <v>6.0</v>
      </c>
      <c r="G56" s="256">
        <v>6.0</v>
      </c>
      <c r="H56" s="256">
        <v>0.0</v>
      </c>
      <c r="I56" s="256">
        <v>6.0</v>
      </c>
      <c r="J56" s="256">
        <v>6.0</v>
      </c>
      <c r="K56" s="256">
        <v>0.0</v>
      </c>
      <c r="L56" s="256">
        <v>22.0</v>
      </c>
      <c r="M56" s="256">
        <v>22.0</v>
      </c>
    </row>
    <row r="57">
      <c r="A57" s="256">
        <v>6242.0</v>
      </c>
      <c r="B57" s="253" t="s">
        <v>507</v>
      </c>
      <c r="C57" s="253" t="s">
        <v>1351</v>
      </c>
      <c r="D57" s="253" t="s">
        <v>507</v>
      </c>
      <c r="E57" s="253" t="s">
        <v>1342</v>
      </c>
      <c r="F57" s="256">
        <v>1.0</v>
      </c>
      <c r="G57" s="256">
        <v>1.0</v>
      </c>
      <c r="H57" s="256">
        <v>0.0</v>
      </c>
      <c r="I57" s="256">
        <v>1.0</v>
      </c>
      <c r="J57" s="256">
        <v>1.0</v>
      </c>
      <c r="K57" s="256">
        <v>0.0</v>
      </c>
      <c r="L57" s="256">
        <v>1.0</v>
      </c>
      <c r="M57" s="256">
        <v>1.0</v>
      </c>
    </row>
    <row r="58">
      <c r="A58" s="256">
        <v>5847.0</v>
      </c>
      <c r="B58" s="253" t="s">
        <v>480</v>
      </c>
      <c r="C58" s="253" t="s">
        <v>833</v>
      </c>
      <c r="D58" s="253" t="s">
        <v>481</v>
      </c>
      <c r="E58" s="253" t="s">
        <v>993</v>
      </c>
      <c r="F58" s="256">
        <v>9.0</v>
      </c>
      <c r="G58" s="256">
        <v>9.0</v>
      </c>
      <c r="H58" s="256">
        <v>0.0</v>
      </c>
      <c r="I58" s="256">
        <v>9.0</v>
      </c>
      <c r="J58" s="256">
        <v>9.0</v>
      </c>
      <c r="K58" s="256">
        <v>0.0</v>
      </c>
      <c r="L58" s="256">
        <v>21.0</v>
      </c>
      <c r="M58" s="256">
        <v>21.0</v>
      </c>
    </row>
    <row r="59">
      <c r="A59" s="256">
        <v>252.0</v>
      </c>
      <c r="B59" s="253" t="s">
        <v>480</v>
      </c>
      <c r="C59" s="253" t="s">
        <v>358</v>
      </c>
      <c r="D59" s="253" t="s">
        <v>931</v>
      </c>
      <c r="E59" s="253" t="s">
        <v>1033</v>
      </c>
      <c r="F59" s="256">
        <v>11.0</v>
      </c>
      <c r="G59" s="256">
        <v>10.0</v>
      </c>
      <c r="H59" s="256">
        <v>1.0</v>
      </c>
      <c r="I59" s="256">
        <v>11.0</v>
      </c>
      <c r="J59" s="256">
        <v>10.0</v>
      </c>
      <c r="K59" s="256">
        <v>1.0</v>
      </c>
      <c r="L59" s="256">
        <v>24.0</v>
      </c>
      <c r="M59" s="256">
        <v>24.0</v>
      </c>
    </row>
    <row r="60">
      <c r="A60" s="256">
        <v>2083.0</v>
      </c>
      <c r="B60" s="253" t="s">
        <v>480</v>
      </c>
      <c r="C60" s="253" t="s">
        <v>1352</v>
      </c>
      <c r="D60" s="253" t="s">
        <v>937</v>
      </c>
      <c r="E60" s="253" t="s">
        <v>1026</v>
      </c>
      <c r="F60" s="256">
        <v>4.0</v>
      </c>
      <c r="G60" s="256">
        <v>3.0</v>
      </c>
      <c r="H60" s="256">
        <v>1.0</v>
      </c>
      <c r="I60" s="256">
        <v>5.0</v>
      </c>
      <c r="J60" s="256">
        <v>4.0</v>
      </c>
      <c r="K60" s="256">
        <v>1.0</v>
      </c>
      <c r="L60" s="256">
        <v>3.0</v>
      </c>
      <c r="M60" s="256">
        <v>4.0</v>
      </c>
    </row>
    <row r="61">
      <c r="A61" s="256">
        <v>5838.0</v>
      </c>
      <c r="B61" s="253" t="s">
        <v>480</v>
      </c>
      <c r="C61" s="253" t="s">
        <v>878</v>
      </c>
      <c r="D61" s="253" t="s">
        <v>944</v>
      </c>
      <c r="E61" s="253" t="s">
        <v>1225</v>
      </c>
      <c r="F61" s="256">
        <v>6.0</v>
      </c>
      <c r="G61" s="256">
        <v>5.0</v>
      </c>
      <c r="H61" s="256">
        <v>1.0</v>
      </c>
      <c r="I61" s="256">
        <v>7.0</v>
      </c>
      <c r="J61" s="256">
        <v>6.0</v>
      </c>
      <c r="K61" s="256">
        <v>1.0</v>
      </c>
      <c r="L61" s="256">
        <v>5.0</v>
      </c>
      <c r="M61" s="256">
        <v>6.0</v>
      </c>
    </row>
    <row r="62">
      <c r="A62" s="256">
        <v>6217.0</v>
      </c>
      <c r="B62" s="253" t="s">
        <v>480</v>
      </c>
      <c r="C62" s="253" t="s">
        <v>194</v>
      </c>
      <c r="D62" s="253" t="s">
        <v>481</v>
      </c>
      <c r="E62" s="253" t="s">
        <v>973</v>
      </c>
      <c r="F62" s="256">
        <v>3.0</v>
      </c>
      <c r="G62" s="256">
        <v>4.0</v>
      </c>
      <c r="H62" s="256">
        <v>-1.0</v>
      </c>
      <c r="I62" s="256">
        <v>3.0</v>
      </c>
      <c r="J62" s="256">
        <v>4.0</v>
      </c>
      <c r="K62" s="256">
        <v>-1.0</v>
      </c>
      <c r="L62" s="256">
        <v>6.0</v>
      </c>
      <c r="M62" s="256">
        <v>6.0</v>
      </c>
    </row>
    <row r="63">
      <c r="A63" s="256">
        <v>5869.0</v>
      </c>
      <c r="B63" s="253" t="s">
        <v>492</v>
      </c>
      <c r="C63" s="253" t="s">
        <v>1353</v>
      </c>
      <c r="D63" s="253" t="s">
        <v>930</v>
      </c>
      <c r="E63" s="253" t="s">
        <v>998</v>
      </c>
      <c r="F63" s="256">
        <v>6.0</v>
      </c>
      <c r="G63" s="256">
        <v>6.0</v>
      </c>
      <c r="H63" s="256">
        <v>0.0</v>
      </c>
      <c r="I63" s="256">
        <v>6.0</v>
      </c>
      <c r="J63" s="256">
        <v>6.0</v>
      </c>
      <c r="K63" s="256">
        <v>0.0</v>
      </c>
      <c r="L63" s="256">
        <v>5.0</v>
      </c>
      <c r="M63" s="256">
        <v>6.0</v>
      </c>
    </row>
    <row r="64">
      <c r="A64" s="254">
        <v>2405.0</v>
      </c>
      <c r="B64" s="255" t="s">
        <v>480</v>
      </c>
      <c r="C64" s="255" t="s">
        <v>1354</v>
      </c>
      <c r="D64" s="255" t="s">
        <v>481</v>
      </c>
      <c r="E64" s="255" t="s">
        <v>1355</v>
      </c>
      <c r="F64" s="254">
        <v>8.0</v>
      </c>
      <c r="G64" s="254">
        <v>7.0</v>
      </c>
      <c r="H64" s="254">
        <v>1.0</v>
      </c>
      <c r="I64" s="254">
        <v>8.0</v>
      </c>
      <c r="J64" s="254">
        <v>7.0</v>
      </c>
      <c r="K64" s="254">
        <v>1.0</v>
      </c>
      <c r="L64" s="254">
        <v>19.0</v>
      </c>
      <c r="M64" s="254">
        <v>19.0</v>
      </c>
    </row>
    <row r="65">
      <c r="A65" s="256">
        <v>5304.0</v>
      </c>
      <c r="B65" s="253" t="s">
        <v>477</v>
      </c>
      <c r="C65" s="253" t="s">
        <v>1356</v>
      </c>
      <c r="D65" s="253" t="s">
        <v>478</v>
      </c>
      <c r="E65" s="253" t="s">
        <v>988</v>
      </c>
      <c r="F65" s="256">
        <v>1.0</v>
      </c>
      <c r="G65" s="256">
        <v>1.0</v>
      </c>
      <c r="H65" s="256">
        <v>0.0</v>
      </c>
      <c r="I65" s="256">
        <v>1.0</v>
      </c>
      <c r="J65" s="256">
        <v>1.0</v>
      </c>
      <c r="K65" s="256">
        <v>0.0</v>
      </c>
      <c r="L65" s="256">
        <v>1.0</v>
      </c>
      <c r="M65" s="256">
        <v>1.0</v>
      </c>
    </row>
    <row r="66">
      <c r="A66" s="256">
        <v>5798.0</v>
      </c>
      <c r="B66" s="253" t="s">
        <v>492</v>
      </c>
      <c r="C66" s="253" t="s">
        <v>1283</v>
      </c>
      <c r="D66" s="253" t="s">
        <v>930</v>
      </c>
      <c r="E66" s="253" t="s">
        <v>1355</v>
      </c>
      <c r="F66" s="256">
        <v>4.0</v>
      </c>
      <c r="G66" s="256">
        <v>4.0</v>
      </c>
      <c r="H66" s="256">
        <v>0.0</v>
      </c>
      <c r="I66" s="256">
        <v>4.0</v>
      </c>
      <c r="J66" s="256">
        <v>4.0</v>
      </c>
      <c r="K66" s="256">
        <v>0.0</v>
      </c>
      <c r="L66" s="256">
        <v>6.0</v>
      </c>
      <c r="M66" s="256">
        <v>7.0</v>
      </c>
    </row>
    <row r="67">
      <c r="A67" s="256">
        <v>6219.0</v>
      </c>
      <c r="B67" s="253" t="s">
        <v>492</v>
      </c>
      <c r="C67" s="253" t="s">
        <v>1011</v>
      </c>
      <c r="D67" s="253" t="s">
        <v>930</v>
      </c>
      <c r="E67" s="253" t="s">
        <v>1005</v>
      </c>
      <c r="F67" s="256">
        <v>5.0</v>
      </c>
      <c r="G67" s="256">
        <v>6.0</v>
      </c>
      <c r="H67" s="256">
        <v>-1.0</v>
      </c>
      <c r="I67" s="256">
        <v>6.0</v>
      </c>
      <c r="J67" s="256">
        <v>7.0</v>
      </c>
      <c r="K67" s="256">
        <v>-1.0</v>
      </c>
      <c r="L67" s="256">
        <v>12.0</v>
      </c>
      <c r="M67" s="256">
        <v>14.0</v>
      </c>
    </row>
    <row r="68">
      <c r="A68" s="256">
        <v>367.0</v>
      </c>
      <c r="B68" s="253" t="s">
        <v>492</v>
      </c>
      <c r="C68" s="253" t="s">
        <v>943</v>
      </c>
      <c r="D68" s="253" t="s">
        <v>934</v>
      </c>
      <c r="E68" s="253" t="s">
        <v>1033</v>
      </c>
      <c r="F68" s="256">
        <v>15.0</v>
      </c>
      <c r="G68" s="256">
        <v>14.0</v>
      </c>
      <c r="H68" s="256">
        <v>1.0</v>
      </c>
      <c r="I68" s="256">
        <v>15.0</v>
      </c>
      <c r="J68" s="256">
        <v>14.0</v>
      </c>
      <c r="K68" s="256">
        <v>1.0</v>
      </c>
      <c r="L68" s="256">
        <v>39.0</v>
      </c>
      <c r="M68" s="256">
        <v>39.0</v>
      </c>
    </row>
    <row r="69">
      <c r="A69" s="256">
        <v>505.0</v>
      </c>
      <c r="B69" s="253" t="s">
        <v>507</v>
      </c>
      <c r="C69" s="253" t="s">
        <v>1012</v>
      </c>
      <c r="D69" s="253" t="s">
        <v>507</v>
      </c>
      <c r="E69" s="253" t="s">
        <v>983</v>
      </c>
      <c r="F69" s="256">
        <v>8.0</v>
      </c>
      <c r="G69" s="256">
        <v>7.0</v>
      </c>
      <c r="H69" s="256">
        <v>1.0</v>
      </c>
      <c r="I69" s="256">
        <v>8.0</v>
      </c>
      <c r="J69" s="256">
        <v>7.0</v>
      </c>
      <c r="K69" s="256">
        <v>1.0</v>
      </c>
      <c r="L69" s="256">
        <v>8.0</v>
      </c>
      <c r="M69" s="256">
        <v>8.0</v>
      </c>
    </row>
    <row r="70">
      <c r="A70" s="256">
        <v>5992.0</v>
      </c>
      <c r="B70" s="253" t="s">
        <v>492</v>
      </c>
      <c r="C70" s="253" t="s">
        <v>1013</v>
      </c>
      <c r="D70" s="253" t="s">
        <v>934</v>
      </c>
      <c r="E70" s="253" t="s">
        <v>1225</v>
      </c>
      <c r="F70" s="256">
        <v>1.0</v>
      </c>
      <c r="G70" s="256">
        <v>1.0</v>
      </c>
      <c r="H70" s="256">
        <v>0.0</v>
      </c>
      <c r="I70" s="256">
        <v>1.0</v>
      </c>
      <c r="J70" s="256">
        <v>1.0</v>
      </c>
      <c r="K70" s="256">
        <v>0.0</v>
      </c>
      <c r="L70" s="256">
        <v>1.0</v>
      </c>
      <c r="M70" s="256">
        <v>1.0</v>
      </c>
    </row>
    <row r="71">
      <c r="A71" s="256">
        <v>6444.0</v>
      </c>
      <c r="B71" s="253" t="s">
        <v>480</v>
      </c>
      <c r="C71" s="253" t="s">
        <v>1014</v>
      </c>
      <c r="D71" s="253" t="s">
        <v>481</v>
      </c>
      <c r="E71" s="253" t="s">
        <v>980</v>
      </c>
      <c r="F71" s="256">
        <v>1.0</v>
      </c>
      <c r="G71" s="256">
        <v>1.0</v>
      </c>
      <c r="H71" s="256">
        <v>0.0</v>
      </c>
      <c r="I71" s="256">
        <v>1.0</v>
      </c>
      <c r="J71" s="256">
        <v>1.0</v>
      </c>
      <c r="K71" s="256">
        <v>0.0</v>
      </c>
      <c r="L71" s="256">
        <v>1.0</v>
      </c>
      <c r="M71" s="256">
        <v>1.0</v>
      </c>
    </row>
    <row r="72">
      <c r="A72" s="256">
        <v>2192.0</v>
      </c>
      <c r="B72" s="253" t="s">
        <v>480</v>
      </c>
      <c r="C72" s="253" t="s">
        <v>1248</v>
      </c>
      <c r="D72" s="253" t="s">
        <v>481</v>
      </c>
      <c r="E72" s="253" t="s">
        <v>1009</v>
      </c>
      <c r="F72" s="256">
        <v>2.0</v>
      </c>
      <c r="G72" s="256">
        <v>3.0</v>
      </c>
      <c r="H72" s="256">
        <v>-1.0</v>
      </c>
      <c r="I72" s="256">
        <v>2.0</v>
      </c>
      <c r="J72" s="256">
        <v>3.0</v>
      </c>
      <c r="K72" s="256">
        <v>-1.0</v>
      </c>
      <c r="L72" s="256">
        <v>3.0</v>
      </c>
      <c r="M72" s="256">
        <v>3.0</v>
      </c>
    </row>
    <row r="73">
      <c r="A73" s="256">
        <v>6406.0</v>
      </c>
      <c r="B73" s="253" t="s">
        <v>477</v>
      </c>
      <c r="C73" s="253" t="s">
        <v>1357</v>
      </c>
      <c r="D73" s="253" t="s">
        <v>478</v>
      </c>
      <c r="E73" s="253" t="s">
        <v>998</v>
      </c>
      <c r="F73" s="256">
        <v>1.0</v>
      </c>
      <c r="G73" s="256">
        <v>1.0</v>
      </c>
      <c r="H73" s="256">
        <v>0.0</v>
      </c>
      <c r="I73" s="256">
        <v>1.0</v>
      </c>
      <c r="J73" s="256">
        <v>1.0</v>
      </c>
      <c r="K73" s="256">
        <v>0.0</v>
      </c>
      <c r="L73" s="256">
        <v>1.0</v>
      </c>
      <c r="M73" s="256">
        <v>1.0</v>
      </c>
    </row>
    <row r="74">
      <c r="A74" s="256">
        <v>5842.0</v>
      </c>
      <c r="B74" s="253" t="s">
        <v>507</v>
      </c>
      <c r="C74" s="253" t="s">
        <v>1358</v>
      </c>
      <c r="D74" s="253" t="s">
        <v>512</v>
      </c>
      <c r="E74" s="253" t="s">
        <v>1355</v>
      </c>
      <c r="F74" s="256">
        <v>7.0</v>
      </c>
      <c r="G74" s="256">
        <v>8.0</v>
      </c>
      <c r="H74" s="256">
        <v>-1.0</v>
      </c>
      <c r="I74" s="256">
        <v>6.0</v>
      </c>
      <c r="J74" s="256">
        <v>7.0</v>
      </c>
      <c r="K74" s="256">
        <v>-1.0</v>
      </c>
      <c r="L74" s="256">
        <v>10.0</v>
      </c>
      <c r="M74" s="256">
        <v>8.0</v>
      </c>
    </row>
    <row r="75">
      <c r="A75" s="256">
        <v>2825.0</v>
      </c>
      <c r="B75" s="253" t="s">
        <v>492</v>
      </c>
      <c r="C75" s="253" t="s">
        <v>1359</v>
      </c>
      <c r="D75" s="253" t="s">
        <v>930</v>
      </c>
      <c r="E75" s="253" t="s">
        <v>1342</v>
      </c>
      <c r="F75" s="256">
        <v>4.0</v>
      </c>
      <c r="G75" s="256">
        <v>4.0</v>
      </c>
      <c r="H75" s="256">
        <v>0.0</v>
      </c>
      <c r="I75" s="256">
        <v>5.0</v>
      </c>
      <c r="J75" s="256">
        <v>5.0</v>
      </c>
      <c r="K75" s="256">
        <v>0.0</v>
      </c>
      <c r="L75" s="256">
        <v>8.0</v>
      </c>
      <c r="M75" s="256">
        <v>10.0</v>
      </c>
    </row>
    <row r="76">
      <c r="A76" s="256">
        <v>5423.0</v>
      </c>
      <c r="B76" s="253" t="s">
        <v>492</v>
      </c>
      <c r="C76" s="253" t="s">
        <v>808</v>
      </c>
      <c r="D76" s="253" t="s">
        <v>492</v>
      </c>
      <c r="E76" s="253" t="s">
        <v>988</v>
      </c>
      <c r="F76" s="256">
        <v>6.0</v>
      </c>
      <c r="G76" s="256">
        <v>5.0</v>
      </c>
      <c r="H76" s="256">
        <v>1.0</v>
      </c>
      <c r="I76" s="256">
        <v>6.0</v>
      </c>
      <c r="J76" s="256">
        <v>5.0</v>
      </c>
      <c r="K76" s="256">
        <v>1.0</v>
      </c>
      <c r="L76" s="256">
        <v>7.0</v>
      </c>
      <c r="M76" s="256">
        <v>7.0</v>
      </c>
    </row>
    <row r="77">
      <c r="A77" s="256">
        <v>5395.0</v>
      </c>
      <c r="B77" s="253" t="s">
        <v>507</v>
      </c>
      <c r="C77" s="253" t="s">
        <v>1360</v>
      </c>
      <c r="D77" s="253" t="s">
        <v>507</v>
      </c>
      <c r="E77" s="253" t="s">
        <v>983</v>
      </c>
      <c r="F77" s="256">
        <v>1.0</v>
      </c>
      <c r="G77" s="256">
        <v>1.0</v>
      </c>
      <c r="H77" s="256">
        <v>0.0</v>
      </c>
      <c r="I77" s="256">
        <v>1.0</v>
      </c>
      <c r="J77" s="256">
        <v>1.0</v>
      </c>
      <c r="K77" s="256">
        <v>0.0</v>
      </c>
      <c r="L77" s="256">
        <v>1.0</v>
      </c>
      <c r="M77" s="256">
        <v>1.0</v>
      </c>
    </row>
    <row r="78">
      <c r="A78" s="256">
        <v>5532.0</v>
      </c>
      <c r="B78" s="253" t="s">
        <v>480</v>
      </c>
      <c r="C78" s="253" t="s">
        <v>1016</v>
      </c>
      <c r="D78" s="253" t="s">
        <v>931</v>
      </c>
      <c r="E78" s="253" t="s">
        <v>1355</v>
      </c>
      <c r="F78" s="256">
        <v>7.0</v>
      </c>
      <c r="G78" s="256">
        <v>7.0</v>
      </c>
      <c r="H78" s="256">
        <v>0.0</v>
      </c>
      <c r="I78" s="256">
        <v>7.0</v>
      </c>
      <c r="J78" s="256">
        <v>7.0</v>
      </c>
      <c r="K78" s="256">
        <v>0.0</v>
      </c>
      <c r="L78" s="256">
        <v>11.0</v>
      </c>
      <c r="M78" s="256">
        <v>11.0</v>
      </c>
    </row>
    <row r="79">
      <c r="A79" s="256">
        <v>4351.0</v>
      </c>
      <c r="B79" s="253" t="s">
        <v>477</v>
      </c>
      <c r="C79" s="253" t="s">
        <v>1257</v>
      </c>
      <c r="D79" s="253" t="s">
        <v>478</v>
      </c>
      <c r="E79" s="253" t="s">
        <v>998</v>
      </c>
      <c r="F79" s="256">
        <v>1.0</v>
      </c>
      <c r="G79" s="256">
        <v>1.0</v>
      </c>
      <c r="H79" s="256">
        <v>0.0</v>
      </c>
      <c r="I79" s="256">
        <v>1.0</v>
      </c>
      <c r="J79" s="256">
        <v>1.0</v>
      </c>
      <c r="K79" s="256">
        <v>0.0</v>
      </c>
      <c r="L79" s="256">
        <v>1.0</v>
      </c>
      <c r="M79" s="256">
        <v>1.0</v>
      </c>
    </row>
    <row r="80">
      <c r="A80" s="256">
        <v>4184.0</v>
      </c>
      <c r="B80" s="253" t="s">
        <v>507</v>
      </c>
      <c r="C80" s="253" t="s">
        <v>1361</v>
      </c>
      <c r="D80" s="253" t="s">
        <v>935</v>
      </c>
      <c r="E80" s="253" t="s">
        <v>1033</v>
      </c>
      <c r="F80" s="256">
        <v>11.0</v>
      </c>
      <c r="G80" s="256">
        <v>11.0</v>
      </c>
      <c r="H80" s="256">
        <v>0.0</v>
      </c>
      <c r="I80" s="256">
        <v>13.0</v>
      </c>
      <c r="J80" s="256">
        <v>13.0</v>
      </c>
      <c r="K80" s="256">
        <v>0.0</v>
      </c>
      <c r="L80" s="256">
        <v>17.0</v>
      </c>
      <c r="M80" s="256">
        <v>17.0</v>
      </c>
    </row>
    <row r="81">
      <c r="A81" s="256">
        <v>2788.0</v>
      </c>
      <c r="B81" s="253" t="s">
        <v>480</v>
      </c>
      <c r="C81" s="253" t="s">
        <v>246</v>
      </c>
      <c r="D81" s="253" t="s">
        <v>481</v>
      </c>
      <c r="E81" s="253" t="s">
        <v>976</v>
      </c>
      <c r="F81" s="256">
        <v>13.0</v>
      </c>
      <c r="G81" s="256">
        <v>13.0</v>
      </c>
      <c r="H81" s="256">
        <v>0.0</v>
      </c>
      <c r="I81" s="256">
        <v>13.0</v>
      </c>
      <c r="J81" s="256">
        <v>13.0</v>
      </c>
      <c r="K81" s="256">
        <v>0.0</v>
      </c>
      <c r="L81" s="256">
        <v>52.0</v>
      </c>
      <c r="M81" s="256">
        <v>48.0</v>
      </c>
    </row>
    <row r="82">
      <c r="A82" s="256">
        <v>6213.0</v>
      </c>
      <c r="B82" s="253" t="s">
        <v>507</v>
      </c>
      <c r="C82" s="253" t="s">
        <v>859</v>
      </c>
      <c r="D82" s="253" t="s">
        <v>512</v>
      </c>
      <c r="E82" s="253" t="s">
        <v>993</v>
      </c>
      <c r="F82" s="256">
        <v>10.0</v>
      </c>
      <c r="G82" s="256">
        <v>11.0</v>
      </c>
      <c r="H82" s="256">
        <v>-1.0</v>
      </c>
      <c r="I82" s="256">
        <v>9.0</v>
      </c>
      <c r="J82" s="256">
        <v>10.0</v>
      </c>
      <c r="K82" s="256">
        <v>-1.0</v>
      </c>
      <c r="L82" s="256">
        <v>12.0</v>
      </c>
      <c r="M82" s="256">
        <v>10.0</v>
      </c>
    </row>
    <row r="83">
      <c r="A83" s="256">
        <v>4947.0</v>
      </c>
      <c r="B83" s="253" t="s">
        <v>492</v>
      </c>
      <c r="C83" s="253" t="s">
        <v>139</v>
      </c>
      <c r="D83" s="253" t="s">
        <v>930</v>
      </c>
      <c r="E83" s="253" t="s">
        <v>1342</v>
      </c>
      <c r="F83" s="256">
        <v>6.0</v>
      </c>
      <c r="G83" s="256">
        <v>5.0</v>
      </c>
      <c r="H83" s="256">
        <v>1.0</v>
      </c>
      <c r="I83" s="256">
        <v>6.0</v>
      </c>
      <c r="J83" s="256">
        <v>6.0</v>
      </c>
      <c r="K83" s="256">
        <v>0.0</v>
      </c>
      <c r="L83" s="256">
        <v>4.0</v>
      </c>
      <c r="M83" s="256">
        <v>6.0</v>
      </c>
    </row>
    <row r="84">
      <c r="A84" s="256">
        <v>6028.0</v>
      </c>
      <c r="B84" s="253" t="s">
        <v>480</v>
      </c>
      <c r="C84" s="253" t="s">
        <v>1362</v>
      </c>
      <c r="D84" s="253" t="s">
        <v>937</v>
      </c>
      <c r="E84" s="253" t="s">
        <v>1355</v>
      </c>
      <c r="F84" s="256">
        <v>1.0</v>
      </c>
      <c r="G84" s="256">
        <v>2.0</v>
      </c>
      <c r="H84" s="256">
        <v>-1.0</v>
      </c>
      <c r="I84" s="256">
        <v>1.0</v>
      </c>
      <c r="J84" s="256">
        <v>2.0</v>
      </c>
      <c r="K84" s="256">
        <v>-1.0</v>
      </c>
      <c r="L84" s="256">
        <v>3.0</v>
      </c>
      <c r="M84" s="256">
        <v>3.0</v>
      </c>
    </row>
    <row r="85">
      <c r="A85" s="254">
        <v>6532.0</v>
      </c>
      <c r="B85" s="255" t="s">
        <v>492</v>
      </c>
      <c r="C85" s="255" t="s">
        <v>1363</v>
      </c>
      <c r="D85" s="255" t="s">
        <v>521</v>
      </c>
      <c r="E85" s="255" t="s">
        <v>973</v>
      </c>
      <c r="F85" s="254">
        <v>4.0</v>
      </c>
      <c r="G85" s="254">
        <v>5.0</v>
      </c>
      <c r="H85" s="254">
        <v>-1.0</v>
      </c>
      <c r="I85" s="254">
        <v>6.0</v>
      </c>
      <c r="J85" s="254">
        <v>7.0</v>
      </c>
      <c r="K85" s="254">
        <v>-1.0</v>
      </c>
      <c r="L85" s="254">
        <v>12.0</v>
      </c>
      <c r="M85" s="254">
        <v>12.0</v>
      </c>
    </row>
    <row r="86">
      <c r="A86" s="256">
        <v>2724.0</v>
      </c>
      <c r="B86" s="253" t="s">
        <v>480</v>
      </c>
      <c r="C86" s="253" t="s">
        <v>429</v>
      </c>
      <c r="D86" s="253" t="s">
        <v>481</v>
      </c>
      <c r="E86" s="253" t="s">
        <v>972</v>
      </c>
      <c r="F86" s="256">
        <v>10.0</v>
      </c>
      <c r="G86" s="256">
        <v>11.0</v>
      </c>
      <c r="H86" s="256">
        <v>-1.0</v>
      </c>
      <c r="I86" s="256">
        <v>10.0</v>
      </c>
      <c r="J86" s="256">
        <v>11.0</v>
      </c>
      <c r="K86" s="256">
        <v>-1.0</v>
      </c>
      <c r="L86" s="256">
        <v>23.0</v>
      </c>
      <c r="M86" s="256">
        <v>23.0</v>
      </c>
    </row>
    <row r="87">
      <c r="A87" s="256">
        <v>6418.0</v>
      </c>
      <c r="B87" s="253" t="s">
        <v>507</v>
      </c>
      <c r="C87" s="253" t="s">
        <v>848</v>
      </c>
      <c r="D87" s="253" t="s">
        <v>512</v>
      </c>
      <c r="E87" s="253" t="s">
        <v>998</v>
      </c>
      <c r="F87" s="256">
        <v>1.0</v>
      </c>
      <c r="G87" s="256">
        <v>1.0</v>
      </c>
      <c r="H87" s="256">
        <v>0.0</v>
      </c>
      <c r="I87" s="256">
        <v>1.0</v>
      </c>
      <c r="J87" s="256">
        <v>1.0</v>
      </c>
      <c r="K87" s="256">
        <v>0.0</v>
      </c>
      <c r="L87" s="256">
        <v>2.0</v>
      </c>
      <c r="M87" s="256">
        <v>2.0</v>
      </c>
    </row>
    <row r="88">
      <c r="A88" s="256">
        <v>6039.0</v>
      </c>
      <c r="B88" s="253" t="s">
        <v>480</v>
      </c>
      <c r="C88" s="253" t="s">
        <v>746</v>
      </c>
      <c r="D88" s="253" t="s">
        <v>1022</v>
      </c>
      <c r="E88" s="253" t="s">
        <v>983</v>
      </c>
      <c r="F88" s="256">
        <v>2.0</v>
      </c>
      <c r="G88" s="256">
        <v>3.0</v>
      </c>
      <c r="H88" s="256">
        <v>-1.0</v>
      </c>
      <c r="I88" s="256">
        <v>3.0</v>
      </c>
      <c r="J88" s="256">
        <v>4.0</v>
      </c>
      <c r="K88" s="256">
        <v>-1.0</v>
      </c>
      <c r="L88" s="256">
        <v>4.0</v>
      </c>
      <c r="M88" s="256">
        <v>5.0</v>
      </c>
    </row>
    <row r="89">
      <c r="A89" s="256">
        <v>5804.0</v>
      </c>
      <c r="B89" s="253" t="s">
        <v>480</v>
      </c>
      <c r="C89" s="253" t="s">
        <v>873</v>
      </c>
      <c r="D89" s="253" t="s">
        <v>931</v>
      </c>
      <c r="E89" s="253" t="s">
        <v>1222</v>
      </c>
      <c r="F89" s="256">
        <v>2.0</v>
      </c>
      <c r="G89" s="256">
        <v>3.0</v>
      </c>
      <c r="H89" s="256">
        <v>-1.0</v>
      </c>
      <c r="I89" s="256">
        <v>2.0</v>
      </c>
      <c r="J89" s="256">
        <v>3.0</v>
      </c>
      <c r="K89" s="256">
        <v>-1.0</v>
      </c>
      <c r="L89" s="256">
        <v>8.0</v>
      </c>
      <c r="M89" s="256">
        <v>8.0</v>
      </c>
    </row>
    <row r="90">
      <c r="A90" s="254">
        <v>6402.0</v>
      </c>
      <c r="B90" s="255" t="s">
        <v>492</v>
      </c>
      <c r="C90" s="255" t="s">
        <v>1364</v>
      </c>
      <c r="D90" s="255" t="s">
        <v>930</v>
      </c>
      <c r="E90" s="255" t="s">
        <v>987</v>
      </c>
      <c r="F90" s="254">
        <v>4.0</v>
      </c>
      <c r="G90" s="254">
        <v>7.0</v>
      </c>
      <c r="H90" s="254">
        <v>-3.0</v>
      </c>
      <c r="I90" s="254">
        <v>4.0</v>
      </c>
      <c r="J90" s="254">
        <v>8.0</v>
      </c>
      <c r="K90" s="254">
        <v>-4.0</v>
      </c>
      <c r="L90" s="254">
        <v>20.0</v>
      </c>
      <c r="M90" s="254">
        <v>25.0</v>
      </c>
    </row>
    <row r="91">
      <c r="A91" s="256">
        <v>6402.0</v>
      </c>
      <c r="B91" s="253" t="s">
        <v>492</v>
      </c>
      <c r="C91" s="253" t="s">
        <v>1364</v>
      </c>
      <c r="D91" s="253" t="s">
        <v>930</v>
      </c>
      <c r="E91" s="253" t="s">
        <v>987</v>
      </c>
      <c r="F91" s="256">
        <v>6.0</v>
      </c>
      <c r="G91" s="256">
        <v>7.0</v>
      </c>
      <c r="H91" s="256">
        <v>-1.0</v>
      </c>
      <c r="I91" s="256">
        <v>7.0</v>
      </c>
      <c r="J91" s="256">
        <v>8.0</v>
      </c>
      <c r="K91" s="256">
        <v>-1.0</v>
      </c>
      <c r="L91" s="256">
        <v>12.0</v>
      </c>
      <c r="M91" s="256">
        <v>14.0</v>
      </c>
    </row>
    <row r="92">
      <c r="A92" s="256">
        <v>357.0</v>
      </c>
      <c r="B92" s="253" t="s">
        <v>480</v>
      </c>
      <c r="C92" s="253" t="s">
        <v>860</v>
      </c>
      <c r="D92" s="253" t="s">
        <v>938</v>
      </c>
      <c r="E92" s="253" t="s">
        <v>991</v>
      </c>
      <c r="F92" s="256">
        <v>10.0</v>
      </c>
      <c r="G92" s="256">
        <v>9.0</v>
      </c>
      <c r="H92" s="256">
        <v>1.0</v>
      </c>
      <c r="I92" s="256">
        <v>10.0</v>
      </c>
      <c r="J92" s="256">
        <v>9.0</v>
      </c>
      <c r="K92" s="256">
        <v>1.0</v>
      </c>
      <c r="L92" s="256">
        <v>22.0</v>
      </c>
      <c r="M92" s="256">
        <v>22.0</v>
      </c>
    </row>
    <row r="93">
      <c r="A93" s="256">
        <v>4945.0</v>
      </c>
      <c r="B93" s="253" t="s">
        <v>480</v>
      </c>
      <c r="C93" s="253" t="s">
        <v>1365</v>
      </c>
      <c r="D93" s="253" t="s">
        <v>931</v>
      </c>
      <c r="E93" s="253" t="s">
        <v>1009</v>
      </c>
      <c r="F93" s="256">
        <v>4.0</v>
      </c>
      <c r="G93" s="256">
        <v>4.0</v>
      </c>
      <c r="H93" s="256">
        <v>0.0</v>
      </c>
      <c r="I93" s="256">
        <v>4.0</v>
      </c>
      <c r="J93" s="256">
        <v>4.0</v>
      </c>
      <c r="K93" s="256">
        <v>0.0</v>
      </c>
      <c r="L93" s="256">
        <v>7.0</v>
      </c>
      <c r="M93" s="256">
        <v>7.0</v>
      </c>
    </row>
    <row r="94">
      <c r="A94" s="256">
        <v>4958.0</v>
      </c>
      <c r="B94" s="253" t="s">
        <v>480</v>
      </c>
      <c r="C94" s="253" t="s">
        <v>1264</v>
      </c>
      <c r="D94" s="253" t="s">
        <v>1022</v>
      </c>
      <c r="E94" s="253" t="s">
        <v>1225</v>
      </c>
      <c r="F94" s="256">
        <v>7.0</v>
      </c>
      <c r="G94" s="256">
        <v>7.0</v>
      </c>
      <c r="H94" s="256">
        <v>0.0</v>
      </c>
      <c r="I94" s="256">
        <v>8.0</v>
      </c>
      <c r="J94" s="256">
        <v>8.0</v>
      </c>
      <c r="K94" s="256">
        <v>0.0</v>
      </c>
      <c r="L94" s="256">
        <v>10.0</v>
      </c>
      <c r="M94" s="256">
        <v>12.0</v>
      </c>
    </row>
    <row r="95">
      <c r="A95" s="256">
        <v>2194.0</v>
      </c>
      <c r="B95" s="253" t="s">
        <v>492</v>
      </c>
      <c r="C95" s="253" t="s">
        <v>719</v>
      </c>
      <c r="D95" s="253" t="s">
        <v>930</v>
      </c>
      <c r="E95" s="253" t="s">
        <v>973</v>
      </c>
      <c r="F95" s="256">
        <v>17.0</v>
      </c>
      <c r="G95" s="256">
        <v>16.0</v>
      </c>
      <c r="H95" s="256">
        <v>1.0</v>
      </c>
      <c r="I95" s="256">
        <v>19.0</v>
      </c>
      <c r="J95" s="256">
        <v>18.0</v>
      </c>
      <c r="K95" s="256">
        <v>1.0</v>
      </c>
      <c r="L95" s="256">
        <v>69.0</v>
      </c>
      <c r="M95" s="256">
        <v>81.0</v>
      </c>
    </row>
    <row r="96">
      <c r="A96" s="256">
        <v>6221.0</v>
      </c>
      <c r="B96" s="253" t="s">
        <v>492</v>
      </c>
      <c r="C96" s="253" t="s">
        <v>1366</v>
      </c>
      <c r="D96" s="253" t="s">
        <v>930</v>
      </c>
      <c r="E96" s="253" t="s">
        <v>993</v>
      </c>
      <c r="F96" s="256">
        <v>2.0</v>
      </c>
      <c r="G96" s="256">
        <v>3.0</v>
      </c>
      <c r="H96" s="256">
        <v>-1.0</v>
      </c>
      <c r="I96" s="256">
        <v>3.0</v>
      </c>
      <c r="J96" s="256">
        <v>4.0</v>
      </c>
      <c r="K96" s="256">
        <v>-1.0</v>
      </c>
      <c r="L96" s="256">
        <v>4.0</v>
      </c>
      <c r="M96" s="256">
        <v>5.0</v>
      </c>
    </row>
    <row r="97">
      <c r="A97" s="254">
        <v>6519.0</v>
      </c>
      <c r="B97" s="255" t="s">
        <v>507</v>
      </c>
      <c r="C97" s="255" t="s">
        <v>392</v>
      </c>
      <c r="D97" s="255" t="s">
        <v>512</v>
      </c>
      <c r="E97" s="255" t="s">
        <v>991</v>
      </c>
      <c r="F97" s="254">
        <v>1.0</v>
      </c>
      <c r="G97" s="254">
        <v>1.0</v>
      </c>
      <c r="H97" s="254">
        <v>0.0</v>
      </c>
      <c r="I97" s="254">
        <v>1.0</v>
      </c>
      <c r="J97" s="254">
        <v>1.0</v>
      </c>
      <c r="K97" s="254">
        <v>0.0</v>
      </c>
      <c r="L97" s="254">
        <v>1.0</v>
      </c>
      <c r="M97" s="254">
        <v>1.0</v>
      </c>
    </row>
    <row r="98">
      <c r="A98" s="256">
        <v>4436.0</v>
      </c>
      <c r="B98" s="253" t="s">
        <v>507</v>
      </c>
      <c r="C98" s="253" t="s">
        <v>1020</v>
      </c>
      <c r="D98" s="253" t="s">
        <v>507</v>
      </c>
      <c r="E98" s="253" t="s">
        <v>1222</v>
      </c>
      <c r="F98" s="256">
        <v>12.0</v>
      </c>
      <c r="G98" s="256">
        <v>12.0</v>
      </c>
      <c r="H98" s="256">
        <v>0.0</v>
      </c>
      <c r="I98" s="256">
        <v>12.0</v>
      </c>
      <c r="J98" s="256">
        <v>12.0</v>
      </c>
      <c r="K98" s="256">
        <v>0.0</v>
      </c>
      <c r="L98" s="256">
        <v>28.0</v>
      </c>
      <c r="M98" s="256">
        <v>30.0</v>
      </c>
    </row>
    <row r="99">
      <c r="A99" s="256">
        <v>5520.0</v>
      </c>
      <c r="B99" s="253" t="s">
        <v>480</v>
      </c>
      <c r="C99" s="253" t="s">
        <v>431</v>
      </c>
      <c r="D99" s="253" t="s">
        <v>944</v>
      </c>
      <c r="E99" s="253" t="s">
        <v>976</v>
      </c>
      <c r="F99" s="256">
        <v>7.0</v>
      </c>
      <c r="G99" s="256">
        <v>5.0</v>
      </c>
      <c r="H99" s="256">
        <v>2.0</v>
      </c>
      <c r="I99" s="256">
        <v>7.0</v>
      </c>
      <c r="J99" s="256">
        <v>6.0</v>
      </c>
      <c r="K99" s="256">
        <v>1.0</v>
      </c>
      <c r="L99" s="256">
        <v>22.0</v>
      </c>
      <c r="M99" s="256">
        <v>27.0</v>
      </c>
    </row>
    <row r="100">
      <c r="A100" s="256">
        <v>5500.0</v>
      </c>
      <c r="B100" s="253" t="s">
        <v>507</v>
      </c>
      <c r="C100" s="253" t="s">
        <v>903</v>
      </c>
      <c r="D100" s="253" t="s">
        <v>507</v>
      </c>
      <c r="E100" s="253" t="s">
        <v>1222</v>
      </c>
      <c r="F100" s="256">
        <v>5.0</v>
      </c>
      <c r="G100" s="256">
        <v>5.0</v>
      </c>
      <c r="H100" s="256">
        <v>0.0</v>
      </c>
      <c r="I100" s="256">
        <v>5.0</v>
      </c>
      <c r="J100" s="256">
        <v>5.0</v>
      </c>
      <c r="K100" s="256">
        <v>0.0</v>
      </c>
      <c r="L100" s="256">
        <v>8.0</v>
      </c>
      <c r="M100" s="256">
        <v>8.0</v>
      </c>
    </row>
    <row r="101">
      <c r="A101" s="256">
        <v>332.0</v>
      </c>
      <c r="B101" s="253" t="s">
        <v>492</v>
      </c>
      <c r="C101" s="253" t="s">
        <v>952</v>
      </c>
      <c r="D101" s="253" t="s">
        <v>563</v>
      </c>
      <c r="E101" s="253" t="s">
        <v>1355</v>
      </c>
      <c r="F101" s="256">
        <v>17.0</v>
      </c>
      <c r="G101" s="256">
        <v>15.0</v>
      </c>
      <c r="H101" s="256">
        <v>2.0</v>
      </c>
      <c r="I101" s="256">
        <v>16.0</v>
      </c>
      <c r="J101" s="256">
        <v>14.0</v>
      </c>
      <c r="K101" s="256">
        <v>2.0</v>
      </c>
      <c r="L101" s="256">
        <v>75.0</v>
      </c>
      <c r="M101" s="256">
        <v>72.0</v>
      </c>
    </row>
    <row r="102">
      <c r="A102" s="256">
        <v>454.0</v>
      </c>
      <c r="B102" s="253" t="s">
        <v>480</v>
      </c>
      <c r="C102" s="253" t="s">
        <v>1367</v>
      </c>
      <c r="D102" s="253" t="s">
        <v>481</v>
      </c>
      <c r="E102" s="253" t="s">
        <v>975</v>
      </c>
      <c r="F102" s="256">
        <v>1.0</v>
      </c>
      <c r="G102" s="256">
        <v>1.0</v>
      </c>
      <c r="H102" s="256">
        <v>0.0</v>
      </c>
      <c r="I102" s="256">
        <v>1.0</v>
      </c>
      <c r="J102" s="256">
        <v>1.0</v>
      </c>
      <c r="K102" s="256">
        <v>0.0</v>
      </c>
      <c r="L102" s="256">
        <v>1.0</v>
      </c>
      <c r="M102" s="256">
        <v>1.0</v>
      </c>
    </row>
    <row r="103">
      <c r="A103" s="256">
        <v>1958.0</v>
      </c>
      <c r="B103" s="253" t="s">
        <v>507</v>
      </c>
      <c r="C103" s="253" t="s">
        <v>1239</v>
      </c>
      <c r="D103" s="253" t="s">
        <v>507</v>
      </c>
      <c r="E103" s="253" t="s">
        <v>1225</v>
      </c>
      <c r="F103" s="256">
        <v>14.0</v>
      </c>
      <c r="G103" s="256">
        <v>14.0</v>
      </c>
      <c r="H103" s="256">
        <v>0.0</v>
      </c>
      <c r="I103" s="256">
        <v>14.0</v>
      </c>
      <c r="J103" s="256">
        <v>14.0</v>
      </c>
      <c r="K103" s="256">
        <v>0.0</v>
      </c>
      <c r="L103" s="256">
        <v>41.0</v>
      </c>
      <c r="M103" s="256">
        <v>45.0</v>
      </c>
    </row>
    <row r="104">
      <c r="A104" s="256">
        <v>4360.0</v>
      </c>
      <c r="B104" s="253" t="s">
        <v>477</v>
      </c>
      <c r="C104" s="253" t="s">
        <v>183</v>
      </c>
      <c r="D104" s="253" t="s">
        <v>478</v>
      </c>
      <c r="E104" s="253" t="s">
        <v>1222</v>
      </c>
      <c r="F104" s="256">
        <v>6.0</v>
      </c>
      <c r="G104" s="256">
        <v>7.0</v>
      </c>
      <c r="H104" s="256">
        <v>-1.0</v>
      </c>
      <c r="I104" s="256">
        <v>6.0</v>
      </c>
      <c r="J104" s="256">
        <v>7.0</v>
      </c>
      <c r="K104" s="256">
        <v>-1.0</v>
      </c>
      <c r="L104" s="256">
        <v>10.0</v>
      </c>
      <c r="M104" s="256">
        <v>10.0</v>
      </c>
    </row>
    <row r="105">
      <c r="A105" s="256">
        <v>2819.0</v>
      </c>
      <c r="B105" s="253" t="s">
        <v>507</v>
      </c>
      <c r="C105" s="253" t="s">
        <v>1368</v>
      </c>
      <c r="D105" s="253" t="s">
        <v>512</v>
      </c>
      <c r="E105" s="253" t="s">
        <v>1222</v>
      </c>
      <c r="F105" s="256">
        <v>14.0</v>
      </c>
      <c r="G105" s="256">
        <v>15.0</v>
      </c>
      <c r="H105" s="256">
        <v>-1.0</v>
      </c>
      <c r="I105" s="256">
        <v>14.0</v>
      </c>
      <c r="J105" s="256">
        <v>15.0</v>
      </c>
      <c r="K105" s="256">
        <v>-1.0</v>
      </c>
      <c r="L105" s="256">
        <v>52.0</v>
      </c>
      <c r="M105" s="256">
        <v>48.0</v>
      </c>
    </row>
    <row r="106">
      <c r="A106" s="256">
        <v>4925.0</v>
      </c>
      <c r="B106" s="253" t="s">
        <v>480</v>
      </c>
      <c r="C106" s="253" t="s">
        <v>775</v>
      </c>
      <c r="D106" s="253" t="s">
        <v>1022</v>
      </c>
      <c r="E106" s="253" t="s">
        <v>1225</v>
      </c>
      <c r="F106" s="256">
        <v>3.0</v>
      </c>
      <c r="G106" s="256">
        <v>3.0</v>
      </c>
      <c r="H106" s="256">
        <v>0.0</v>
      </c>
      <c r="I106" s="256">
        <v>4.0</v>
      </c>
      <c r="J106" s="256">
        <v>4.0</v>
      </c>
      <c r="K106" s="256">
        <v>0.0</v>
      </c>
      <c r="L106" s="256">
        <v>3.0</v>
      </c>
      <c r="M106" s="256">
        <v>4.0</v>
      </c>
    </row>
    <row r="107">
      <c r="A107" s="256">
        <v>6149.0</v>
      </c>
      <c r="B107" s="253" t="s">
        <v>480</v>
      </c>
      <c r="C107" s="253" t="s">
        <v>1292</v>
      </c>
      <c r="D107" s="253" t="s">
        <v>931</v>
      </c>
      <c r="E107" s="253" t="s">
        <v>1225</v>
      </c>
      <c r="F107" s="256">
        <v>1.0</v>
      </c>
      <c r="G107" s="256">
        <v>1.0</v>
      </c>
      <c r="H107" s="256">
        <v>0.0</v>
      </c>
      <c r="I107" s="256">
        <v>1.0</v>
      </c>
      <c r="J107" s="256">
        <v>1.0</v>
      </c>
      <c r="K107" s="256">
        <v>0.0</v>
      </c>
      <c r="L107" s="256">
        <v>1.0</v>
      </c>
      <c r="M107" s="256">
        <v>1.0</v>
      </c>
    </row>
    <row r="108">
      <c r="A108" s="256">
        <v>6106.0</v>
      </c>
      <c r="B108" s="253" t="s">
        <v>492</v>
      </c>
      <c r="C108" s="253" t="s">
        <v>1025</v>
      </c>
      <c r="D108" s="253" t="s">
        <v>947</v>
      </c>
      <c r="E108" s="253" t="s">
        <v>1225</v>
      </c>
      <c r="F108" s="256">
        <v>1.0</v>
      </c>
      <c r="G108" s="256">
        <v>2.0</v>
      </c>
      <c r="H108" s="256">
        <v>-1.0</v>
      </c>
      <c r="I108" s="256">
        <v>1.0</v>
      </c>
      <c r="J108" s="256">
        <v>2.0</v>
      </c>
      <c r="K108" s="256">
        <v>-1.0</v>
      </c>
      <c r="L108" s="256">
        <v>4.0</v>
      </c>
      <c r="M108" s="256">
        <v>3.0</v>
      </c>
    </row>
    <row r="109">
      <c r="A109" s="256">
        <v>5877.0</v>
      </c>
      <c r="B109" s="253" t="s">
        <v>480</v>
      </c>
      <c r="C109" s="253" t="s">
        <v>330</v>
      </c>
      <c r="D109" s="253" t="s">
        <v>521</v>
      </c>
      <c r="E109" s="253" t="s">
        <v>973</v>
      </c>
      <c r="F109" s="256">
        <v>17.0</v>
      </c>
      <c r="G109" s="256">
        <v>17.0</v>
      </c>
      <c r="H109" s="256">
        <v>0.0</v>
      </c>
      <c r="I109" s="256">
        <v>17.0</v>
      </c>
      <c r="J109" s="256">
        <v>17.0</v>
      </c>
      <c r="K109" s="256">
        <v>0.0</v>
      </c>
      <c r="L109" s="256">
        <v>42.0</v>
      </c>
      <c r="M109" s="256">
        <v>30.0</v>
      </c>
    </row>
    <row r="110">
      <c r="A110" s="256">
        <v>4431.0</v>
      </c>
      <c r="B110" s="253" t="s">
        <v>477</v>
      </c>
      <c r="C110" s="253" t="s">
        <v>393</v>
      </c>
      <c r="D110" s="253" t="s">
        <v>478</v>
      </c>
      <c r="E110" s="253" t="s">
        <v>980</v>
      </c>
      <c r="F110" s="256">
        <v>10.0</v>
      </c>
      <c r="G110" s="256">
        <v>11.0</v>
      </c>
      <c r="H110" s="256">
        <v>-1.0</v>
      </c>
      <c r="I110" s="256">
        <v>10.0</v>
      </c>
      <c r="J110" s="256">
        <v>11.0</v>
      </c>
      <c r="K110" s="256">
        <v>-1.0</v>
      </c>
      <c r="L110" s="256">
        <v>10.0</v>
      </c>
      <c r="M110" s="256">
        <v>16.0</v>
      </c>
    </row>
    <row r="111">
      <c r="A111" s="256">
        <v>5498.0</v>
      </c>
      <c r="B111" s="253" t="s">
        <v>480</v>
      </c>
      <c r="C111" s="253" t="s">
        <v>861</v>
      </c>
      <c r="D111" s="253" t="s">
        <v>481</v>
      </c>
      <c r="E111" s="253" t="s">
        <v>1000</v>
      </c>
      <c r="F111" s="256">
        <v>10.0</v>
      </c>
      <c r="G111" s="256">
        <v>10.0</v>
      </c>
      <c r="H111" s="256">
        <v>0.0</v>
      </c>
      <c r="I111" s="256">
        <v>10.0</v>
      </c>
      <c r="J111" s="256">
        <v>10.0</v>
      </c>
      <c r="K111" s="256">
        <v>0.0</v>
      </c>
      <c r="L111" s="256">
        <v>22.0</v>
      </c>
      <c r="M111" s="256">
        <v>22.0</v>
      </c>
    </row>
    <row r="112">
      <c r="A112" s="256">
        <v>5364.0</v>
      </c>
      <c r="B112" s="253" t="s">
        <v>507</v>
      </c>
      <c r="C112" s="253" t="s">
        <v>1369</v>
      </c>
      <c r="D112" s="253" t="s">
        <v>507</v>
      </c>
      <c r="E112" s="253" t="s">
        <v>1342</v>
      </c>
      <c r="F112" s="256">
        <v>6.0</v>
      </c>
      <c r="G112" s="256">
        <v>6.0</v>
      </c>
      <c r="H112" s="256">
        <v>0.0</v>
      </c>
      <c r="I112" s="256">
        <v>6.0</v>
      </c>
      <c r="J112" s="256">
        <v>6.0</v>
      </c>
      <c r="K112" s="256">
        <v>0.0</v>
      </c>
      <c r="L112" s="256">
        <v>12.0</v>
      </c>
      <c r="M112" s="256">
        <v>12.0</v>
      </c>
    </row>
    <row r="113">
      <c r="A113" s="256">
        <v>6226.0</v>
      </c>
      <c r="B113" s="253" t="s">
        <v>507</v>
      </c>
      <c r="C113" s="253" t="s">
        <v>361</v>
      </c>
      <c r="D113" s="253" t="s">
        <v>512</v>
      </c>
      <c r="E113" s="253" t="s">
        <v>1000</v>
      </c>
      <c r="F113" s="256">
        <v>12.0</v>
      </c>
      <c r="G113" s="256">
        <v>13.0</v>
      </c>
      <c r="H113" s="256">
        <v>-1.0</v>
      </c>
      <c r="I113" s="256">
        <v>11.0</v>
      </c>
      <c r="J113" s="256">
        <v>12.0</v>
      </c>
      <c r="K113" s="256">
        <v>-1.0</v>
      </c>
      <c r="L113" s="256">
        <v>28.0</v>
      </c>
      <c r="M113" s="256">
        <v>22.0</v>
      </c>
    </row>
    <row r="114">
      <c r="A114" s="256">
        <v>2692.0</v>
      </c>
      <c r="B114" s="253" t="s">
        <v>492</v>
      </c>
      <c r="C114" s="253" t="s">
        <v>1370</v>
      </c>
      <c r="D114" s="253" t="s">
        <v>563</v>
      </c>
      <c r="E114" s="253" t="s">
        <v>1005</v>
      </c>
      <c r="F114" s="256">
        <v>5.0</v>
      </c>
      <c r="G114" s="256">
        <v>5.0</v>
      </c>
      <c r="H114" s="256">
        <v>0.0</v>
      </c>
      <c r="I114" s="256">
        <v>4.0</v>
      </c>
      <c r="J114" s="256">
        <v>4.0</v>
      </c>
      <c r="K114" s="256">
        <v>0.0</v>
      </c>
      <c r="L114" s="256">
        <v>9.0</v>
      </c>
      <c r="M114" s="256">
        <v>7.0</v>
      </c>
    </row>
    <row r="115">
      <c r="A115" s="254">
        <v>6572.0</v>
      </c>
      <c r="B115" s="255" t="s">
        <v>507</v>
      </c>
      <c r="C115" s="255" t="s">
        <v>291</v>
      </c>
      <c r="D115" s="255" t="s">
        <v>512</v>
      </c>
      <c r="E115" s="255" t="s">
        <v>1009</v>
      </c>
      <c r="F115" s="254">
        <v>4.0</v>
      </c>
      <c r="G115" s="254">
        <v>4.0</v>
      </c>
      <c r="H115" s="254">
        <v>0.0</v>
      </c>
      <c r="I115" s="254">
        <v>4.0</v>
      </c>
      <c r="J115" s="254">
        <v>4.0</v>
      </c>
      <c r="K115" s="254">
        <v>0.0</v>
      </c>
      <c r="L115" s="254">
        <v>9.0</v>
      </c>
      <c r="M115" s="254">
        <v>9.0</v>
      </c>
    </row>
    <row r="116">
      <c r="A116" s="256">
        <v>4377.0</v>
      </c>
      <c r="B116" s="253" t="s">
        <v>492</v>
      </c>
      <c r="C116" s="253" t="s">
        <v>714</v>
      </c>
      <c r="D116" s="253" t="s">
        <v>934</v>
      </c>
      <c r="E116" s="253" t="s">
        <v>1033</v>
      </c>
      <c r="F116" s="256">
        <v>9.0</v>
      </c>
      <c r="G116" s="256">
        <v>10.0</v>
      </c>
      <c r="H116" s="256">
        <v>-1.0</v>
      </c>
      <c r="I116" s="256">
        <v>8.0</v>
      </c>
      <c r="J116" s="256">
        <v>9.0</v>
      </c>
      <c r="K116" s="256">
        <v>-1.0</v>
      </c>
      <c r="L116" s="256">
        <v>9.0</v>
      </c>
      <c r="M116" s="256">
        <v>9.0</v>
      </c>
    </row>
    <row r="117">
      <c r="A117" s="256">
        <v>333.0</v>
      </c>
      <c r="B117" s="253" t="s">
        <v>492</v>
      </c>
      <c r="C117" s="253" t="s">
        <v>850</v>
      </c>
      <c r="D117" s="253" t="s">
        <v>930</v>
      </c>
      <c r="E117" s="253" t="s">
        <v>1000</v>
      </c>
      <c r="F117" s="256">
        <v>8.0</v>
      </c>
      <c r="G117" s="256">
        <v>7.0</v>
      </c>
      <c r="H117" s="256">
        <v>1.0</v>
      </c>
      <c r="I117" s="256">
        <v>8.0</v>
      </c>
      <c r="J117" s="256">
        <v>8.0</v>
      </c>
      <c r="K117" s="256">
        <v>0.0</v>
      </c>
      <c r="L117" s="256">
        <v>12.0</v>
      </c>
      <c r="M117" s="256">
        <v>14.0</v>
      </c>
    </row>
    <row r="118">
      <c r="A118" s="256">
        <v>5776.0</v>
      </c>
      <c r="B118" s="253" t="s">
        <v>507</v>
      </c>
      <c r="C118" s="253" t="s">
        <v>1371</v>
      </c>
      <c r="D118" s="253" t="s">
        <v>507</v>
      </c>
      <c r="E118" s="253" t="s">
        <v>1005</v>
      </c>
      <c r="F118" s="256">
        <v>2.0</v>
      </c>
      <c r="G118" s="256">
        <v>1.0</v>
      </c>
      <c r="H118" s="256">
        <v>1.0</v>
      </c>
      <c r="I118" s="256">
        <v>2.0</v>
      </c>
      <c r="J118" s="256">
        <v>1.0</v>
      </c>
      <c r="K118" s="256">
        <v>1.0</v>
      </c>
      <c r="L118" s="256">
        <v>1.0</v>
      </c>
      <c r="M118" s="256">
        <v>1.0</v>
      </c>
    </row>
    <row r="119">
      <c r="A119" s="256">
        <v>4657.0</v>
      </c>
      <c r="B119" s="253" t="s">
        <v>480</v>
      </c>
      <c r="C119" s="253" t="s">
        <v>1029</v>
      </c>
      <c r="D119" s="253" t="s">
        <v>938</v>
      </c>
      <c r="E119" s="253" t="s">
        <v>988</v>
      </c>
      <c r="F119" s="256">
        <v>2.0</v>
      </c>
      <c r="G119" s="256">
        <v>3.0</v>
      </c>
      <c r="H119" s="256">
        <v>-1.0</v>
      </c>
      <c r="I119" s="256">
        <v>2.0</v>
      </c>
      <c r="J119" s="256">
        <v>3.0</v>
      </c>
      <c r="K119" s="256">
        <v>-1.0</v>
      </c>
      <c r="L119" s="256">
        <v>7.0</v>
      </c>
      <c r="M119" s="256">
        <v>5.0</v>
      </c>
    </row>
    <row r="120">
      <c r="A120" s="254">
        <v>6576.0</v>
      </c>
      <c r="B120" s="255" t="s">
        <v>480</v>
      </c>
      <c r="C120" s="255" t="s">
        <v>1372</v>
      </c>
      <c r="D120" s="255" t="s">
        <v>938</v>
      </c>
      <c r="E120" s="255" t="s">
        <v>983</v>
      </c>
      <c r="F120" s="254">
        <v>4.0</v>
      </c>
      <c r="G120" s="254">
        <v>4.0</v>
      </c>
      <c r="H120" s="254">
        <v>0.0</v>
      </c>
      <c r="I120" s="254">
        <v>4.0</v>
      </c>
      <c r="J120" s="254">
        <v>4.0</v>
      </c>
      <c r="K120" s="254">
        <v>0.0</v>
      </c>
      <c r="L120" s="254">
        <v>6.0</v>
      </c>
      <c r="M120" s="254">
        <v>6.0</v>
      </c>
    </row>
    <row r="121">
      <c r="A121" s="256">
        <v>2294.0</v>
      </c>
      <c r="B121" s="253" t="s">
        <v>477</v>
      </c>
      <c r="C121" s="253" t="s">
        <v>1373</v>
      </c>
      <c r="D121" s="253" t="s">
        <v>478</v>
      </c>
      <c r="E121" s="253" t="s">
        <v>1342</v>
      </c>
      <c r="F121" s="256">
        <v>2.0</v>
      </c>
      <c r="G121" s="256">
        <v>1.0</v>
      </c>
      <c r="H121" s="256">
        <v>1.0</v>
      </c>
      <c r="I121" s="256">
        <v>2.0</v>
      </c>
      <c r="J121" s="256">
        <v>1.0</v>
      </c>
      <c r="K121" s="256">
        <v>1.0</v>
      </c>
      <c r="L121" s="256">
        <v>1.0</v>
      </c>
      <c r="M121" s="256">
        <v>1.0</v>
      </c>
    </row>
    <row r="122">
      <c r="A122" s="254">
        <v>306.0</v>
      </c>
      <c r="B122" s="255" t="s">
        <v>507</v>
      </c>
      <c r="C122" s="255" t="s">
        <v>1228</v>
      </c>
      <c r="D122" s="255" t="s">
        <v>512</v>
      </c>
      <c r="E122" s="255" t="s">
        <v>1222</v>
      </c>
      <c r="F122" s="254">
        <v>7.0</v>
      </c>
      <c r="G122" s="254">
        <v>7.0</v>
      </c>
      <c r="H122" s="254">
        <v>0.0</v>
      </c>
      <c r="I122" s="254">
        <v>7.0</v>
      </c>
      <c r="J122" s="254">
        <v>7.0</v>
      </c>
      <c r="K122" s="254">
        <v>0.0</v>
      </c>
      <c r="L122" s="254">
        <v>24.0</v>
      </c>
      <c r="M122" s="254">
        <v>14.0</v>
      </c>
    </row>
    <row r="123">
      <c r="A123" s="256">
        <v>6439.0</v>
      </c>
      <c r="B123" s="253" t="s">
        <v>507</v>
      </c>
      <c r="C123" s="253" t="s">
        <v>1030</v>
      </c>
      <c r="D123" s="253" t="s">
        <v>512</v>
      </c>
      <c r="E123" s="253" t="s">
        <v>1342</v>
      </c>
      <c r="F123" s="256">
        <v>10.0</v>
      </c>
      <c r="G123" s="256">
        <v>11.0</v>
      </c>
      <c r="H123" s="256">
        <v>-1.0</v>
      </c>
      <c r="I123" s="256">
        <v>10.0</v>
      </c>
      <c r="J123" s="256">
        <v>11.0</v>
      </c>
      <c r="K123" s="256">
        <v>-1.0</v>
      </c>
      <c r="L123" s="256">
        <v>28.0</v>
      </c>
      <c r="M123" s="256">
        <v>22.0</v>
      </c>
    </row>
    <row r="124">
      <c r="A124" s="256">
        <v>2002.0</v>
      </c>
      <c r="B124" s="253" t="s">
        <v>507</v>
      </c>
      <c r="C124" s="253" t="s">
        <v>948</v>
      </c>
      <c r="D124" s="253" t="s">
        <v>507</v>
      </c>
      <c r="E124" s="253" t="s">
        <v>976</v>
      </c>
      <c r="F124" s="256">
        <v>19.0</v>
      </c>
      <c r="G124" s="256">
        <v>17.0</v>
      </c>
      <c r="H124" s="256">
        <v>2.0</v>
      </c>
      <c r="I124" s="256">
        <v>19.0</v>
      </c>
      <c r="J124" s="256">
        <v>17.0</v>
      </c>
      <c r="K124" s="256">
        <v>2.0</v>
      </c>
      <c r="L124" s="256">
        <v>142.0</v>
      </c>
      <c r="M124" s="256">
        <v>142.0</v>
      </c>
    </row>
    <row r="125">
      <c r="A125" s="256">
        <v>6403.0</v>
      </c>
      <c r="B125" s="253" t="s">
        <v>477</v>
      </c>
      <c r="C125" s="253" t="s">
        <v>1297</v>
      </c>
      <c r="D125" s="253" t="s">
        <v>478</v>
      </c>
      <c r="E125" s="253" t="s">
        <v>1033</v>
      </c>
      <c r="F125" s="256">
        <v>2.0</v>
      </c>
      <c r="G125" s="256">
        <v>3.0</v>
      </c>
      <c r="H125" s="256">
        <v>-1.0</v>
      </c>
      <c r="I125" s="256">
        <v>2.0</v>
      </c>
      <c r="J125" s="256">
        <v>3.0</v>
      </c>
      <c r="K125" s="256">
        <v>-1.0</v>
      </c>
      <c r="L125" s="256">
        <v>16.0</v>
      </c>
      <c r="M125" s="256">
        <v>16.0</v>
      </c>
    </row>
    <row r="126">
      <c r="A126" s="256">
        <v>4856.0</v>
      </c>
      <c r="B126" s="253" t="s">
        <v>492</v>
      </c>
      <c r="C126" s="253" t="s">
        <v>151</v>
      </c>
      <c r="D126" s="253" t="s">
        <v>935</v>
      </c>
      <c r="E126" s="253" t="s">
        <v>991</v>
      </c>
      <c r="F126" s="256">
        <v>19.0</v>
      </c>
      <c r="G126" s="256">
        <v>19.0</v>
      </c>
      <c r="H126" s="256">
        <v>0.0</v>
      </c>
      <c r="I126" s="256">
        <v>18.0</v>
      </c>
      <c r="J126" s="256">
        <v>18.0</v>
      </c>
      <c r="K126" s="256">
        <v>0.0</v>
      </c>
      <c r="L126" s="256">
        <v>75.0</v>
      </c>
      <c r="M126" s="256">
        <v>75.0</v>
      </c>
    </row>
    <row r="127">
      <c r="A127" s="256">
        <v>5757.0</v>
      </c>
      <c r="B127" s="253" t="s">
        <v>480</v>
      </c>
      <c r="C127" s="253" t="s">
        <v>1374</v>
      </c>
      <c r="D127" s="253" t="s">
        <v>481</v>
      </c>
      <c r="E127" s="253" t="s">
        <v>1225</v>
      </c>
      <c r="F127" s="256">
        <v>2.0</v>
      </c>
      <c r="G127" s="256">
        <v>3.0</v>
      </c>
      <c r="H127" s="256">
        <v>-1.0</v>
      </c>
      <c r="I127" s="256">
        <v>2.0</v>
      </c>
      <c r="J127" s="256">
        <v>3.0</v>
      </c>
      <c r="K127" s="256">
        <v>-1.0</v>
      </c>
      <c r="L127" s="256">
        <v>4.0</v>
      </c>
      <c r="M127" s="256">
        <v>4.0</v>
      </c>
    </row>
    <row r="128">
      <c r="A128" s="256">
        <v>5880.0</v>
      </c>
      <c r="B128" s="253" t="s">
        <v>492</v>
      </c>
      <c r="C128" s="253" t="s">
        <v>1286</v>
      </c>
      <c r="D128" s="253" t="s">
        <v>1089</v>
      </c>
      <c r="E128" s="253" t="s">
        <v>1225</v>
      </c>
      <c r="F128" s="256">
        <v>14.0</v>
      </c>
      <c r="G128" s="256">
        <v>14.0</v>
      </c>
      <c r="H128" s="256">
        <v>0.0</v>
      </c>
      <c r="I128" s="256">
        <v>15.0</v>
      </c>
      <c r="J128" s="256">
        <v>15.0</v>
      </c>
      <c r="K128" s="256">
        <v>0.0</v>
      </c>
      <c r="L128" s="256">
        <v>42.0</v>
      </c>
      <c r="M128" s="256">
        <v>46.0</v>
      </c>
    </row>
    <row r="129">
      <c r="A129" s="256">
        <v>4923.0</v>
      </c>
      <c r="B129" s="253" t="s">
        <v>507</v>
      </c>
      <c r="C129" s="253" t="s">
        <v>758</v>
      </c>
      <c r="D129" s="253" t="s">
        <v>512</v>
      </c>
      <c r="E129" s="253" t="s">
        <v>1225</v>
      </c>
      <c r="F129" s="256">
        <v>9.0</v>
      </c>
      <c r="G129" s="256">
        <v>10.0</v>
      </c>
      <c r="H129" s="256">
        <v>-1.0</v>
      </c>
      <c r="I129" s="256">
        <v>8.0</v>
      </c>
      <c r="J129" s="256">
        <v>9.0</v>
      </c>
      <c r="K129" s="256">
        <v>-1.0</v>
      </c>
      <c r="L129" s="256">
        <v>40.0</v>
      </c>
      <c r="M129" s="256">
        <v>33.0</v>
      </c>
    </row>
    <row r="130">
      <c r="A130" s="256">
        <v>5878.0</v>
      </c>
      <c r="B130" s="253" t="s">
        <v>492</v>
      </c>
      <c r="C130" s="253" t="s">
        <v>817</v>
      </c>
      <c r="D130" s="253" t="s">
        <v>934</v>
      </c>
      <c r="E130" s="253" t="s">
        <v>1225</v>
      </c>
      <c r="F130" s="256">
        <v>12.0</v>
      </c>
      <c r="G130" s="256">
        <v>9.0</v>
      </c>
      <c r="H130" s="256">
        <v>3.0</v>
      </c>
      <c r="I130" s="256">
        <v>12.0</v>
      </c>
      <c r="J130" s="256">
        <v>9.0</v>
      </c>
      <c r="K130" s="256">
        <v>3.0</v>
      </c>
      <c r="L130" s="256">
        <v>25.0</v>
      </c>
      <c r="M130" s="256">
        <v>25.0</v>
      </c>
    </row>
    <row r="131">
      <c r="A131" s="254">
        <v>6495.0</v>
      </c>
      <c r="B131" s="255" t="s">
        <v>480</v>
      </c>
      <c r="C131" s="255" t="s">
        <v>50</v>
      </c>
      <c r="D131" s="255" t="s">
        <v>481</v>
      </c>
      <c r="E131" s="255" t="s">
        <v>1033</v>
      </c>
      <c r="F131" s="254">
        <v>2.0</v>
      </c>
      <c r="G131" s="254">
        <v>1.0</v>
      </c>
      <c r="H131" s="254">
        <v>1.0</v>
      </c>
      <c r="I131" s="254">
        <v>2.0</v>
      </c>
      <c r="J131" s="254">
        <v>1.0</v>
      </c>
      <c r="K131" s="254">
        <v>1.0</v>
      </c>
      <c r="L131" s="254">
        <v>1.0</v>
      </c>
      <c r="M131" s="254">
        <v>1.0</v>
      </c>
    </row>
    <row r="132">
      <c r="A132" s="256">
        <v>509.0</v>
      </c>
      <c r="B132" s="253" t="s">
        <v>477</v>
      </c>
      <c r="C132" s="253" t="s">
        <v>1375</v>
      </c>
      <c r="D132" s="253" t="s">
        <v>478</v>
      </c>
      <c r="E132" s="253" t="s">
        <v>1005</v>
      </c>
      <c r="F132" s="256">
        <v>5.0</v>
      </c>
      <c r="G132" s="256">
        <v>5.0</v>
      </c>
      <c r="H132" s="256">
        <v>0.0</v>
      </c>
      <c r="I132" s="256">
        <v>5.0</v>
      </c>
      <c r="J132" s="256">
        <v>5.0</v>
      </c>
      <c r="K132" s="256">
        <v>0.0</v>
      </c>
      <c r="L132" s="256">
        <v>15.0</v>
      </c>
      <c r="M132" s="256">
        <v>15.0</v>
      </c>
    </row>
    <row r="133">
      <c r="A133" s="256">
        <v>2845.0</v>
      </c>
      <c r="B133" s="253" t="s">
        <v>477</v>
      </c>
      <c r="C133" s="253" t="s">
        <v>456</v>
      </c>
      <c r="D133" s="253" t="s">
        <v>478</v>
      </c>
      <c r="E133" s="253" t="s">
        <v>987</v>
      </c>
      <c r="F133" s="256">
        <v>1.0</v>
      </c>
      <c r="G133" s="256">
        <v>1.0</v>
      </c>
      <c r="H133" s="256">
        <v>0.0</v>
      </c>
      <c r="I133" s="256">
        <v>1.0</v>
      </c>
      <c r="J133" s="256">
        <v>1.0</v>
      </c>
      <c r="K133" s="256">
        <v>0.0</v>
      </c>
      <c r="L133" s="256">
        <v>1.0</v>
      </c>
      <c r="M133" s="256">
        <v>1.0</v>
      </c>
    </row>
    <row r="134">
      <c r="A134" s="256">
        <v>5764.0</v>
      </c>
      <c r="B134" s="253" t="s">
        <v>480</v>
      </c>
      <c r="C134" s="253" t="s">
        <v>880</v>
      </c>
      <c r="D134" s="253" t="s">
        <v>481</v>
      </c>
      <c r="E134" s="253" t="s">
        <v>983</v>
      </c>
      <c r="F134" s="256">
        <v>2.0</v>
      </c>
      <c r="G134" s="256">
        <v>2.0</v>
      </c>
      <c r="H134" s="256">
        <v>0.0</v>
      </c>
      <c r="I134" s="256">
        <v>2.0</v>
      </c>
      <c r="J134" s="256">
        <v>2.0</v>
      </c>
      <c r="K134" s="256">
        <v>0.0</v>
      </c>
      <c r="L134" s="256">
        <v>2.0</v>
      </c>
      <c r="M134" s="256">
        <v>2.0</v>
      </c>
    </row>
    <row r="135">
      <c r="A135" s="256">
        <v>6407.0</v>
      </c>
      <c r="B135" s="253" t="s">
        <v>480</v>
      </c>
      <c r="C135" s="253" t="s">
        <v>52</v>
      </c>
      <c r="D135" s="253" t="s">
        <v>944</v>
      </c>
      <c r="E135" s="253" t="s">
        <v>1009</v>
      </c>
      <c r="F135" s="256">
        <v>2.0</v>
      </c>
      <c r="G135" s="256">
        <v>1.0</v>
      </c>
      <c r="H135" s="256">
        <v>1.0</v>
      </c>
      <c r="I135" s="256">
        <v>2.0</v>
      </c>
      <c r="J135" s="256">
        <v>1.0</v>
      </c>
      <c r="K135" s="256">
        <v>1.0</v>
      </c>
      <c r="L135" s="256">
        <v>1.0</v>
      </c>
      <c r="M135" s="256">
        <v>1.0</v>
      </c>
    </row>
    <row r="136">
      <c r="A136" s="256">
        <v>6419.0</v>
      </c>
      <c r="B136" s="253" t="s">
        <v>507</v>
      </c>
      <c r="C136" s="253" t="s">
        <v>1376</v>
      </c>
      <c r="D136" s="253" t="s">
        <v>507</v>
      </c>
      <c r="E136" s="253" t="s">
        <v>998</v>
      </c>
      <c r="F136" s="256">
        <v>1.0</v>
      </c>
      <c r="G136" s="256">
        <v>1.0</v>
      </c>
      <c r="H136" s="256">
        <v>0.0</v>
      </c>
      <c r="I136" s="256">
        <v>1.0</v>
      </c>
      <c r="J136" s="256">
        <v>1.0</v>
      </c>
      <c r="K136" s="256">
        <v>0.0</v>
      </c>
      <c r="L136" s="256">
        <v>1.0</v>
      </c>
      <c r="M136" s="256">
        <v>1.0</v>
      </c>
    </row>
    <row r="137">
      <c r="A137" s="256">
        <v>2338.0</v>
      </c>
      <c r="B137" s="253" t="s">
        <v>477</v>
      </c>
      <c r="C137" s="253" t="s">
        <v>1377</v>
      </c>
      <c r="D137" s="253" t="s">
        <v>478</v>
      </c>
      <c r="E137" s="253" t="s">
        <v>1355</v>
      </c>
      <c r="F137" s="256">
        <v>1.0</v>
      </c>
      <c r="G137" s="256">
        <v>1.0</v>
      </c>
      <c r="H137" s="256">
        <v>0.0</v>
      </c>
      <c r="I137" s="256">
        <v>1.0</v>
      </c>
      <c r="J137" s="256">
        <v>1.0</v>
      </c>
      <c r="K137" s="256">
        <v>0.0</v>
      </c>
      <c r="L137" s="256">
        <v>1.0</v>
      </c>
      <c r="M137" s="256">
        <v>1.0</v>
      </c>
    </row>
    <row r="138">
      <c r="A138" s="256">
        <v>5504.0</v>
      </c>
      <c r="B138" s="253" t="s">
        <v>492</v>
      </c>
      <c r="C138" s="253" t="s">
        <v>1037</v>
      </c>
      <c r="D138" s="253" t="s">
        <v>930</v>
      </c>
      <c r="E138" s="253" t="s">
        <v>1355</v>
      </c>
      <c r="F138" s="256">
        <v>8.0</v>
      </c>
      <c r="G138" s="256">
        <v>8.0</v>
      </c>
      <c r="H138" s="256">
        <v>0.0</v>
      </c>
      <c r="I138" s="256">
        <v>9.0</v>
      </c>
      <c r="J138" s="256">
        <v>9.0</v>
      </c>
      <c r="K138" s="256">
        <v>0.0</v>
      </c>
      <c r="L138" s="256">
        <v>10.0</v>
      </c>
      <c r="M138" s="256">
        <v>13.0</v>
      </c>
    </row>
    <row r="139">
      <c r="A139" s="256">
        <v>2178.0</v>
      </c>
      <c r="B139" s="253" t="s">
        <v>477</v>
      </c>
      <c r="C139" s="253" t="s">
        <v>809</v>
      </c>
      <c r="D139" s="253" t="s">
        <v>478</v>
      </c>
      <c r="E139" s="253" t="s">
        <v>1005</v>
      </c>
      <c r="F139" s="256">
        <v>3.0</v>
      </c>
      <c r="G139" s="256">
        <v>4.0</v>
      </c>
      <c r="H139" s="256">
        <v>-1.0</v>
      </c>
      <c r="I139" s="256">
        <v>3.0</v>
      </c>
      <c r="J139" s="256">
        <v>4.0</v>
      </c>
      <c r="K139" s="256">
        <v>-1.0</v>
      </c>
      <c r="L139" s="256">
        <v>8.0</v>
      </c>
      <c r="M139" s="256">
        <v>8.0</v>
      </c>
    </row>
    <row r="140">
      <c r="A140" s="256">
        <v>779.0</v>
      </c>
      <c r="B140" s="253" t="s">
        <v>492</v>
      </c>
      <c r="C140" s="253" t="s">
        <v>747</v>
      </c>
      <c r="D140" s="253" t="s">
        <v>930</v>
      </c>
      <c r="E140" s="253" t="s">
        <v>988</v>
      </c>
      <c r="F140" s="256">
        <v>10.0</v>
      </c>
      <c r="G140" s="256">
        <v>9.0</v>
      </c>
      <c r="H140" s="256">
        <v>1.0</v>
      </c>
      <c r="I140" s="256">
        <v>11.0</v>
      </c>
      <c r="J140" s="256">
        <v>10.0</v>
      </c>
      <c r="K140" s="256">
        <v>1.0</v>
      </c>
      <c r="L140" s="256">
        <v>17.0</v>
      </c>
      <c r="M140" s="256">
        <v>23.0</v>
      </c>
    </row>
    <row r="141">
      <c r="A141" s="254">
        <v>6490.0</v>
      </c>
      <c r="B141" s="255" t="s">
        <v>507</v>
      </c>
      <c r="C141" s="255" t="s">
        <v>1301</v>
      </c>
      <c r="D141" s="255" t="s">
        <v>512</v>
      </c>
      <c r="E141" s="255" t="s">
        <v>983</v>
      </c>
      <c r="F141" s="254">
        <v>2.0</v>
      </c>
      <c r="G141" s="254">
        <v>3.0</v>
      </c>
      <c r="H141" s="254">
        <v>-1.0</v>
      </c>
      <c r="I141" s="254">
        <v>2.0</v>
      </c>
      <c r="J141" s="254">
        <v>3.0</v>
      </c>
      <c r="K141" s="254">
        <v>-1.0</v>
      </c>
      <c r="L141" s="254">
        <v>8.0</v>
      </c>
      <c r="M141" s="254">
        <v>8.0</v>
      </c>
    </row>
    <row r="142">
      <c r="A142" s="256">
        <v>697.0</v>
      </c>
      <c r="B142" s="253" t="s">
        <v>480</v>
      </c>
      <c r="C142" s="253" t="s">
        <v>825</v>
      </c>
      <c r="D142" s="253" t="s">
        <v>521</v>
      </c>
      <c r="E142" s="253" t="s">
        <v>973</v>
      </c>
      <c r="F142" s="256">
        <v>10.0</v>
      </c>
      <c r="G142" s="256">
        <v>9.0</v>
      </c>
      <c r="H142" s="256">
        <v>1.0</v>
      </c>
      <c r="I142" s="256">
        <v>9.0</v>
      </c>
      <c r="J142" s="256">
        <v>8.0</v>
      </c>
      <c r="K142" s="256">
        <v>1.0</v>
      </c>
      <c r="L142" s="256">
        <v>34.0</v>
      </c>
      <c r="M142" s="256">
        <v>28.0</v>
      </c>
    </row>
    <row r="143">
      <c r="A143" s="256">
        <v>6214.0</v>
      </c>
      <c r="B143" s="253" t="s">
        <v>507</v>
      </c>
      <c r="C143" s="253" t="s">
        <v>1378</v>
      </c>
      <c r="D143" s="253" t="s">
        <v>512</v>
      </c>
      <c r="E143" s="253" t="s">
        <v>1342</v>
      </c>
      <c r="F143" s="256">
        <v>4.0</v>
      </c>
      <c r="G143" s="256">
        <v>4.0</v>
      </c>
      <c r="H143" s="256">
        <v>0.0</v>
      </c>
      <c r="I143" s="256">
        <v>3.0</v>
      </c>
      <c r="J143" s="256">
        <v>3.0</v>
      </c>
      <c r="K143" s="256">
        <v>0.0</v>
      </c>
      <c r="L143" s="256">
        <v>5.0</v>
      </c>
      <c r="M143" s="256">
        <v>5.0</v>
      </c>
    </row>
    <row r="144">
      <c r="A144" s="256">
        <v>253.0</v>
      </c>
      <c r="B144" s="253" t="s">
        <v>480</v>
      </c>
      <c r="C144" s="253" t="s">
        <v>1379</v>
      </c>
      <c r="D144" s="253" t="s">
        <v>954</v>
      </c>
      <c r="E144" s="253" t="s">
        <v>1225</v>
      </c>
      <c r="F144" s="256">
        <v>7.0</v>
      </c>
      <c r="G144" s="256">
        <v>7.0</v>
      </c>
      <c r="H144" s="256">
        <v>0.0</v>
      </c>
      <c r="I144" s="256">
        <v>9.0</v>
      </c>
      <c r="J144" s="256">
        <v>9.0</v>
      </c>
      <c r="K144" s="256">
        <v>0.0</v>
      </c>
      <c r="L144" s="256">
        <v>14.0</v>
      </c>
      <c r="M144" s="256">
        <v>14.0</v>
      </c>
    </row>
    <row r="145">
      <c r="A145" s="254">
        <v>6562.0</v>
      </c>
      <c r="B145" s="255" t="s">
        <v>492</v>
      </c>
      <c r="C145" s="255" t="s">
        <v>1303</v>
      </c>
      <c r="D145" s="255" t="s">
        <v>930</v>
      </c>
      <c r="E145" s="255" t="s">
        <v>983</v>
      </c>
      <c r="F145" s="254">
        <v>3.0</v>
      </c>
      <c r="G145" s="254">
        <v>3.0</v>
      </c>
      <c r="H145" s="254">
        <v>0.0</v>
      </c>
      <c r="I145" s="254">
        <v>3.0</v>
      </c>
      <c r="J145" s="254">
        <v>3.0</v>
      </c>
      <c r="K145" s="254">
        <v>0.0</v>
      </c>
      <c r="L145" s="254">
        <v>5.0</v>
      </c>
      <c r="M145" s="254">
        <v>5.0</v>
      </c>
    </row>
    <row r="146">
      <c r="A146" s="256">
        <v>5554.0</v>
      </c>
      <c r="B146" s="253" t="s">
        <v>480</v>
      </c>
      <c r="C146" s="253" t="s">
        <v>1280</v>
      </c>
      <c r="D146" s="253" t="s">
        <v>937</v>
      </c>
      <c r="E146" s="253" t="s">
        <v>1355</v>
      </c>
      <c r="F146" s="256">
        <v>2.0</v>
      </c>
      <c r="G146" s="256">
        <v>3.0</v>
      </c>
      <c r="H146" s="256">
        <v>-1.0</v>
      </c>
      <c r="I146" s="256">
        <v>2.0</v>
      </c>
      <c r="J146" s="256">
        <v>3.0</v>
      </c>
      <c r="K146" s="256">
        <v>-1.0</v>
      </c>
      <c r="L146" s="256">
        <v>4.0</v>
      </c>
      <c r="M146" s="256">
        <v>5.0</v>
      </c>
    </row>
    <row r="147">
      <c r="A147" s="256">
        <v>4237.0</v>
      </c>
      <c r="B147" s="253" t="s">
        <v>480</v>
      </c>
      <c r="C147" s="253" t="s">
        <v>607</v>
      </c>
      <c r="D147" s="253" t="s">
        <v>954</v>
      </c>
      <c r="E147" s="253" t="s">
        <v>976</v>
      </c>
      <c r="F147" s="256">
        <v>16.0</v>
      </c>
      <c r="G147" s="256">
        <v>15.0</v>
      </c>
      <c r="H147" s="256">
        <v>1.0</v>
      </c>
      <c r="I147" s="256">
        <v>19.0</v>
      </c>
      <c r="J147" s="256">
        <v>18.0</v>
      </c>
      <c r="K147" s="256">
        <v>1.0</v>
      </c>
      <c r="L147" s="256">
        <v>52.0</v>
      </c>
      <c r="M147" s="256">
        <v>48.0</v>
      </c>
    </row>
    <row r="148">
      <c r="A148" s="256">
        <v>2525.0</v>
      </c>
      <c r="B148" s="253" t="s">
        <v>480</v>
      </c>
      <c r="C148" s="253" t="s">
        <v>193</v>
      </c>
      <c r="D148" s="253" t="s">
        <v>937</v>
      </c>
      <c r="E148" s="253" t="s">
        <v>973</v>
      </c>
      <c r="F148" s="256">
        <v>12.0</v>
      </c>
      <c r="G148" s="256">
        <v>11.0</v>
      </c>
      <c r="H148" s="256">
        <v>1.0</v>
      </c>
      <c r="I148" s="256">
        <v>14.0</v>
      </c>
      <c r="J148" s="256">
        <v>13.0</v>
      </c>
      <c r="K148" s="256">
        <v>1.0</v>
      </c>
      <c r="L148" s="256">
        <v>23.0</v>
      </c>
      <c r="M148" s="256">
        <v>27.0</v>
      </c>
    </row>
    <row r="149">
      <c r="A149" s="256">
        <v>5637.0</v>
      </c>
      <c r="B149" s="253" t="s">
        <v>507</v>
      </c>
      <c r="C149" s="253" t="s">
        <v>1040</v>
      </c>
      <c r="D149" s="253" t="s">
        <v>512</v>
      </c>
      <c r="E149" s="253" t="s">
        <v>993</v>
      </c>
      <c r="F149" s="256">
        <v>10.0</v>
      </c>
      <c r="G149" s="256">
        <v>10.0</v>
      </c>
      <c r="H149" s="256">
        <v>0.0</v>
      </c>
      <c r="I149" s="256">
        <v>10.0</v>
      </c>
      <c r="J149" s="256">
        <v>10.0</v>
      </c>
      <c r="K149" s="256">
        <v>0.0</v>
      </c>
      <c r="L149" s="256">
        <v>24.0</v>
      </c>
      <c r="M149" s="256">
        <v>22.0</v>
      </c>
    </row>
    <row r="150">
      <c r="A150" s="256">
        <v>4493.0</v>
      </c>
      <c r="B150" s="253" t="s">
        <v>480</v>
      </c>
      <c r="C150" s="253" t="s">
        <v>881</v>
      </c>
      <c r="D150" s="253" t="s">
        <v>481</v>
      </c>
      <c r="E150" s="253" t="s">
        <v>983</v>
      </c>
      <c r="F150" s="256">
        <v>5.0</v>
      </c>
      <c r="G150" s="256">
        <v>4.0</v>
      </c>
      <c r="H150" s="256">
        <v>1.0</v>
      </c>
      <c r="I150" s="256">
        <v>5.0</v>
      </c>
      <c r="J150" s="256">
        <v>4.0</v>
      </c>
      <c r="K150" s="256">
        <v>1.0</v>
      </c>
      <c r="L150" s="256">
        <v>5.0</v>
      </c>
      <c r="M150" s="256">
        <v>5.0</v>
      </c>
    </row>
    <row r="151">
      <c r="A151" s="256">
        <v>5995.0</v>
      </c>
      <c r="B151" s="253" t="s">
        <v>492</v>
      </c>
      <c r="C151" s="253" t="s">
        <v>785</v>
      </c>
      <c r="D151" s="253" t="s">
        <v>543</v>
      </c>
      <c r="E151" s="253" t="s">
        <v>980</v>
      </c>
      <c r="F151" s="256">
        <v>9.0</v>
      </c>
      <c r="G151" s="256">
        <v>7.0</v>
      </c>
      <c r="H151" s="256">
        <v>2.0</v>
      </c>
      <c r="I151" s="256">
        <v>9.0</v>
      </c>
      <c r="J151" s="256">
        <v>7.0</v>
      </c>
      <c r="K151" s="256">
        <v>2.0</v>
      </c>
      <c r="L151" s="256">
        <v>41.0</v>
      </c>
      <c r="M151" s="256">
        <v>37.0</v>
      </c>
    </row>
    <row r="152">
      <c r="A152" s="256">
        <v>22.0</v>
      </c>
      <c r="B152" s="253" t="s">
        <v>492</v>
      </c>
      <c r="C152" s="253" t="s">
        <v>748</v>
      </c>
      <c r="D152" s="253" t="s">
        <v>930</v>
      </c>
      <c r="E152" s="253" t="s">
        <v>980</v>
      </c>
      <c r="F152" s="256">
        <v>11.0</v>
      </c>
      <c r="G152" s="256">
        <v>11.0</v>
      </c>
      <c r="H152" s="256">
        <v>0.0</v>
      </c>
      <c r="I152" s="256">
        <v>12.0</v>
      </c>
      <c r="J152" s="256">
        <v>12.0</v>
      </c>
      <c r="K152" s="256">
        <v>0.0</v>
      </c>
      <c r="L152" s="256">
        <v>18.0</v>
      </c>
      <c r="M152" s="256">
        <v>22.0</v>
      </c>
    </row>
    <row r="153">
      <c r="A153" s="256">
        <v>358.0</v>
      </c>
      <c r="B153" s="253" t="s">
        <v>480</v>
      </c>
      <c r="C153" s="253" t="s">
        <v>898</v>
      </c>
      <c r="D153" s="253" t="s">
        <v>944</v>
      </c>
      <c r="E153" s="253" t="s">
        <v>976</v>
      </c>
      <c r="F153" s="256">
        <v>2.0</v>
      </c>
      <c r="G153" s="256">
        <v>3.0</v>
      </c>
      <c r="H153" s="256">
        <v>-1.0</v>
      </c>
      <c r="I153" s="256">
        <v>2.0</v>
      </c>
      <c r="J153" s="256">
        <v>3.0</v>
      </c>
      <c r="K153" s="256">
        <v>-1.0</v>
      </c>
      <c r="L153" s="256">
        <v>6.0</v>
      </c>
      <c r="M153" s="256">
        <v>6.0</v>
      </c>
    </row>
    <row r="154">
      <c r="A154" s="256">
        <v>487.0</v>
      </c>
      <c r="B154" s="253" t="s">
        <v>480</v>
      </c>
      <c r="C154" s="253" t="s">
        <v>1043</v>
      </c>
      <c r="D154" s="253" t="s">
        <v>938</v>
      </c>
      <c r="E154" s="253" t="s">
        <v>1009</v>
      </c>
      <c r="F154" s="256">
        <v>1.0</v>
      </c>
      <c r="G154" s="256">
        <v>2.0</v>
      </c>
      <c r="H154" s="256">
        <v>-1.0</v>
      </c>
      <c r="I154" s="256">
        <v>1.0</v>
      </c>
      <c r="J154" s="256">
        <v>2.0</v>
      </c>
      <c r="K154" s="256">
        <v>-1.0</v>
      </c>
      <c r="L154" s="256">
        <v>3.0</v>
      </c>
      <c r="M154" s="256">
        <v>3.0</v>
      </c>
    </row>
    <row r="155">
      <c r="A155" s="256">
        <v>322.0</v>
      </c>
      <c r="B155" s="253" t="s">
        <v>480</v>
      </c>
      <c r="C155" s="253" t="s">
        <v>776</v>
      </c>
      <c r="D155" s="253" t="s">
        <v>481</v>
      </c>
      <c r="E155" s="253" t="s">
        <v>973</v>
      </c>
      <c r="F155" s="256">
        <v>8.0</v>
      </c>
      <c r="G155" s="256">
        <v>6.0</v>
      </c>
      <c r="H155" s="256">
        <v>2.0</v>
      </c>
      <c r="I155" s="256">
        <v>8.0</v>
      </c>
      <c r="J155" s="256">
        <v>6.0</v>
      </c>
      <c r="K155" s="256">
        <v>2.0</v>
      </c>
      <c r="L155" s="256">
        <v>13.0</v>
      </c>
      <c r="M155" s="256">
        <v>13.0</v>
      </c>
    </row>
    <row r="156">
      <c r="A156" s="256">
        <v>5739.0</v>
      </c>
      <c r="B156" s="253" t="s">
        <v>480</v>
      </c>
      <c r="C156" s="253" t="s">
        <v>618</v>
      </c>
      <c r="D156" s="253" t="s">
        <v>937</v>
      </c>
      <c r="E156" s="253" t="s">
        <v>1026</v>
      </c>
      <c r="F156" s="256">
        <v>2.0</v>
      </c>
      <c r="G156" s="256">
        <v>3.0</v>
      </c>
      <c r="H156" s="256">
        <v>-1.0</v>
      </c>
      <c r="I156" s="256">
        <v>2.0</v>
      </c>
      <c r="J156" s="256">
        <v>3.0</v>
      </c>
      <c r="K156" s="256">
        <v>-1.0</v>
      </c>
      <c r="L156" s="256">
        <v>6.0</v>
      </c>
      <c r="M156" s="256">
        <v>8.0</v>
      </c>
    </row>
    <row r="157">
      <c r="A157" s="256">
        <v>643.0</v>
      </c>
      <c r="B157" s="253" t="s">
        <v>507</v>
      </c>
      <c r="C157" s="253" t="s">
        <v>1380</v>
      </c>
      <c r="D157" s="253" t="s">
        <v>507</v>
      </c>
      <c r="E157" s="253" t="s">
        <v>1005</v>
      </c>
      <c r="F157" s="256">
        <v>9.0</v>
      </c>
      <c r="G157" s="256">
        <v>9.0</v>
      </c>
      <c r="H157" s="256">
        <v>0.0</v>
      </c>
      <c r="I157" s="256">
        <v>9.0</v>
      </c>
      <c r="J157" s="256">
        <v>9.0</v>
      </c>
      <c r="K157" s="256">
        <v>0.0</v>
      </c>
      <c r="L157" s="256">
        <v>12.0</v>
      </c>
      <c r="M157" s="256">
        <v>13.0</v>
      </c>
    </row>
    <row r="158">
      <c r="A158" s="256">
        <v>1871.0</v>
      </c>
      <c r="B158" s="253" t="s">
        <v>492</v>
      </c>
      <c r="C158" s="253" t="s">
        <v>1044</v>
      </c>
      <c r="D158" s="253" t="s">
        <v>930</v>
      </c>
      <c r="E158" s="253" t="s">
        <v>975</v>
      </c>
      <c r="F158" s="256">
        <v>4.0</v>
      </c>
      <c r="G158" s="256">
        <v>4.0</v>
      </c>
      <c r="H158" s="256">
        <v>0.0</v>
      </c>
      <c r="I158" s="256">
        <v>4.0</v>
      </c>
      <c r="J158" s="256">
        <v>4.0</v>
      </c>
      <c r="K158" s="256">
        <v>0.0</v>
      </c>
      <c r="L158" s="256">
        <v>5.0</v>
      </c>
      <c r="M158" s="256">
        <v>6.0</v>
      </c>
    </row>
    <row r="159">
      <c r="A159" s="256">
        <v>4725.0</v>
      </c>
      <c r="B159" s="253" t="s">
        <v>492</v>
      </c>
      <c r="C159" s="253" t="s">
        <v>1381</v>
      </c>
      <c r="D159" s="253" t="s">
        <v>1382</v>
      </c>
      <c r="E159" s="253" t="s">
        <v>987</v>
      </c>
      <c r="F159" s="256">
        <v>1.0</v>
      </c>
      <c r="G159" s="256">
        <v>1.0</v>
      </c>
      <c r="H159" s="256">
        <v>0.0</v>
      </c>
      <c r="I159" s="256">
        <v>1.0</v>
      </c>
      <c r="J159" s="256">
        <v>1.0</v>
      </c>
      <c r="K159" s="256">
        <v>0.0</v>
      </c>
      <c r="L159" s="256">
        <v>1.0</v>
      </c>
      <c r="M159" s="256">
        <v>1.0</v>
      </c>
    </row>
    <row r="160">
      <c r="A160" s="254">
        <v>4272.0</v>
      </c>
      <c r="B160" s="255" t="s">
        <v>492</v>
      </c>
      <c r="C160" s="255" t="s">
        <v>1383</v>
      </c>
      <c r="D160" s="255" t="s">
        <v>1382</v>
      </c>
      <c r="E160" s="255" t="s">
        <v>987</v>
      </c>
      <c r="F160" s="254">
        <v>5.0</v>
      </c>
      <c r="G160" s="254">
        <v>6.0</v>
      </c>
      <c r="H160" s="254">
        <v>-1.0</v>
      </c>
      <c r="I160" s="254">
        <v>5.0</v>
      </c>
      <c r="J160" s="254">
        <v>6.0</v>
      </c>
      <c r="K160" s="254">
        <v>-1.0</v>
      </c>
      <c r="L160" s="254">
        <v>14.0</v>
      </c>
      <c r="M160" s="254">
        <v>14.0</v>
      </c>
    </row>
    <row r="161">
      <c r="A161" s="256">
        <v>139.0</v>
      </c>
      <c r="B161" s="253" t="s">
        <v>480</v>
      </c>
      <c r="C161" s="253" t="s">
        <v>1384</v>
      </c>
      <c r="D161" s="253" t="s">
        <v>481</v>
      </c>
      <c r="E161" s="253" t="s">
        <v>998</v>
      </c>
      <c r="F161" s="256">
        <v>1.0</v>
      </c>
      <c r="G161" s="256">
        <v>1.0</v>
      </c>
      <c r="H161" s="256">
        <v>0.0</v>
      </c>
      <c r="I161" s="256">
        <v>1.0</v>
      </c>
      <c r="J161" s="256">
        <v>1.0</v>
      </c>
      <c r="K161" s="256">
        <v>0.0</v>
      </c>
      <c r="L161" s="256">
        <v>1.0</v>
      </c>
      <c r="M161" s="256">
        <v>1.0</v>
      </c>
    </row>
    <row r="162">
      <c r="A162" s="256">
        <v>472.0</v>
      </c>
      <c r="B162" s="253" t="s">
        <v>507</v>
      </c>
      <c r="C162" s="253" t="s">
        <v>1385</v>
      </c>
      <c r="D162" s="253" t="s">
        <v>512</v>
      </c>
      <c r="E162" s="253" t="s">
        <v>1222</v>
      </c>
      <c r="F162" s="256">
        <v>2.0</v>
      </c>
      <c r="G162" s="256">
        <v>1.0</v>
      </c>
      <c r="H162" s="256">
        <v>1.0</v>
      </c>
      <c r="I162" s="256">
        <v>2.0</v>
      </c>
      <c r="J162" s="256">
        <v>1.0</v>
      </c>
      <c r="K162" s="256">
        <v>1.0</v>
      </c>
      <c r="L162" s="256">
        <v>1.0</v>
      </c>
      <c r="M162" s="256">
        <v>1.0</v>
      </c>
    </row>
    <row r="163">
      <c r="A163" s="256">
        <v>2119.0</v>
      </c>
      <c r="B163" s="253" t="s">
        <v>507</v>
      </c>
      <c r="C163" s="253" t="s">
        <v>1386</v>
      </c>
      <c r="D163" s="253" t="s">
        <v>507</v>
      </c>
      <c r="E163" s="253" t="s">
        <v>993</v>
      </c>
      <c r="F163" s="256">
        <v>13.0</v>
      </c>
      <c r="G163" s="256">
        <v>14.0</v>
      </c>
      <c r="H163" s="256">
        <v>-1.0</v>
      </c>
      <c r="I163" s="256">
        <v>13.0</v>
      </c>
      <c r="J163" s="256">
        <v>14.0</v>
      </c>
      <c r="K163" s="256">
        <v>-1.0</v>
      </c>
      <c r="L163" s="256">
        <v>20.0</v>
      </c>
      <c r="M163" s="256">
        <v>24.0</v>
      </c>
    </row>
    <row r="164">
      <c r="A164" s="256">
        <v>1926.0</v>
      </c>
      <c r="B164" s="253" t="s">
        <v>477</v>
      </c>
      <c r="C164" s="253" t="s">
        <v>834</v>
      </c>
      <c r="D164" s="253" t="s">
        <v>478</v>
      </c>
      <c r="E164" s="253" t="s">
        <v>973</v>
      </c>
      <c r="F164" s="256">
        <v>1.0</v>
      </c>
      <c r="G164" s="256">
        <v>1.0</v>
      </c>
      <c r="H164" s="256">
        <v>0.0</v>
      </c>
      <c r="I164" s="256">
        <v>1.0</v>
      </c>
      <c r="J164" s="256">
        <v>1.0</v>
      </c>
      <c r="K164" s="256">
        <v>0.0</v>
      </c>
      <c r="L164" s="256">
        <v>1.0</v>
      </c>
      <c r="M164" s="256">
        <v>1.0</v>
      </c>
    </row>
    <row r="165">
      <c r="A165" s="256">
        <v>5876.0</v>
      </c>
      <c r="B165" s="253" t="s">
        <v>477</v>
      </c>
      <c r="C165" s="253" t="s">
        <v>295</v>
      </c>
      <c r="D165" s="253" t="s">
        <v>478</v>
      </c>
      <c r="E165" s="253" t="s">
        <v>1225</v>
      </c>
      <c r="F165" s="256">
        <v>12.0</v>
      </c>
      <c r="G165" s="256">
        <v>12.0</v>
      </c>
      <c r="H165" s="256">
        <v>0.0</v>
      </c>
      <c r="I165" s="256">
        <v>12.0</v>
      </c>
      <c r="J165" s="256">
        <v>12.0</v>
      </c>
      <c r="K165" s="256">
        <v>0.0</v>
      </c>
      <c r="L165" s="256">
        <v>37.0</v>
      </c>
      <c r="M165" s="256">
        <v>37.0</v>
      </c>
    </row>
    <row r="166">
      <c r="A166" s="256">
        <v>2816.0</v>
      </c>
      <c r="B166" s="253" t="s">
        <v>480</v>
      </c>
      <c r="C166" s="253" t="s">
        <v>717</v>
      </c>
      <c r="D166" s="253" t="s">
        <v>938</v>
      </c>
      <c r="E166" s="253" t="s">
        <v>987</v>
      </c>
      <c r="F166" s="256">
        <v>20.0</v>
      </c>
      <c r="G166" s="256">
        <v>18.0</v>
      </c>
      <c r="H166" s="256">
        <v>2.0</v>
      </c>
      <c r="I166" s="256">
        <v>20.0</v>
      </c>
      <c r="J166" s="256">
        <v>18.0</v>
      </c>
      <c r="K166" s="256">
        <v>2.0</v>
      </c>
      <c r="L166" s="256">
        <v>96.0</v>
      </c>
      <c r="M166" s="256">
        <v>96.0</v>
      </c>
    </row>
    <row r="167">
      <c r="A167" s="256">
        <v>5406.0</v>
      </c>
      <c r="B167" s="253" t="s">
        <v>480</v>
      </c>
      <c r="C167" s="253" t="s">
        <v>1047</v>
      </c>
      <c r="D167" s="253" t="s">
        <v>938</v>
      </c>
      <c r="E167" s="253" t="s">
        <v>975</v>
      </c>
      <c r="F167" s="256">
        <v>3.0</v>
      </c>
      <c r="G167" s="256">
        <v>2.0</v>
      </c>
      <c r="H167" s="256">
        <v>1.0</v>
      </c>
      <c r="I167" s="256">
        <v>3.0</v>
      </c>
      <c r="J167" s="256">
        <v>2.0</v>
      </c>
      <c r="K167" s="256">
        <v>1.0</v>
      </c>
      <c r="L167" s="256">
        <v>3.0</v>
      </c>
      <c r="M167" s="256">
        <v>3.0</v>
      </c>
    </row>
    <row r="168">
      <c r="A168" s="256">
        <v>5672.0</v>
      </c>
      <c r="B168" s="253" t="s">
        <v>507</v>
      </c>
      <c r="C168" s="253" t="s">
        <v>777</v>
      </c>
      <c r="D168" s="253" t="s">
        <v>512</v>
      </c>
      <c r="E168" s="253" t="s">
        <v>1355</v>
      </c>
      <c r="F168" s="256">
        <v>26.0</v>
      </c>
      <c r="G168" s="256">
        <v>26.0</v>
      </c>
      <c r="H168" s="256">
        <v>0.0</v>
      </c>
      <c r="I168" s="256">
        <v>26.0</v>
      </c>
      <c r="J168" s="256">
        <v>26.0</v>
      </c>
      <c r="K168" s="256">
        <v>0.0</v>
      </c>
      <c r="L168" s="256">
        <v>156.0</v>
      </c>
      <c r="M168" s="256">
        <v>156.0</v>
      </c>
    </row>
    <row r="169">
      <c r="A169" s="256">
        <v>254.0</v>
      </c>
      <c r="B169" s="253" t="s">
        <v>480</v>
      </c>
      <c r="C169" s="253" t="s">
        <v>284</v>
      </c>
      <c r="D169" s="253" t="s">
        <v>521</v>
      </c>
      <c r="E169" s="253" t="s">
        <v>973</v>
      </c>
      <c r="F169" s="256">
        <v>20.0</v>
      </c>
      <c r="G169" s="256">
        <v>19.0</v>
      </c>
      <c r="H169" s="256">
        <v>1.0</v>
      </c>
      <c r="I169" s="256">
        <v>19.0</v>
      </c>
      <c r="J169" s="256">
        <v>18.0</v>
      </c>
      <c r="K169" s="256">
        <v>1.0</v>
      </c>
      <c r="L169" s="256">
        <v>81.0</v>
      </c>
      <c r="M169" s="256">
        <v>72.0</v>
      </c>
    </row>
    <row r="170">
      <c r="A170" s="254">
        <v>5533.0</v>
      </c>
      <c r="B170" s="255" t="s">
        <v>480</v>
      </c>
      <c r="C170" s="255" t="s">
        <v>1279</v>
      </c>
      <c r="D170" s="255" t="s">
        <v>954</v>
      </c>
      <c r="E170" s="255" t="s">
        <v>976</v>
      </c>
      <c r="F170" s="254">
        <v>4.0</v>
      </c>
      <c r="G170" s="254">
        <v>5.0</v>
      </c>
      <c r="H170" s="254">
        <v>-1.0</v>
      </c>
      <c r="I170" s="254">
        <v>6.0</v>
      </c>
      <c r="J170" s="254">
        <v>7.0</v>
      </c>
      <c r="K170" s="254">
        <v>-1.0</v>
      </c>
      <c r="L170" s="254">
        <v>13.0</v>
      </c>
      <c r="M170" s="254">
        <v>18.0</v>
      </c>
    </row>
    <row r="171">
      <c r="A171" s="256">
        <v>2869.0</v>
      </c>
      <c r="B171" s="253" t="s">
        <v>480</v>
      </c>
      <c r="C171" s="253" t="s">
        <v>1387</v>
      </c>
      <c r="D171" s="253" t="s">
        <v>481</v>
      </c>
      <c r="E171" s="253" t="s">
        <v>972</v>
      </c>
      <c r="F171" s="256">
        <v>5.0</v>
      </c>
      <c r="G171" s="256">
        <v>6.0</v>
      </c>
      <c r="H171" s="256">
        <v>-1.0</v>
      </c>
      <c r="I171" s="256">
        <v>5.0</v>
      </c>
      <c r="J171" s="256">
        <v>6.0</v>
      </c>
      <c r="K171" s="256">
        <v>-1.0</v>
      </c>
      <c r="L171" s="256">
        <v>7.0</v>
      </c>
      <c r="M171" s="256">
        <v>7.0</v>
      </c>
    </row>
    <row r="172">
      <c r="A172" s="256">
        <v>787.0</v>
      </c>
      <c r="B172" s="253" t="s">
        <v>480</v>
      </c>
      <c r="C172" s="253" t="s">
        <v>693</v>
      </c>
      <c r="D172" s="253" t="s">
        <v>481</v>
      </c>
      <c r="E172" s="253" t="s">
        <v>980</v>
      </c>
      <c r="F172" s="256">
        <v>8.0</v>
      </c>
      <c r="G172" s="256">
        <v>7.0</v>
      </c>
      <c r="H172" s="256">
        <v>1.0</v>
      </c>
      <c r="I172" s="256">
        <v>8.0</v>
      </c>
      <c r="J172" s="256">
        <v>7.0</v>
      </c>
      <c r="K172" s="256">
        <v>1.0</v>
      </c>
      <c r="L172" s="256">
        <v>16.0</v>
      </c>
      <c r="M172" s="256">
        <v>16.0</v>
      </c>
    </row>
    <row r="173">
      <c r="A173" s="256">
        <v>5471.0</v>
      </c>
      <c r="B173" s="253" t="s">
        <v>507</v>
      </c>
      <c r="C173" s="253" t="s">
        <v>619</v>
      </c>
      <c r="D173" s="253" t="s">
        <v>512</v>
      </c>
      <c r="E173" s="253" t="s">
        <v>983</v>
      </c>
      <c r="F173" s="256">
        <v>10.0</v>
      </c>
      <c r="G173" s="256">
        <v>9.0</v>
      </c>
      <c r="H173" s="256">
        <v>1.0</v>
      </c>
      <c r="I173" s="256">
        <v>9.0</v>
      </c>
      <c r="J173" s="256">
        <v>8.0</v>
      </c>
      <c r="K173" s="256">
        <v>1.0</v>
      </c>
      <c r="L173" s="256">
        <v>10.0</v>
      </c>
      <c r="M173" s="256">
        <v>8.0</v>
      </c>
    </row>
    <row r="174">
      <c r="A174" s="256">
        <v>5885.0</v>
      </c>
      <c r="B174" s="253" t="s">
        <v>480</v>
      </c>
      <c r="C174" s="253" t="s">
        <v>722</v>
      </c>
      <c r="D174" s="253" t="s">
        <v>938</v>
      </c>
      <c r="E174" s="253" t="s">
        <v>1033</v>
      </c>
      <c r="F174" s="256">
        <v>7.0</v>
      </c>
      <c r="G174" s="256">
        <v>8.0</v>
      </c>
      <c r="H174" s="256">
        <v>-1.0</v>
      </c>
      <c r="I174" s="256">
        <v>7.0</v>
      </c>
      <c r="J174" s="256">
        <v>8.0</v>
      </c>
      <c r="K174" s="256">
        <v>-1.0</v>
      </c>
      <c r="L174" s="256">
        <v>22.0</v>
      </c>
      <c r="M174" s="256">
        <v>22.0</v>
      </c>
    </row>
    <row r="175">
      <c r="A175" s="256">
        <v>5851.0</v>
      </c>
      <c r="B175" s="253" t="s">
        <v>480</v>
      </c>
      <c r="C175" s="253" t="s">
        <v>1049</v>
      </c>
      <c r="D175" s="253" t="s">
        <v>931</v>
      </c>
      <c r="E175" s="253" t="s">
        <v>983</v>
      </c>
      <c r="F175" s="256">
        <v>11.0</v>
      </c>
      <c r="G175" s="256">
        <v>11.0</v>
      </c>
      <c r="H175" s="256">
        <v>0.0</v>
      </c>
      <c r="I175" s="256">
        <v>11.0</v>
      </c>
      <c r="J175" s="256">
        <v>11.0</v>
      </c>
      <c r="K175" s="256">
        <v>0.0</v>
      </c>
      <c r="L175" s="256">
        <v>20.0</v>
      </c>
      <c r="M175" s="256">
        <v>20.0</v>
      </c>
    </row>
    <row r="176">
      <c r="A176" s="254">
        <v>2446.0</v>
      </c>
      <c r="B176" s="255" t="s">
        <v>480</v>
      </c>
      <c r="C176" s="255" t="s">
        <v>1388</v>
      </c>
      <c r="D176" s="255" t="s">
        <v>937</v>
      </c>
      <c r="E176" s="255" t="s">
        <v>1225</v>
      </c>
      <c r="F176" s="254">
        <v>1.0</v>
      </c>
      <c r="G176" s="254">
        <v>1.0</v>
      </c>
      <c r="H176" s="254">
        <v>0.0</v>
      </c>
      <c r="I176" s="254">
        <v>1.0</v>
      </c>
      <c r="J176" s="254">
        <v>1.0</v>
      </c>
      <c r="K176" s="254">
        <v>0.0</v>
      </c>
      <c r="L176" s="254">
        <v>3.0</v>
      </c>
      <c r="M176" s="254">
        <v>3.0</v>
      </c>
    </row>
    <row r="177">
      <c r="A177" s="256">
        <v>6257.0</v>
      </c>
      <c r="B177" s="253" t="s">
        <v>480</v>
      </c>
      <c r="C177" s="253" t="s">
        <v>893</v>
      </c>
      <c r="D177" s="253" t="s">
        <v>931</v>
      </c>
      <c r="E177" s="253" t="s">
        <v>998</v>
      </c>
      <c r="F177" s="256">
        <v>3.0</v>
      </c>
      <c r="G177" s="256">
        <v>1.0</v>
      </c>
      <c r="H177" s="256">
        <v>2.0</v>
      </c>
      <c r="I177" s="256">
        <v>3.0</v>
      </c>
      <c r="J177" s="256">
        <v>1.0</v>
      </c>
      <c r="K177" s="256">
        <v>2.0</v>
      </c>
      <c r="L177" s="256">
        <v>8.0</v>
      </c>
      <c r="M177" s="256">
        <v>8.0</v>
      </c>
    </row>
    <row r="178">
      <c r="A178" s="256">
        <v>6230.0</v>
      </c>
      <c r="B178" s="253" t="s">
        <v>480</v>
      </c>
      <c r="C178" s="253" t="s">
        <v>882</v>
      </c>
      <c r="D178" s="253" t="s">
        <v>481</v>
      </c>
      <c r="E178" s="253" t="s">
        <v>975</v>
      </c>
      <c r="F178" s="256">
        <v>6.0</v>
      </c>
      <c r="G178" s="256">
        <v>6.0</v>
      </c>
      <c r="H178" s="256">
        <v>0.0</v>
      </c>
      <c r="I178" s="256">
        <v>6.0</v>
      </c>
      <c r="J178" s="256">
        <v>6.0</v>
      </c>
      <c r="K178" s="256">
        <v>0.0</v>
      </c>
      <c r="L178" s="256">
        <v>7.0</v>
      </c>
      <c r="M178" s="256">
        <v>7.0</v>
      </c>
    </row>
    <row r="179">
      <c r="A179" s="256">
        <v>5365.0</v>
      </c>
      <c r="B179" s="253" t="s">
        <v>480</v>
      </c>
      <c r="C179" s="253" t="s">
        <v>1389</v>
      </c>
      <c r="D179" s="253" t="s">
        <v>937</v>
      </c>
      <c r="E179" s="253" t="s">
        <v>1026</v>
      </c>
      <c r="F179" s="256">
        <v>6.0</v>
      </c>
      <c r="G179" s="256">
        <v>6.0</v>
      </c>
      <c r="H179" s="256">
        <v>0.0</v>
      </c>
      <c r="I179" s="256">
        <v>7.0</v>
      </c>
      <c r="J179" s="256">
        <v>7.0</v>
      </c>
      <c r="K179" s="256">
        <v>0.0</v>
      </c>
      <c r="L179" s="256">
        <v>12.0</v>
      </c>
      <c r="M179" s="256">
        <v>12.0</v>
      </c>
    </row>
    <row r="180">
      <c r="A180" s="256">
        <v>4342.0</v>
      </c>
      <c r="B180" s="253" t="s">
        <v>492</v>
      </c>
      <c r="C180" s="253" t="s">
        <v>658</v>
      </c>
      <c r="D180" s="253" t="s">
        <v>934</v>
      </c>
      <c r="E180" s="253" t="s">
        <v>983</v>
      </c>
      <c r="F180" s="256">
        <v>8.0</v>
      </c>
      <c r="G180" s="256">
        <v>6.0</v>
      </c>
      <c r="H180" s="256">
        <v>2.0</v>
      </c>
      <c r="I180" s="256">
        <v>8.0</v>
      </c>
      <c r="J180" s="256">
        <v>6.0</v>
      </c>
      <c r="K180" s="256">
        <v>2.0</v>
      </c>
      <c r="L180" s="256">
        <v>14.0</v>
      </c>
      <c r="M180" s="256">
        <v>14.0</v>
      </c>
    </row>
    <row r="181">
      <c r="A181" s="256">
        <v>5513.0</v>
      </c>
      <c r="B181" s="253" t="s">
        <v>480</v>
      </c>
      <c r="C181" s="253" t="s">
        <v>751</v>
      </c>
      <c r="D181" s="253" t="s">
        <v>521</v>
      </c>
      <c r="E181" s="253" t="s">
        <v>973</v>
      </c>
      <c r="F181" s="256">
        <v>14.0</v>
      </c>
      <c r="G181" s="256">
        <v>12.0</v>
      </c>
      <c r="H181" s="256">
        <v>2.0</v>
      </c>
      <c r="I181" s="256">
        <v>13.0</v>
      </c>
      <c r="J181" s="256">
        <v>11.0</v>
      </c>
      <c r="K181" s="256">
        <v>2.0</v>
      </c>
      <c r="L181" s="256">
        <v>47.0</v>
      </c>
      <c r="M181" s="256">
        <v>39.0</v>
      </c>
    </row>
    <row r="182">
      <c r="A182" s="256">
        <v>526.0</v>
      </c>
      <c r="B182" s="253" t="s">
        <v>492</v>
      </c>
      <c r="C182" s="253" t="s">
        <v>1232</v>
      </c>
      <c r="D182" s="253" t="s">
        <v>492</v>
      </c>
      <c r="E182" s="253" t="s">
        <v>1033</v>
      </c>
      <c r="F182" s="256">
        <v>6.0</v>
      </c>
      <c r="G182" s="256">
        <v>5.0</v>
      </c>
      <c r="H182" s="256">
        <v>1.0</v>
      </c>
      <c r="I182" s="256">
        <v>6.0</v>
      </c>
      <c r="J182" s="256">
        <v>4.0</v>
      </c>
      <c r="K182" s="256">
        <v>2.0</v>
      </c>
      <c r="L182" s="256">
        <v>9.0</v>
      </c>
      <c r="M182" s="256">
        <v>10.0</v>
      </c>
    </row>
    <row r="183">
      <c r="A183" s="256">
        <v>309.0</v>
      </c>
      <c r="B183" s="253" t="s">
        <v>507</v>
      </c>
      <c r="C183" s="253" t="s">
        <v>297</v>
      </c>
      <c r="D183" s="253" t="s">
        <v>507</v>
      </c>
      <c r="E183" s="253" t="s">
        <v>988</v>
      </c>
      <c r="F183" s="256">
        <v>28.0</v>
      </c>
      <c r="G183" s="256">
        <v>30.0</v>
      </c>
      <c r="H183" s="256">
        <v>-2.0</v>
      </c>
      <c r="I183" s="256">
        <v>28.0</v>
      </c>
      <c r="J183" s="256">
        <v>30.0</v>
      </c>
      <c r="K183" s="256">
        <v>-2.0</v>
      </c>
      <c r="L183" s="256">
        <v>286.0</v>
      </c>
      <c r="M183" s="256">
        <v>292.0</v>
      </c>
    </row>
    <row r="184">
      <c r="A184" s="256">
        <v>5848.0</v>
      </c>
      <c r="B184" s="253" t="s">
        <v>480</v>
      </c>
      <c r="C184" s="253" t="s">
        <v>941</v>
      </c>
      <c r="D184" s="253" t="s">
        <v>938</v>
      </c>
      <c r="E184" s="253" t="s">
        <v>993</v>
      </c>
      <c r="F184" s="256">
        <v>5.0</v>
      </c>
      <c r="G184" s="256">
        <v>4.0</v>
      </c>
      <c r="H184" s="256">
        <v>1.0</v>
      </c>
      <c r="I184" s="256">
        <v>5.0</v>
      </c>
      <c r="J184" s="256">
        <v>4.0</v>
      </c>
      <c r="K184" s="256">
        <v>1.0</v>
      </c>
      <c r="L184" s="256">
        <v>6.0</v>
      </c>
      <c r="M184" s="256">
        <v>6.0</v>
      </c>
    </row>
    <row r="185">
      <c r="A185" s="256">
        <v>5994.0</v>
      </c>
      <c r="B185" s="253" t="s">
        <v>480</v>
      </c>
      <c r="C185" s="253" t="s">
        <v>1051</v>
      </c>
      <c r="D185" s="253" t="s">
        <v>1022</v>
      </c>
      <c r="E185" s="253" t="s">
        <v>993</v>
      </c>
      <c r="F185" s="256">
        <v>2.0</v>
      </c>
      <c r="G185" s="256">
        <v>3.0</v>
      </c>
      <c r="H185" s="256">
        <v>-1.0</v>
      </c>
      <c r="I185" s="256">
        <v>3.0</v>
      </c>
      <c r="J185" s="256">
        <v>4.0</v>
      </c>
      <c r="K185" s="256">
        <v>-1.0</v>
      </c>
      <c r="L185" s="256">
        <v>3.0</v>
      </c>
      <c r="M185" s="256">
        <v>4.0</v>
      </c>
    </row>
    <row r="186">
      <c r="A186" s="256">
        <v>5480.0</v>
      </c>
      <c r="B186" s="253" t="s">
        <v>480</v>
      </c>
      <c r="C186" s="253" t="s">
        <v>1272</v>
      </c>
      <c r="D186" s="253" t="s">
        <v>938</v>
      </c>
      <c r="E186" s="253" t="s">
        <v>1222</v>
      </c>
      <c r="F186" s="256">
        <v>10.0</v>
      </c>
      <c r="G186" s="256">
        <v>11.0</v>
      </c>
      <c r="H186" s="256">
        <v>-1.0</v>
      </c>
      <c r="I186" s="256">
        <v>10.0</v>
      </c>
      <c r="J186" s="256">
        <v>11.0</v>
      </c>
      <c r="K186" s="256">
        <v>-1.0</v>
      </c>
      <c r="L186" s="256">
        <v>17.0</v>
      </c>
      <c r="M186" s="256">
        <v>17.0</v>
      </c>
    </row>
    <row r="187">
      <c r="A187" s="256">
        <v>5792.0</v>
      </c>
      <c r="B187" s="253" t="s">
        <v>492</v>
      </c>
      <c r="C187" s="253" t="s">
        <v>202</v>
      </c>
      <c r="D187" s="253" t="s">
        <v>934</v>
      </c>
      <c r="E187" s="253" t="s">
        <v>980</v>
      </c>
      <c r="F187" s="256">
        <v>12.0</v>
      </c>
      <c r="G187" s="256">
        <v>10.0</v>
      </c>
      <c r="H187" s="256">
        <v>2.0</v>
      </c>
      <c r="I187" s="256">
        <v>12.0</v>
      </c>
      <c r="J187" s="256">
        <v>10.0</v>
      </c>
      <c r="K187" s="256">
        <v>2.0</v>
      </c>
      <c r="L187" s="256">
        <v>20.0</v>
      </c>
      <c r="M187" s="256">
        <v>20.0</v>
      </c>
    </row>
    <row r="188">
      <c r="A188" s="256">
        <v>6047.0</v>
      </c>
      <c r="B188" s="253" t="s">
        <v>480</v>
      </c>
      <c r="C188" s="253" t="s">
        <v>1053</v>
      </c>
      <c r="D188" s="253" t="s">
        <v>938</v>
      </c>
      <c r="E188" s="253" t="s">
        <v>993</v>
      </c>
      <c r="F188" s="256">
        <v>4.0</v>
      </c>
      <c r="G188" s="256">
        <v>5.0</v>
      </c>
      <c r="H188" s="256">
        <v>-1.0</v>
      </c>
      <c r="I188" s="256">
        <v>4.0</v>
      </c>
      <c r="J188" s="256">
        <v>5.0</v>
      </c>
      <c r="K188" s="256">
        <v>-1.0</v>
      </c>
      <c r="L188" s="256">
        <v>6.0</v>
      </c>
      <c r="M188" s="256">
        <v>6.0</v>
      </c>
    </row>
    <row r="189">
      <c r="A189" s="256">
        <v>6011.0</v>
      </c>
      <c r="B189" s="253" t="s">
        <v>507</v>
      </c>
      <c r="C189" s="253" t="s">
        <v>1390</v>
      </c>
      <c r="D189" s="253" t="s">
        <v>507</v>
      </c>
      <c r="E189" s="253" t="s">
        <v>1222</v>
      </c>
      <c r="F189" s="256">
        <v>1.0</v>
      </c>
      <c r="G189" s="256">
        <v>1.0</v>
      </c>
      <c r="H189" s="256">
        <v>0.0</v>
      </c>
      <c r="I189" s="256">
        <v>1.0</v>
      </c>
      <c r="J189" s="256">
        <v>1.0</v>
      </c>
      <c r="K189" s="256">
        <v>0.0</v>
      </c>
      <c r="L189" s="256">
        <v>1.0</v>
      </c>
      <c r="M189" s="256">
        <v>1.0</v>
      </c>
    </row>
    <row r="190">
      <c r="A190" s="256">
        <v>5506.0</v>
      </c>
      <c r="B190" s="253" t="s">
        <v>507</v>
      </c>
      <c r="C190" s="253" t="s">
        <v>1054</v>
      </c>
      <c r="D190" s="253" t="s">
        <v>507</v>
      </c>
      <c r="E190" s="253" t="s">
        <v>1026</v>
      </c>
      <c r="F190" s="256">
        <v>3.0</v>
      </c>
      <c r="G190" s="256">
        <v>1.0</v>
      </c>
      <c r="H190" s="256">
        <v>2.0</v>
      </c>
      <c r="I190" s="256">
        <v>3.0</v>
      </c>
      <c r="J190" s="256">
        <v>1.0</v>
      </c>
      <c r="K190" s="256">
        <v>2.0</v>
      </c>
      <c r="L190" s="256">
        <v>2.0</v>
      </c>
      <c r="M190" s="256">
        <v>2.0</v>
      </c>
    </row>
    <row r="191">
      <c r="A191" s="256">
        <v>6225.0</v>
      </c>
      <c r="B191" s="253" t="s">
        <v>492</v>
      </c>
      <c r="C191" s="253" t="s">
        <v>659</v>
      </c>
      <c r="D191" s="253" t="s">
        <v>930</v>
      </c>
      <c r="E191" s="253" t="s">
        <v>1009</v>
      </c>
      <c r="F191" s="256">
        <v>1.0</v>
      </c>
      <c r="G191" s="256">
        <v>1.0</v>
      </c>
      <c r="H191" s="256">
        <v>0.0</v>
      </c>
      <c r="I191" s="256">
        <v>1.0</v>
      </c>
      <c r="J191" s="256">
        <v>1.0</v>
      </c>
      <c r="K191" s="256">
        <v>0.0</v>
      </c>
      <c r="L191" s="256">
        <v>2.0</v>
      </c>
      <c r="M191" s="256">
        <v>2.0</v>
      </c>
    </row>
    <row r="192">
      <c r="A192" s="256">
        <v>795.0</v>
      </c>
      <c r="B192" s="253" t="s">
        <v>492</v>
      </c>
      <c r="C192" s="253" t="s">
        <v>778</v>
      </c>
      <c r="D192" s="253" t="s">
        <v>935</v>
      </c>
      <c r="E192" s="253" t="s">
        <v>988</v>
      </c>
      <c r="F192" s="256">
        <v>16.0</v>
      </c>
      <c r="G192" s="256">
        <v>16.0</v>
      </c>
      <c r="H192" s="256">
        <v>0.0</v>
      </c>
      <c r="I192" s="256">
        <v>15.0</v>
      </c>
      <c r="J192" s="256">
        <v>15.0</v>
      </c>
      <c r="K192" s="256">
        <v>0.0</v>
      </c>
      <c r="L192" s="256">
        <v>35.0</v>
      </c>
      <c r="M192" s="256">
        <v>31.0</v>
      </c>
    </row>
    <row r="193">
      <c r="A193" s="256">
        <v>4479.0</v>
      </c>
      <c r="B193" s="253" t="s">
        <v>492</v>
      </c>
      <c r="C193" s="253" t="s">
        <v>253</v>
      </c>
      <c r="D193" s="253" t="s">
        <v>1038</v>
      </c>
      <c r="E193" s="253" t="s">
        <v>987</v>
      </c>
      <c r="F193" s="256">
        <v>14.0</v>
      </c>
      <c r="G193" s="256">
        <v>15.0</v>
      </c>
      <c r="H193" s="256">
        <v>-1.0</v>
      </c>
      <c r="I193" s="256">
        <v>16.0</v>
      </c>
      <c r="J193" s="256">
        <v>17.0</v>
      </c>
      <c r="K193" s="256">
        <v>-1.0</v>
      </c>
      <c r="L193" s="256">
        <v>36.0</v>
      </c>
      <c r="M193" s="256">
        <v>42.0</v>
      </c>
    </row>
    <row r="194">
      <c r="A194" s="256">
        <v>4982.0</v>
      </c>
      <c r="B194" s="253" t="s">
        <v>480</v>
      </c>
      <c r="C194" s="253" t="s">
        <v>811</v>
      </c>
      <c r="D194" s="253" t="s">
        <v>481</v>
      </c>
      <c r="E194" s="253" t="s">
        <v>1005</v>
      </c>
      <c r="F194" s="256">
        <v>6.0</v>
      </c>
      <c r="G194" s="256">
        <v>5.0</v>
      </c>
      <c r="H194" s="256">
        <v>1.0</v>
      </c>
      <c r="I194" s="256">
        <v>6.0</v>
      </c>
      <c r="J194" s="256">
        <v>5.0</v>
      </c>
      <c r="K194" s="256">
        <v>1.0</v>
      </c>
      <c r="L194" s="256">
        <v>10.0</v>
      </c>
      <c r="M194" s="256">
        <v>10.0</v>
      </c>
    </row>
    <row r="195">
      <c r="A195" s="256">
        <v>6206.0</v>
      </c>
      <c r="B195" s="253" t="s">
        <v>492</v>
      </c>
      <c r="C195" s="253" t="s">
        <v>786</v>
      </c>
      <c r="D195" s="253" t="s">
        <v>492</v>
      </c>
      <c r="E195" s="253" t="s">
        <v>1009</v>
      </c>
      <c r="F195" s="256">
        <v>6.0</v>
      </c>
      <c r="G195" s="256">
        <v>5.0</v>
      </c>
      <c r="H195" s="256">
        <v>1.0</v>
      </c>
      <c r="I195" s="256">
        <v>6.0</v>
      </c>
      <c r="J195" s="256">
        <v>5.0</v>
      </c>
      <c r="K195" s="256">
        <v>1.0</v>
      </c>
      <c r="L195" s="256">
        <v>18.0</v>
      </c>
      <c r="M195" s="256">
        <v>18.0</v>
      </c>
    </row>
    <row r="196">
      <c r="A196" s="256">
        <v>4465.0</v>
      </c>
      <c r="B196" s="253" t="s">
        <v>492</v>
      </c>
      <c r="C196" s="253" t="s">
        <v>779</v>
      </c>
      <c r="D196" s="253" t="s">
        <v>934</v>
      </c>
      <c r="E196" s="253" t="s">
        <v>976</v>
      </c>
      <c r="F196" s="256">
        <v>12.0</v>
      </c>
      <c r="G196" s="256">
        <v>13.0</v>
      </c>
      <c r="H196" s="256">
        <v>-1.0</v>
      </c>
      <c r="I196" s="256">
        <v>12.0</v>
      </c>
      <c r="J196" s="256">
        <v>13.0</v>
      </c>
      <c r="K196" s="256">
        <v>-1.0</v>
      </c>
      <c r="L196" s="256">
        <v>30.0</v>
      </c>
      <c r="M196" s="256">
        <v>30.0</v>
      </c>
    </row>
    <row r="197">
      <c r="A197" s="256">
        <v>2134.0</v>
      </c>
      <c r="B197" s="253" t="s">
        <v>477</v>
      </c>
      <c r="C197" s="253" t="s">
        <v>204</v>
      </c>
      <c r="D197" s="253" t="s">
        <v>478</v>
      </c>
      <c r="E197" s="253" t="s">
        <v>998</v>
      </c>
      <c r="F197" s="256">
        <v>9.0</v>
      </c>
      <c r="G197" s="256">
        <v>8.0</v>
      </c>
      <c r="H197" s="256">
        <v>1.0</v>
      </c>
      <c r="I197" s="256">
        <v>9.0</v>
      </c>
      <c r="J197" s="256">
        <v>8.0</v>
      </c>
      <c r="K197" s="256">
        <v>1.0</v>
      </c>
      <c r="L197" s="256">
        <v>22.0</v>
      </c>
      <c r="M197" s="256">
        <v>22.0</v>
      </c>
    </row>
    <row r="198">
      <c r="A198" s="256">
        <v>581.0</v>
      </c>
      <c r="B198" s="253" t="s">
        <v>480</v>
      </c>
      <c r="C198" s="253" t="s">
        <v>1234</v>
      </c>
      <c r="D198" s="253" t="s">
        <v>938</v>
      </c>
      <c r="E198" s="253" t="s">
        <v>983</v>
      </c>
      <c r="F198" s="256">
        <v>9.0</v>
      </c>
      <c r="G198" s="256">
        <v>9.0</v>
      </c>
      <c r="H198" s="256">
        <v>0.0</v>
      </c>
      <c r="I198" s="256">
        <v>9.0</v>
      </c>
      <c r="J198" s="256">
        <v>9.0</v>
      </c>
      <c r="K198" s="256">
        <v>0.0</v>
      </c>
      <c r="L198" s="256">
        <v>16.0</v>
      </c>
      <c r="M198" s="256">
        <v>16.0</v>
      </c>
    </row>
    <row r="199">
      <c r="A199" s="256">
        <v>6168.0</v>
      </c>
      <c r="B199" s="253" t="s">
        <v>492</v>
      </c>
      <c r="C199" s="253" t="s">
        <v>1391</v>
      </c>
      <c r="D199" s="253" t="s">
        <v>930</v>
      </c>
      <c r="E199" s="253" t="s">
        <v>998</v>
      </c>
      <c r="F199" s="256">
        <v>1.0</v>
      </c>
      <c r="G199" s="256">
        <v>1.0</v>
      </c>
      <c r="H199" s="256">
        <v>0.0</v>
      </c>
      <c r="I199" s="256">
        <v>1.0</v>
      </c>
      <c r="J199" s="256">
        <v>1.0</v>
      </c>
      <c r="K199" s="256">
        <v>0.0</v>
      </c>
      <c r="L199" s="256">
        <v>6.0</v>
      </c>
      <c r="M199" s="256">
        <v>6.0</v>
      </c>
    </row>
    <row r="200">
      <c r="A200" s="256">
        <v>2016.0</v>
      </c>
      <c r="B200" s="253" t="s">
        <v>480</v>
      </c>
      <c r="C200" s="253" t="s">
        <v>1392</v>
      </c>
      <c r="D200" s="253" t="s">
        <v>481</v>
      </c>
      <c r="E200" s="253" t="s">
        <v>1355</v>
      </c>
      <c r="F200" s="256">
        <v>2.0</v>
      </c>
      <c r="G200" s="256">
        <v>2.0</v>
      </c>
      <c r="H200" s="256">
        <v>0.0</v>
      </c>
      <c r="I200" s="256">
        <v>2.0</v>
      </c>
      <c r="J200" s="256">
        <v>2.0</v>
      </c>
      <c r="K200" s="256">
        <v>0.0</v>
      </c>
      <c r="L200" s="256">
        <v>2.0</v>
      </c>
      <c r="M200" s="256">
        <v>2.0</v>
      </c>
    </row>
    <row r="201">
      <c r="A201" s="256">
        <v>6010.0</v>
      </c>
      <c r="B201" s="253" t="s">
        <v>492</v>
      </c>
      <c r="C201" s="253" t="s">
        <v>285</v>
      </c>
      <c r="D201" s="253" t="s">
        <v>934</v>
      </c>
      <c r="E201" s="253" t="s">
        <v>1222</v>
      </c>
      <c r="F201" s="256">
        <v>5.0</v>
      </c>
      <c r="G201" s="256">
        <v>6.0</v>
      </c>
      <c r="H201" s="256">
        <v>-1.0</v>
      </c>
      <c r="I201" s="256">
        <v>5.0</v>
      </c>
      <c r="J201" s="256">
        <v>6.0</v>
      </c>
      <c r="K201" s="256">
        <v>-1.0</v>
      </c>
      <c r="L201" s="256">
        <v>10.0</v>
      </c>
      <c r="M201" s="256">
        <v>10.0</v>
      </c>
    </row>
    <row r="202">
      <c r="A202" s="256">
        <v>335.0</v>
      </c>
      <c r="B202" s="253" t="s">
        <v>492</v>
      </c>
      <c r="C202" s="253" t="s">
        <v>1393</v>
      </c>
      <c r="D202" s="253" t="s">
        <v>935</v>
      </c>
      <c r="E202" s="253" t="s">
        <v>1000</v>
      </c>
      <c r="F202" s="256">
        <v>22.0</v>
      </c>
      <c r="G202" s="256">
        <v>23.0</v>
      </c>
      <c r="H202" s="256">
        <v>-1.0</v>
      </c>
      <c r="I202" s="256">
        <v>22.0</v>
      </c>
      <c r="J202" s="256">
        <v>23.0</v>
      </c>
      <c r="K202" s="256">
        <v>-1.0</v>
      </c>
      <c r="L202" s="256">
        <v>128.0</v>
      </c>
      <c r="M202" s="256">
        <v>128.0</v>
      </c>
    </row>
    <row r="203">
      <c r="A203" s="256">
        <v>5858.0</v>
      </c>
      <c r="B203" s="253" t="s">
        <v>492</v>
      </c>
      <c r="C203" s="253" t="s">
        <v>757</v>
      </c>
      <c r="D203" s="253" t="s">
        <v>934</v>
      </c>
      <c r="E203" s="253" t="s">
        <v>1009</v>
      </c>
      <c r="F203" s="256">
        <v>18.0</v>
      </c>
      <c r="G203" s="256">
        <v>17.0</v>
      </c>
      <c r="H203" s="256">
        <v>1.0</v>
      </c>
      <c r="I203" s="256">
        <v>19.0</v>
      </c>
      <c r="J203" s="256">
        <v>18.0</v>
      </c>
      <c r="K203" s="256">
        <v>1.0</v>
      </c>
      <c r="L203" s="256">
        <v>71.0</v>
      </c>
      <c r="M203" s="256">
        <v>74.0</v>
      </c>
    </row>
    <row r="204">
      <c r="A204" s="256">
        <v>1895.0</v>
      </c>
      <c r="B204" s="253" t="s">
        <v>480</v>
      </c>
      <c r="C204" s="253" t="s">
        <v>1394</v>
      </c>
      <c r="D204" s="253" t="s">
        <v>481</v>
      </c>
      <c r="E204" s="253" t="s">
        <v>1005</v>
      </c>
      <c r="F204" s="256">
        <v>3.0</v>
      </c>
      <c r="G204" s="256">
        <v>4.0</v>
      </c>
      <c r="H204" s="256">
        <v>-1.0</v>
      </c>
      <c r="I204" s="256">
        <v>3.0</v>
      </c>
      <c r="J204" s="256">
        <v>4.0</v>
      </c>
      <c r="K204" s="256">
        <v>-1.0</v>
      </c>
      <c r="L204" s="256">
        <v>10.0</v>
      </c>
      <c r="M204" s="256">
        <v>10.0</v>
      </c>
    </row>
    <row r="205">
      <c r="A205" s="256">
        <v>6256.0</v>
      </c>
      <c r="B205" s="253" t="s">
        <v>480</v>
      </c>
      <c r="C205" s="253" t="s">
        <v>1395</v>
      </c>
      <c r="D205" s="253" t="s">
        <v>938</v>
      </c>
      <c r="E205" s="253" t="s">
        <v>993</v>
      </c>
      <c r="F205" s="256">
        <v>2.0</v>
      </c>
      <c r="G205" s="256">
        <v>1.0</v>
      </c>
      <c r="H205" s="256">
        <v>1.0</v>
      </c>
      <c r="I205" s="256">
        <v>2.0</v>
      </c>
      <c r="J205" s="256">
        <v>1.0</v>
      </c>
      <c r="K205" s="256">
        <v>1.0</v>
      </c>
      <c r="L205" s="256">
        <v>1.0</v>
      </c>
      <c r="M205" s="256">
        <v>1.0</v>
      </c>
    </row>
    <row r="206">
      <c r="A206" s="256">
        <v>1947.0</v>
      </c>
      <c r="B206" s="253" t="s">
        <v>477</v>
      </c>
      <c r="C206" s="253" t="s">
        <v>1396</v>
      </c>
      <c r="D206" s="253" t="s">
        <v>478</v>
      </c>
      <c r="E206" s="253" t="s">
        <v>1355</v>
      </c>
      <c r="F206" s="256">
        <v>1.0</v>
      </c>
      <c r="G206" s="256">
        <v>1.0</v>
      </c>
      <c r="H206" s="256">
        <v>0.0</v>
      </c>
      <c r="I206" s="256">
        <v>1.0</v>
      </c>
      <c r="J206" s="256">
        <v>1.0</v>
      </c>
      <c r="K206" s="256">
        <v>0.0</v>
      </c>
      <c r="L206" s="256">
        <v>1.0</v>
      </c>
      <c r="M206" s="256">
        <v>1.0</v>
      </c>
    </row>
    <row r="207">
      <c r="A207" s="256">
        <v>464.0</v>
      </c>
      <c r="B207" s="253" t="s">
        <v>480</v>
      </c>
      <c r="C207" s="253" t="s">
        <v>1397</v>
      </c>
      <c r="D207" s="253" t="s">
        <v>944</v>
      </c>
      <c r="E207" s="253" t="s">
        <v>991</v>
      </c>
      <c r="F207" s="256">
        <v>2.0</v>
      </c>
      <c r="G207" s="256">
        <v>3.0</v>
      </c>
      <c r="H207" s="256">
        <v>-1.0</v>
      </c>
      <c r="I207" s="256">
        <v>3.0</v>
      </c>
      <c r="J207" s="256">
        <v>4.0</v>
      </c>
      <c r="K207" s="256">
        <v>-1.0</v>
      </c>
      <c r="L207" s="256">
        <v>5.0</v>
      </c>
      <c r="M207" s="256">
        <v>7.0</v>
      </c>
    </row>
    <row r="208">
      <c r="A208" s="256">
        <v>6252.0</v>
      </c>
      <c r="B208" s="253" t="s">
        <v>492</v>
      </c>
      <c r="C208" s="253" t="s">
        <v>366</v>
      </c>
      <c r="D208" s="253" t="s">
        <v>934</v>
      </c>
      <c r="E208" s="253" t="s">
        <v>983</v>
      </c>
      <c r="F208" s="256">
        <v>3.0</v>
      </c>
      <c r="G208" s="256">
        <v>2.0</v>
      </c>
      <c r="H208" s="256">
        <v>1.0</v>
      </c>
      <c r="I208" s="256">
        <v>3.0</v>
      </c>
      <c r="J208" s="256">
        <v>2.0</v>
      </c>
      <c r="K208" s="256">
        <v>1.0</v>
      </c>
      <c r="L208" s="256">
        <v>12.0</v>
      </c>
      <c r="M208" s="256">
        <v>12.0</v>
      </c>
    </row>
    <row r="209">
      <c r="A209" s="256">
        <v>2799.0</v>
      </c>
      <c r="B209" s="253" t="s">
        <v>477</v>
      </c>
      <c r="C209" s="253" t="s">
        <v>1398</v>
      </c>
      <c r="D209" s="253" t="s">
        <v>478</v>
      </c>
      <c r="E209" s="253" t="s">
        <v>1342</v>
      </c>
      <c r="F209" s="256">
        <v>1.0</v>
      </c>
      <c r="G209" s="256">
        <v>1.0</v>
      </c>
      <c r="H209" s="256">
        <v>0.0</v>
      </c>
      <c r="I209" s="256">
        <v>1.0</v>
      </c>
      <c r="J209" s="256">
        <v>1.0</v>
      </c>
      <c r="K209" s="256">
        <v>0.0</v>
      </c>
      <c r="L209" s="256">
        <v>1.0</v>
      </c>
      <c r="M209" s="256">
        <v>1.0</v>
      </c>
    </row>
    <row r="210">
      <c r="A210" s="256">
        <v>2848.0</v>
      </c>
      <c r="B210" s="253" t="s">
        <v>492</v>
      </c>
      <c r="C210" s="253" t="s">
        <v>256</v>
      </c>
      <c r="D210" s="253" t="s">
        <v>492</v>
      </c>
      <c r="E210" s="253" t="s">
        <v>973</v>
      </c>
      <c r="F210" s="256">
        <v>17.0</v>
      </c>
      <c r="G210" s="256">
        <v>17.0</v>
      </c>
      <c r="H210" s="256">
        <v>0.0</v>
      </c>
      <c r="I210" s="256">
        <v>17.0</v>
      </c>
      <c r="J210" s="256">
        <v>17.0</v>
      </c>
      <c r="K210" s="256">
        <v>0.0</v>
      </c>
      <c r="L210" s="256">
        <v>54.0</v>
      </c>
      <c r="M210" s="256">
        <v>54.0</v>
      </c>
    </row>
    <row r="211">
      <c r="A211" s="256">
        <v>5791.0</v>
      </c>
      <c r="B211" s="253" t="s">
        <v>492</v>
      </c>
      <c r="C211" s="253" t="s">
        <v>691</v>
      </c>
      <c r="D211" s="253" t="s">
        <v>1152</v>
      </c>
      <c r="E211" s="253" t="s">
        <v>1026</v>
      </c>
      <c r="F211" s="256">
        <v>7.0</v>
      </c>
      <c r="G211" s="256">
        <v>5.0</v>
      </c>
      <c r="H211" s="256">
        <v>2.0</v>
      </c>
      <c r="I211" s="256">
        <v>8.0</v>
      </c>
      <c r="J211" s="256">
        <v>7.0</v>
      </c>
      <c r="K211" s="256">
        <v>1.0</v>
      </c>
      <c r="L211" s="256">
        <v>13.0</v>
      </c>
      <c r="M211" s="256">
        <v>16.0</v>
      </c>
    </row>
    <row r="212">
      <c r="A212" s="256">
        <v>788.0</v>
      </c>
      <c r="B212" s="253" t="s">
        <v>492</v>
      </c>
      <c r="C212" s="253" t="s">
        <v>821</v>
      </c>
      <c r="D212" s="253" t="s">
        <v>930</v>
      </c>
      <c r="E212" s="253" t="s">
        <v>1009</v>
      </c>
      <c r="F212" s="256">
        <v>7.0</v>
      </c>
      <c r="G212" s="256">
        <v>7.0</v>
      </c>
      <c r="H212" s="256">
        <v>0.0</v>
      </c>
      <c r="I212" s="256">
        <v>8.0</v>
      </c>
      <c r="J212" s="256">
        <v>8.0</v>
      </c>
      <c r="K212" s="256">
        <v>0.0</v>
      </c>
      <c r="L212" s="256">
        <v>15.0</v>
      </c>
      <c r="M212" s="256">
        <v>16.0</v>
      </c>
    </row>
    <row r="213">
      <c r="A213" s="254">
        <v>4401.0</v>
      </c>
      <c r="B213" s="255" t="s">
        <v>480</v>
      </c>
      <c r="C213" s="255" t="s">
        <v>761</v>
      </c>
      <c r="D213" s="255" t="s">
        <v>481</v>
      </c>
      <c r="E213" s="255" t="s">
        <v>991</v>
      </c>
      <c r="F213" s="254">
        <v>6.0</v>
      </c>
      <c r="G213" s="254">
        <v>2.0</v>
      </c>
      <c r="H213" s="254">
        <v>4.0</v>
      </c>
      <c r="I213" s="254">
        <v>6.0</v>
      </c>
      <c r="J213" s="254">
        <v>2.0</v>
      </c>
      <c r="K213" s="254">
        <v>4.0</v>
      </c>
      <c r="L213" s="254">
        <v>20.0</v>
      </c>
      <c r="M213" s="254">
        <v>20.0</v>
      </c>
    </row>
    <row r="214">
      <c r="A214" s="256">
        <v>4364.0</v>
      </c>
      <c r="B214" s="253" t="s">
        <v>492</v>
      </c>
      <c r="C214" s="253" t="s">
        <v>863</v>
      </c>
      <c r="D214" s="253" t="s">
        <v>934</v>
      </c>
      <c r="E214" s="253" t="s">
        <v>987</v>
      </c>
      <c r="F214" s="256">
        <v>2.0</v>
      </c>
      <c r="G214" s="256">
        <v>3.0</v>
      </c>
      <c r="H214" s="256">
        <v>-1.0</v>
      </c>
      <c r="I214" s="256">
        <v>2.0</v>
      </c>
      <c r="J214" s="256">
        <v>3.0</v>
      </c>
      <c r="K214" s="256">
        <v>-1.0</v>
      </c>
      <c r="L214" s="256">
        <v>4.0</v>
      </c>
      <c r="M214" s="256">
        <v>4.0</v>
      </c>
    </row>
    <row r="215">
      <c r="A215" s="256">
        <v>801.0</v>
      </c>
      <c r="B215" s="253" t="s">
        <v>492</v>
      </c>
      <c r="C215" s="253" t="s">
        <v>1237</v>
      </c>
      <c r="D215" s="253" t="s">
        <v>930</v>
      </c>
      <c r="E215" s="253" t="s">
        <v>1225</v>
      </c>
      <c r="F215" s="256">
        <v>7.0</v>
      </c>
      <c r="G215" s="256">
        <v>6.0</v>
      </c>
      <c r="H215" s="256">
        <v>1.0</v>
      </c>
      <c r="I215" s="256">
        <v>8.0</v>
      </c>
      <c r="J215" s="256">
        <v>7.0</v>
      </c>
      <c r="K215" s="256">
        <v>1.0</v>
      </c>
      <c r="L215" s="256">
        <v>12.0</v>
      </c>
      <c r="M215" s="256">
        <v>14.0</v>
      </c>
    </row>
    <row r="216">
      <c r="A216" s="256">
        <v>4502.0</v>
      </c>
      <c r="B216" s="253" t="s">
        <v>480</v>
      </c>
      <c r="C216" s="253" t="s">
        <v>892</v>
      </c>
      <c r="D216" s="253" t="s">
        <v>931</v>
      </c>
      <c r="E216" s="253" t="s">
        <v>998</v>
      </c>
      <c r="F216" s="256">
        <v>6.0</v>
      </c>
      <c r="G216" s="256">
        <v>5.0</v>
      </c>
      <c r="H216" s="256">
        <v>1.0</v>
      </c>
      <c r="I216" s="256">
        <v>6.0</v>
      </c>
      <c r="J216" s="256">
        <v>5.0</v>
      </c>
      <c r="K216" s="256">
        <v>1.0</v>
      </c>
      <c r="L216" s="256">
        <v>9.0</v>
      </c>
      <c r="M216" s="256">
        <v>9.0</v>
      </c>
    </row>
    <row r="217">
      <c r="A217" s="256">
        <v>2183.0</v>
      </c>
      <c r="B217" s="253" t="s">
        <v>492</v>
      </c>
      <c r="C217" s="253" t="s">
        <v>1399</v>
      </c>
      <c r="D217" s="253" t="s">
        <v>1057</v>
      </c>
      <c r="E217" s="253" t="s">
        <v>1342</v>
      </c>
      <c r="F217" s="256">
        <v>3.0</v>
      </c>
      <c r="G217" s="256">
        <v>3.0</v>
      </c>
      <c r="H217" s="256">
        <v>0.0</v>
      </c>
      <c r="I217" s="256">
        <v>3.0</v>
      </c>
      <c r="J217" s="256">
        <v>3.0</v>
      </c>
      <c r="K217" s="256">
        <v>0.0</v>
      </c>
      <c r="L217" s="256">
        <v>4.0</v>
      </c>
      <c r="M217" s="256">
        <v>4.0</v>
      </c>
    </row>
    <row r="218">
      <c r="A218" s="254">
        <v>6509.0</v>
      </c>
      <c r="B218" s="255" t="s">
        <v>477</v>
      </c>
      <c r="C218" s="255" t="s">
        <v>1400</v>
      </c>
      <c r="D218" s="255" t="s">
        <v>478</v>
      </c>
      <c r="E218" s="255" t="s">
        <v>1009</v>
      </c>
      <c r="F218" s="254">
        <v>1.0</v>
      </c>
      <c r="G218" s="254">
        <v>1.0</v>
      </c>
      <c r="H218" s="254">
        <v>0.0</v>
      </c>
      <c r="I218" s="254">
        <v>1.0</v>
      </c>
      <c r="J218" s="254">
        <v>1.0</v>
      </c>
      <c r="K218" s="254">
        <v>0.0</v>
      </c>
      <c r="L218" s="254">
        <v>1.0</v>
      </c>
      <c r="M218" s="254">
        <v>1.0</v>
      </c>
    </row>
    <row r="219">
      <c r="A219" s="256">
        <v>5831.0</v>
      </c>
      <c r="B219" s="253" t="s">
        <v>480</v>
      </c>
      <c r="C219" s="253" t="s">
        <v>780</v>
      </c>
      <c r="D219" s="253" t="s">
        <v>481</v>
      </c>
      <c r="E219" s="253" t="s">
        <v>976</v>
      </c>
      <c r="F219" s="256">
        <v>6.0</v>
      </c>
      <c r="G219" s="256">
        <v>6.0</v>
      </c>
      <c r="H219" s="256">
        <v>0.0</v>
      </c>
      <c r="I219" s="256">
        <v>6.0</v>
      </c>
      <c r="J219" s="256">
        <v>6.0</v>
      </c>
      <c r="K219" s="256">
        <v>0.0</v>
      </c>
      <c r="L219" s="256">
        <v>12.0</v>
      </c>
      <c r="M219" s="256">
        <v>12.0</v>
      </c>
    </row>
    <row r="220">
      <c r="A220" s="256">
        <v>6241.0</v>
      </c>
      <c r="B220" s="253" t="s">
        <v>492</v>
      </c>
      <c r="C220" s="253" t="s">
        <v>1401</v>
      </c>
      <c r="D220" s="253" t="s">
        <v>1038</v>
      </c>
      <c r="E220" s="253" t="s">
        <v>1342</v>
      </c>
      <c r="F220" s="256">
        <v>3.0</v>
      </c>
      <c r="G220" s="256">
        <v>1.0</v>
      </c>
      <c r="H220" s="256">
        <v>2.0</v>
      </c>
      <c r="I220" s="256">
        <v>3.0</v>
      </c>
      <c r="J220" s="256">
        <v>1.0</v>
      </c>
      <c r="K220" s="256">
        <v>2.0</v>
      </c>
      <c r="L220" s="256">
        <v>1.0</v>
      </c>
      <c r="M220" s="256">
        <v>1.0</v>
      </c>
    </row>
    <row r="221">
      <c r="A221" s="256">
        <v>4525.0</v>
      </c>
      <c r="B221" s="253" t="s">
        <v>477</v>
      </c>
      <c r="C221" s="253" t="s">
        <v>1402</v>
      </c>
      <c r="D221" s="253" t="s">
        <v>478</v>
      </c>
      <c r="E221" s="253" t="s">
        <v>972</v>
      </c>
      <c r="F221" s="256">
        <v>1.0</v>
      </c>
      <c r="G221" s="256">
        <v>1.0</v>
      </c>
      <c r="H221" s="256">
        <v>0.0</v>
      </c>
      <c r="I221" s="256">
        <v>1.0</v>
      </c>
      <c r="J221" s="256">
        <v>1.0</v>
      </c>
      <c r="K221" s="256">
        <v>0.0</v>
      </c>
      <c r="L221" s="256">
        <v>1.0</v>
      </c>
      <c r="M221" s="256">
        <v>1.0</v>
      </c>
    </row>
    <row r="222">
      <c r="A222" s="256">
        <v>5867.0</v>
      </c>
      <c r="B222" s="253" t="s">
        <v>480</v>
      </c>
      <c r="C222" s="253" t="s">
        <v>1403</v>
      </c>
      <c r="D222" s="253" t="s">
        <v>938</v>
      </c>
      <c r="E222" s="253" t="s">
        <v>998</v>
      </c>
      <c r="F222" s="256">
        <v>6.0</v>
      </c>
      <c r="G222" s="256">
        <v>6.0</v>
      </c>
      <c r="H222" s="256">
        <v>0.0</v>
      </c>
      <c r="I222" s="256">
        <v>6.0</v>
      </c>
      <c r="J222" s="256">
        <v>6.0</v>
      </c>
      <c r="K222" s="256">
        <v>0.0</v>
      </c>
      <c r="L222" s="256">
        <v>8.0</v>
      </c>
      <c r="M222" s="256">
        <v>9.0</v>
      </c>
    </row>
    <row r="223">
      <c r="A223" s="254">
        <v>6530.0</v>
      </c>
      <c r="B223" s="255" t="s">
        <v>507</v>
      </c>
      <c r="C223" s="255" t="s">
        <v>1404</v>
      </c>
      <c r="D223" s="255" t="s">
        <v>935</v>
      </c>
      <c r="E223" s="255" t="s">
        <v>1342</v>
      </c>
      <c r="F223" s="254">
        <v>3.0</v>
      </c>
      <c r="G223" s="254">
        <v>1.0</v>
      </c>
      <c r="H223" s="254">
        <v>2.0</v>
      </c>
      <c r="I223" s="254">
        <v>3.0</v>
      </c>
      <c r="J223" s="254">
        <v>1.0</v>
      </c>
      <c r="K223" s="254">
        <v>2.0</v>
      </c>
      <c r="L223" s="254">
        <v>13.0</v>
      </c>
      <c r="M223" s="254">
        <v>13.0</v>
      </c>
    </row>
    <row r="224">
      <c r="A224" s="254">
        <v>6533.0</v>
      </c>
      <c r="B224" s="255" t="s">
        <v>480</v>
      </c>
      <c r="C224" s="255" t="s">
        <v>660</v>
      </c>
      <c r="D224" s="255" t="s">
        <v>481</v>
      </c>
      <c r="E224" s="255" t="s">
        <v>993</v>
      </c>
      <c r="F224" s="254">
        <v>6.0</v>
      </c>
      <c r="G224" s="254">
        <v>4.0</v>
      </c>
      <c r="H224" s="254">
        <v>2.0</v>
      </c>
      <c r="I224" s="254">
        <v>6.0</v>
      </c>
      <c r="J224" s="254">
        <v>4.0</v>
      </c>
      <c r="K224" s="254">
        <v>2.0</v>
      </c>
      <c r="L224" s="254">
        <v>8.0</v>
      </c>
      <c r="M224" s="254">
        <v>8.0</v>
      </c>
    </row>
    <row r="225">
      <c r="A225" s="256">
        <v>5833.0</v>
      </c>
      <c r="B225" s="253" t="s">
        <v>480</v>
      </c>
      <c r="C225" s="253" t="s">
        <v>620</v>
      </c>
      <c r="D225" s="253" t="s">
        <v>481</v>
      </c>
      <c r="E225" s="253" t="s">
        <v>1000</v>
      </c>
      <c r="F225" s="256">
        <v>1.0</v>
      </c>
      <c r="G225" s="256">
        <v>1.0</v>
      </c>
      <c r="H225" s="256">
        <v>0.0</v>
      </c>
      <c r="I225" s="256">
        <v>1.0</v>
      </c>
      <c r="J225" s="256">
        <v>1.0</v>
      </c>
      <c r="K225" s="256">
        <v>0.0</v>
      </c>
      <c r="L225" s="256">
        <v>2.0</v>
      </c>
      <c r="M225" s="256">
        <v>2.0</v>
      </c>
    </row>
    <row r="226">
      <c r="A226" s="256">
        <v>6170.0</v>
      </c>
      <c r="B226" s="253" t="s">
        <v>492</v>
      </c>
      <c r="C226" s="253" t="s">
        <v>160</v>
      </c>
      <c r="D226" s="253" t="s">
        <v>492</v>
      </c>
      <c r="E226" s="253" t="s">
        <v>972</v>
      </c>
      <c r="F226" s="256">
        <v>1.0</v>
      </c>
      <c r="G226" s="256">
        <v>1.0</v>
      </c>
      <c r="H226" s="256">
        <v>0.0</v>
      </c>
      <c r="I226" s="256">
        <v>1.0</v>
      </c>
      <c r="J226" s="256">
        <v>1.0</v>
      </c>
      <c r="K226" s="256">
        <v>0.0</v>
      </c>
      <c r="L226" s="256">
        <v>1.0</v>
      </c>
      <c r="M226" s="256">
        <v>1.0</v>
      </c>
    </row>
    <row r="227">
      <c r="A227" s="256">
        <v>4200.0</v>
      </c>
      <c r="B227" s="253" t="s">
        <v>507</v>
      </c>
      <c r="C227" s="253" t="s">
        <v>953</v>
      </c>
      <c r="D227" s="253" t="s">
        <v>512</v>
      </c>
      <c r="E227" s="253" t="s">
        <v>991</v>
      </c>
      <c r="F227" s="256">
        <v>28.0</v>
      </c>
      <c r="G227" s="256">
        <v>24.0</v>
      </c>
      <c r="H227" s="256">
        <v>4.0</v>
      </c>
      <c r="I227" s="256">
        <v>28.0</v>
      </c>
      <c r="J227" s="256">
        <v>24.0</v>
      </c>
      <c r="K227" s="256">
        <v>4.0</v>
      </c>
      <c r="L227" s="256">
        <v>200.0</v>
      </c>
      <c r="M227" s="256">
        <v>190.0</v>
      </c>
    </row>
    <row r="228">
      <c r="A228" s="254">
        <v>6537.0</v>
      </c>
      <c r="B228" s="255" t="s">
        <v>480</v>
      </c>
      <c r="C228" s="255" t="s">
        <v>435</v>
      </c>
      <c r="D228" s="255" t="s">
        <v>937</v>
      </c>
      <c r="E228" s="255" t="s">
        <v>1222</v>
      </c>
      <c r="F228" s="254">
        <v>1.0</v>
      </c>
      <c r="G228" s="254">
        <v>1.0</v>
      </c>
      <c r="H228" s="254">
        <v>0.0</v>
      </c>
      <c r="I228" s="254">
        <v>1.0</v>
      </c>
      <c r="J228" s="254">
        <v>1.0</v>
      </c>
      <c r="K228" s="254">
        <v>0.0</v>
      </c>
      <c r="L228" s="254">
        <v>1.0</v>
      </c>
      <c r="M228" s="254">
        <v>1.0</v>
      </c>
    </row>
    <row r="229">
      <c r="A229" s="256">
        <v>418.0</v>
      </c>
      <c r="B229" s="253" t="s">
        <v>480</v>
      </c>
      <c r="C229" s="253" t="s">
        <v>1067</v>
      </c>
      <c r="D229" s="253" t="s">
        <v>481</v>
      </c>
      <c r="E229" s="253" t="s">
        <v>975</v>
      </c>
      <c r="F229" s="256">
        <v>3.0</v>
      </c>
      <c r="G229" s="256">
        <v>3.0</v>
      </c>
      <c r="H229" s="256">
        <v>0.0</v>
      </c>
      <c r="I229" s="256">
        <v>3.0</v>
      </c>
      <c r="J229" s="256">
        <v>3.0</v>
      </c>
      <c r="K229" s="256">
        <v>0.0</v>
      </c>
      <c r="L229" s="256">
        <v>3.0</v>
      </c>
      <c r="M229" s="256">
        <v>3.0</v>
      </c>
    </row>
    <row r="230">
      <c r="A230" s="256">
        <v>610.0</v>
      </c>
      <c r="B230" s="253" t="s">
        <v>477</v>
      </c>
      <c r="C230" s="253" t="s">
        <v>135</v>
      </c>
      <c r="D230" s="253" t="s">
        <v>478</v>
      </c>
      <c r="E230" s="253" t="s">
        <v>987</v>
      </c>
      <c r="F230" s="256">
        <v>1.0</v>
      </c>
      <c r="G230" s="256">
        <v>1.0</v>
      </c>
      <c r="H230" s="256">
        <v>0.0</v>
      </c>
      <c r="I230" s="256">
        <v>1.0</v>
      </c>
      <c r="J230" s="256">
        <v>1.0</v>
      </c>
      <c r="K230" s="256">
        <v>0.0</v>
      </c>
      <c r="L230" s="256">
        <v>1.0</v>
      </c>
      <c r="M230" s="256">
        <v>1.0</v>
      </c>
    </row>
    <row r="231">
      <c r="A231" s="254">
        <v>26.0</v>
      </c>
      <c r="B231" s="255" t="s">
        <v>492</v>
      </c>
      <c r="C231" s="255" t="s">
        <v>1405</v>
      </c>
      <c r="D231" s="255" t="s">
        <v>1057</v>
      </c>
      <c r="E231" s="255" t="s">
        <v>1225</v>
      </c>
      <c r="F231" s="254">
        <v>5.0</v>
      </c>
      <c r="G231" s="254">
        <v>12.0</v>
      </c>
      <c r="H231" s="254">
        <v>-7.0</v>
      </c>
      <c r="I231" s="254">
        <v>5.0</v>
      </c>
      <c r="J231" s="254">
        <v>11.0</v>
      </c>
      <c r="K231" s="254">
        <v>-6.0</v>
      </c>
      <c r="L231" s="254">
        <v>10.0</v>
      </c>
      <c r="M231" s="254">
        <v>10.0</v>
      </c>
    </row>
    <row r="232">
      <c r="A232" s="254">
        <v>6582.0</v>
      </c>
      <c r="B232" s="255" t="s">
        <v>492</v>
      </c>
      <c r="C232" s="255" t="s">
        <v>1406</v>
      </c>
      <c r="D232" s="255" t="s">
        <v>1056</v>
      </c>
      <c r="E232" s="255" t="s">
        <v>1355</v>
      </c>
      <c r="F232" s="254">
        <v>3.0</v>
      </c>
      <c r="G232" s="254">
        <v>3.0</v>
      </c>
      <c r="H232" s="254">
        <v>0.0</v>
      </c>
      <c r="I232" s="254">
        <v>3.0</v>
      </c>
      <c r="J232" s="254">
        <v>3.0</v>
      </c>
      <c r="K232" s="254">
        <v>0.0</v>
      </c>
      <c r="L232" s="254">
        <v>5.0</v>
      </c>
      <c r="M232" s="254">
        <v>5.0</v>
      </c>
    </row>
    <row r="233">
      <c r="A233" s="256">
        <v>5999.0</v>
      </c>
      <c r="B233" s="253" t="s">
        <v>492</v>
      </c>
      <c r="C233" s="253" t="s">
        <v>1407</v>
      </c>
      <c r="D233" s="253" t="s">
        <v>492</v>
      </c>
      <c r="E233" s="253" t="s">
        <v>998</v>
      </c>
      <c r="F233" s="256">
        <v>6.0</v>
      </c>
      <c r="G233" s="256">
        <v>7.0</v>
      </c>
      <c r="H233" s="256">
        <v>-1.0</v>
      </c>
      <c r="I233" s="256">
        <v>6.0</v>
      </c>
      <c r="J233" s="256">
        <v>7.0</v>
      </c>
      <c r="K233" s="256">
        <v>-1.0</v>
      </c>
      <c r="L233" s="256">
        <v>9.0</v>
      </c>
      <c r="M233" s="256">
        <v>9.0</v>
      </c>
    </row>
    <row r="234">
      <c r="A234" s="256">
        <v>4179.0</v>
      </c>
      <c r="B234" s="253" t="s">
        <v>507</v>
      </c>
      <c r="C234" s="253" t="s">
        <v>720</v>
      </c>
      <c r="D234" s="253" t="s">
        <v>507</v>
      </c>
      <c r="E234" s="253" t="s">
        <v>1033</v>
      </c>
      <c r="F234" s="256">
        <v>17.0</v>
      </c>
      <c r="G234" s="256">
        <v>15.0</v>
      </c>
      <c r="H234" s="256">
        <v>2.0</v>
      </c>
      <c r="I234" s="256">
        <v>17.0</v>
      </c>
      <c r="J234" s="256">
        <v>15.0</v>
      </c>
      <c r="K234" s="256">
        <v>2.0</v>
      </c>
      <c r="L234" s="256">
        <v>95.0</v>
      </c>
      <c r="M234" s="256">
        <v>100.0</v>
      </c>
    </row>
    <row r="235">
      <c r="A235" s="256">
        <v>6255.0</v>
      </c>
      <c r="B235" s="253" t="s">
        <v>477</v>
      </c>
      <c r="C235" s="253" t="s">
        <v>1408</v>
      </c>
      <c r="D235" s="253" t="s">
        <v>478</v>
      </c>
      <c r="E235" s="253" t="s">
        <v>1225</v>
      </c>
      <c r="F235" s="256">
        <v>1.0</v>
      </c>
      <c r="G235" s="256">
        <v>1.0</v>
      </c>
      <c r="H235" s="256">
        <v>0.0</v>
      </c>
      <c r="I235" s="256">
        <v>1.0</v>
      </c>
      <c r="J235" s="256">
        <v>1.0</v>
      </c>
      <c r="K235" s="256">
        <v>0.0</v>
      </c>
      <c r="L235" s="256">
        <v>1.0</v>
      </c>
      <c r="M235" s="256">
        <v>1.0</v>
      </c>
    </row>
    <row r="236">
      <c r="A236" s="256">
        <v>27.0</v>
      </c>
      <c r="B236" s="253" t="s">
        <v>492</v>
      </c>
      <c r="C236" s="253" t="s">
        <v>1068</v>
      </c>
      <c r="D236" s="253" t="s">
        <v>1382</v>
      </c>
      <c r="E236" s="253" t="s">
        <v>1222</v>
      </c>
      <c r="F236" s="256">
        <v>5.0</v>
      </c>
      <c r="G236" s="256">
        <v>5.0</v>
      </c>
      <c r="H236" s="256">
        <v>0.0</v>
      </c>
      <c r="I236" s="256">
        <v>5.0</v>
      </c>
      <c r="J236" s="256">
        <v>5.0</v>
      </c>
      <c r="K236" s="256">
        <v>0.0</v>
      </c>
      <c r="L236" s="256">
        <v>6.0</v>
      </c>
      <c r="M236" s="256">
        <v>8.0</v>
      </c>
    </row>
    <row r="237">
      <c r="A237" s="256">
        <v>6056.0</v>
      </c>
      <c r="B237" s="253" t="s">
        <v>480</v>
      </c>
      <c r="C237" s="253" t="s">
        <v>1409</v>
      </c>
      <c r="D237" s="253" t="s">
        <v>481</v>
      </c>
      <c r="E237" s="253" t="s">
        <v>1222</v>
      </c>
      <c r="F237" s="256">
        <v>1.0</v>
      </c>
      <c r="G237" s="256">
        <v>1.0</v>
      </c>
      <c r="H237" s="256">
        <v>0.0</v>
      </c>
      <c r="I237" s="256">
        <v>1.0</v>
      </c>
      <c r="J237" s="256">
        <v>1.0</v>
      </c>
      <c r="K237" s="256">
        <v>0.0</v>
      </c>
      <c r="L237" s="256">
        <v>2.0</v>
      </c>
      <c r="M237" s="256">
        <v>2.0</v>
      </c>
    </row>
    <row r="238">
      <c r="A238" s="256">
        <v>5800.0</v>
      </c>
      <c r="B238" s="253" t="s">
        <v>492</v>
      </c>
      <c r="C238" s="253" t="s">
        <v>611</v>
      </c>
      <c r="D238" s="253" t="s">
        <v>947</v>
      </c>
      <c r="E238" s="253" t="s">
        <v>1026</v>
      </c>
      <c r="F238" s="256">
        <v>14.0</v>
      </c>
      <c r="G238" s="256">
        <v>14.0</v>
      </c>
      <c r="H238" s="256">
        <v>0.0</v>
      </c>
      <c r="I238" s="256">
        <v>13.0</v>
      </c>
      <c r="J238" s="256">
        <v>13.0</v>
      </c>
      <c r="K238" s="256">
        <v>0.0</v>
      </c>
      <c r="L238" s="256">
        <v>63.0</v>
      </c>
      <c r="M238" s="256">
        <v>58.0</v>
      </c>
    </row>
    <row r="239">
      <c r="A239" s="256">
        <v>4186.0</v>
      </c>
      <c r="B239" s="253" t="s">
        <v>492</v>
      </c>
      <c r="C239" s="253" t="s">
        <v>438</v>
      </c>
      <c r="D239" s="253" t="s">
        <v>934</v>
      </c>
      <c r="E239" s="253" t="s">
        <v>1000</v>
      </c>
      <c r="F239" s="256">
        <v>13.0</v>
      </c>
      <c r="G239" s="256">
        <v>13.0</v>
      </c>
      <c r="H239" s="256">
        <v>0.0</v>
      </c>
      <c r="I239" s="256">
        <v>12.0</v>
      </c>
      <c r="J239" s="256">
        <v>12.0</v>
      </c>
      <c r="K239" s="256">
        <v>0.0</v>
      </c>
      <c r="L239" s="256">
        <v>34.0</v>
      </c>
      <c r="M239" s="256">
        <v>30.0</v>
      </c>
    </row>
    <row r="240">
      <c r="A240" s="256">
        <v>6023.0</v>
      </c>
      <c r="B240" s="253" t="s">
        <v>480</v>
      </c>
      <c r="C240" s="253" t="s">
        <v>1410</v>
      </c>
      <c r="D240" s="253" t="s">
        <v>481</v>
      </c>
      <c r="E240" s="253" t="s">
        <v>993</v>
      </c>
      <c r="F240" s="256">
        <v>1.0</v>
      </c>
      <c r="G240" s="256">
        <v>1.0</v>
      </c>
      <c r="H240" s="256">
        <v>0.0</v>
      </c>
      <c r="I240" s="256">
        <v>1.0</v>
      </c>
      <c r="J240" s="256">
        <v>1.0</v>
      </c>
      <c r="K240" s="256">
        <v>0.0</v>
      </c>
      <c r="L240" s="256">
        <v>1.0</v>
      </c>
      <c r="M240" s="256">
        <v>1.0</v>
      </c>
    </row>
    <row r="241">
      <c r="A241" s="256">
        <v>2758.0</v>
      </c>
      <c r="B241" s="253" t="s">
        <v>480</v>
      </c>
      <c r="C241" s="253" t="s">
        <v>1411</v>
      </c>
      <c r="D241" s="253" t="s">
        <v>481</v>
      </c>
      <c r="E241" s="253" t="s">
        <v>983</v>
      </c>
      <c r="F241" s="256">
        <v>3.0</v>
      </c>
      <c r="G241" s="256">
        <v>4.0</v>
      </c>
      <c r="H241" s="256">
        <v>-1.0</v>
      </c>
      <c r="I241" s="256">
        <v>3.0</v>
      </c>
      <c r="J241" s="256">
        <v>4.0</v>
      </c>
      <c r="K241" s="256">
        <v>-1.0</v>
      </c>
      <c r="L241" s="256">
        <v>4.0</v>
      </c>
      <c r="M241" s="256">
        <v>4.0</v>
      </c>
    </row>
    <row r="242">
      <c r="A242" s="256">
        <v>4992.0</v>
      </c>
      <c r="B242" s="253" t="s">
        <v>492</v>
      </c>
      <c r="C242" s="253" t="s">
        <v>1265</v>
      </c>
      <c r="D242" s="253" t="s">
        <v>935</v>
      </c>
      <c r="E242" s="253" t="s">
        <v>1222</v>
      </c>
      <c r="F242" s="256">
        <v>7.0</v>
      </c>
      <c r="G242" s="256">
        <v>8.0</v>
      </c>
      <c r="H242" s="256">
        <v>-1.0</v>
      </c>
      <c r="I242" s="256">
        <v>7.0</v>
      </c>
      <c r="J242" s="256">
        <v>8.0</v>
      </c>
      <c r="K242" s="256">
        <v>-1.0</v>
      </c>
      <c r="L242" s="256">
        <v>8.0</v>
      </c>
      <c r="M242" s="256">
        <v>8.0</v>
      </c>
    </row>
    <row r="243">
      <c r="A243" s="256">
        <v>660.0</v>
      </c>
      <c r="B243" s="253" t="s">
        <v>480</v>
      </c>
      <c r="C243" s="253" t="s">
        <v>1412</v>
      </c>
      <c r="D243" s="253" t="s">
        <v>481</v>
      </c>
      <c r="E243" s="253" t="s">
        <v>1355</v>
      </c>
      <c r="F243" s="256">
        <v>6.0</v>
      </c>
      <c r="G243" s="256">
        <v>6.0</v>
      </c>
      <c r="H243" s="256">
        <v>0.0</v>
      </c>
      <c r="I243" s="256">
        <v>6.0</v>
      </c>
      <c r="J243" s="256">
        <v>6.0</v>
      </c>
      <c r="K243" s="256">
        <v>0.0</v>
      </c>
      <c r="L243" s="256">
        <v>7.0</v>
      </c>
      <c r="M243" s="256">
        <v>7.0</v>
      </c>
    </row>
    <row r="244">
      <c r="A244" s="256">
        <v>5695.0</v>
      </c>
      <c r="B244" s="253" t="s">
        <v>480</v>
      </c>
      <c r="C244" s="253" t="s">
        <v>1281</v>
      </c>
      <c r="D244" s="253" t="s">
        <v>931</v>
      </c>
      <c r="E244" s="253" t="s">
        <v>1026</v>
      </c>
      <c r="F244" s="256">
        <v>2.0</v>
      </c>
      <c r="G244" s="256">
        <v>2.0</v>
      </c>
      <c r="H244" s="256">
        <v>0.0</v>
      </c>
      <c r="I244" s="256">
        <v>2.0</v>
      </c>
      <c r="J244" s="256">
        <v>2.0</v>
      </c>
      <c r="K244" s="256">
        <v>0.0</v>
      </c>
      <c r="L244" s="256">
        <v>4.0</v>
      </c>
      <c r="M244" s="256">
        <v>4.0</v>
      </c>
    </row>
    <row r="245">
      <c r="A245" s="256">
        <v>5688.0</v>
      </c>
      <c r="B245" s="253" t="s">
        <v>492</v>
      </c>
      <c r="C245" s="253" t="s">
        <v>729</v>
      </c>
      <c r="D245" s="253" t="s">
        <v>930</v>
      </c>
      <c r="E245" s="253" t="s">
        <v>1342</v>
      </c>
      <c r="F245" s="256">
        <v>8.0</v>
      </c>
      <c r="G245" s="256">
        <v>4.0</v>
      </c>
      <c r="H245" s="256">
        <v>4.0</v>
      </c>
      <c r="I245" s="256">
        <v>8.0</v>
      </c>
      <c r="J245" s="256">
        <v>5.0</v>
      </c>
      <c r="K245" s="256">
        <v>3.0</v>
      </c>
      <c r="L245" s="256">
        <v>22.0</v>
      </c>
      <c r="M245" s="256">
        <v>27.0</v>
      </c>
    </row>
    <row r="246">
      <c r="A246" s="256">
        <v>2130.0</v>
      </c>
      <c r="B246" s="253" t="s">
        <v>480</v>
      </c>
      <c r="C246" s="253" t="s">
        <v>1413</v>
      </c>
      <c r="D246" s="253" t="s">
        <v>521</v>
      </c>
      <c r="E246" s="253" t="s">
        <v>980</v>
      </c>
      <c r="F246" s="256">
        <v>6.0</v>
      </c>
      <c r="G246" s="256">
        <v>7.0</v>
      </c>
      <c r="H246" s="256">
        <v>-1.0</v>
      </c>
      <c r="I246" s="256">
        <v>5.0</v>
      </c>
      <c r="J246" s="256">
        <v>6.0</v>
      </c>
      <c r="K246" s="256">
        <v>-1.0</v>
      </c>
      <c r="L246" s="256">
        <v>10.0</v>
      </c>
      <c r="M246" s="256">
        <v>10.0</v>
      </c>
    </row>
    <row r="247">
      <c r="A247" s="256">
        <v>6438.0</v>
      </c>
      <c r="B247" s="253" t="s">
        <v>480</v>
      </c>
      <c r="C247" s="253" t="s">
        <v>1298</v>
      </c>
      <c r="D247" s="253" t="s">
        <v>937</v>
      </c>
      <c r="E247" s="253" t="s">
        <v>975</v>
      </c>
      <c r="F247" s="256">
        <v>5.0</v>
      </c>
      <c r="G247" s="256">
        <v>5.0</v>
      </c>
      <c r="H247" s="256">
        <v>0.0</v>
      </c>
      <c r="I247" s="256">
        <v>5.0</v>
      </c>
      <c r="J247" s="256">
        <v>5.0</v>
      </c>
      <c r="K247" s="256">
        <v>0.0</v>
      </c>
      <c r="L247" s="256">
        <v>7.0</v>
      </c>
      <c r="M247" s="256">
        <v>7.0</v>
      </c>
    </row>
    <row r="248">
      <c r="A248" s="256">
        <v>5748.0</v>
      </c>
      <c r="B248" s="253" t="s">
        <v>480</v>
      </c>
      <c r="C248" s="253" t="s">
        <v>1414</v>
      </c>
      <c r="D248" s="253" t="s">
        <v>938</v>
      </c>
      <c r="E248" s="253" t="s">
        <v>1026</v>
      </c>
      <c r="F248" s="256">
        <v>3.0</v>
      </c>
      <c r="G248" s="256">
        <v>3.0</v>
      </c>
      <c r="H248" s="256">
        <v>0.0</v>
      </c>
      <c r="I248" s="256">
        <v>3.0</v>
      </c>
      <c r="J248" s="256">
        <v>3.0</v>
      </c>
      <c r="K248" s="256">
        <v>0.0</v>
      </c>
      <c r="L248" s="256">
        <v>4.0</v>
      </c>
      <c r="M248" s="256">
        <v>4.0</v>
      </c>
    </row>
    <row r="249">
      <c r="A249" s="256">
        <v>5529.0</v>
      </c>
      <c r="B249" s="253" t="s">
        <v>507</v>
      </c>
      <c r="C249" s="253" t="s">
        <v>1415</v>
      </c>
      <c r="D249" s="253" t="s">
        <v>512</v>
      </c>
      <c r="E249" s="253" t="s">
        <v>983</v>
      </c>
      <c r="F249" s="256">
        <v>11.0</v>
      </c>
      <c r="G249" s="256">
        <v>12.0</v>
      </c>
      <c r="H249" s="256">
        <v>-1.0</v>
      </c>
      <c r="I249" s="256">
        <v>10.0</v>
      </c>
      <c r="J249" s="256">
        <v>11.0</v>
      </c>
      <c r="K249" s="256">
        <v>-1.0</v>
      </c>
      <c r="L249" s="256">
        <v>6.0</v>
      </c>
      <c r="M249" s="256">
        <v>6.0</v>
      </c>
    </row>
    <row r="250">
      <c r="A250" s="256">
        <v>4292.0</v>
      </c>
      <c r="B250" s="253" t="s">
        <v>480</v>
      </c>
      <c r="C250" s="253" t="s">
        <v>633</v>
      </c>
      <c r="D250" s="253" t="s">
        <v>931</v>
      </c>
      <c r="E250" s="253" t="s">
        <v>991</v>
      </c>
      <c r="F250" s="256">
        <v>18.0</v>
      </c>
      <c r="G250" s="256">
        <v>17.0</v>
      </c>
      <c r="H250" s="256">
        <v>1.0</v>
      </c>
      <c r="I250" s="256">
        <v>18.0</v>
      </c>
      <c r="J250" s="256">
        <v>17.0</v>
      </c>
      <c r="K250" s="256">
        <v>1.0</v>
      </c>
      <c r="L250" s="256">
        <v>88.0</v>
      </c>
      <c r="M250" s="256">
        <v>88.0</v>
      </c>
    </row>
    <row r="251">
      <c r="A251" s="256">
        <v>6046.0</v>
      </c>
      <c r="B251" s="253" t="s">
        <v>480</v>
      </c>
      <c r="C251" s="253" t="s">
        <v>781</v>
      </c>
      <c r="D251" s="253" t="s">
        <v>481</v>
      </c>
      <c r="E251" s="253" t="s">
        <v>983</v>
      </c>
      <c r="F251" s="256">
        <v>7.0</v>
      </c>
      <c r="G251" s="256">
        <v>8.0</v>
      </c>
      <c r="H251" s="256">
        <v>-1.0</v>
      </c>
      <c r="I251" s="256">
        <v>7.0</v>
      </c>
      <c r="J251" s="256">
        <v>8.0</v>
      </c>
      <c r="K251" s="256">
        <v>-1.0</v>
      </c>
      <c r="L251" s="256">
        <v>15.0</v>
      </c>
      <c r="M251" s="256">
        <v>15.0</v>
      </c>
    </row>
    <row r="252">
      <c r="A252" s="256">
        <v>5678.0</v>
      </c>
      <c r="B252" s="253" t="s">
        <v>480</v>
      </c>
      <c r="C252" s="253" t="s">
        <v>641</v>
      </c>
      <c r="D252" s="253" t="s">
        <v>521</v>
      </c>
      <c r="E252" s="253" t="s">
        <v>980</v>
      </c>
      <c r="F252" s="256">
        <v>10.0</v>
      </c>
      <c r="G252" s="256">
        <v>10.0</v>
      </c>
      <c r="H252" s="256">
        <v>0.0</v>
      </c>
      <c r="I252" s="256">
        <v>9.0</v>
      </c>
      <c r="J252" s="256">
        <v>9.0</v>
      </c>
      <c r="K252" s="256">
        <v>0.0</v>
      </c>
      <c r="L252" s="256">
        <v>20.0</v>
      </c>
      <c r="M252" s="256">
        <v>18.0</v>
      </c>
    </row>
    <row r="253">
      <c r="A253" s="256">
        <v>5499.0</v>
      </c>
      <c r="B253" s="253" t="s">
        <v>492</v>
      </c>
      <c r="C253" s="253" t="s">
        <v>1416</v>
      </c>
      <c r="D253" s="253" t="s">
        <v>930</v>
      </c>
      <c r="E253" s="253" t="s">
        <v>983</v>
      </c>
      <c r="F253" s="256">
        <v>5.0</v>
      </c>
      <c r="G253" s="256">
        <v>4.0</v>
      </c>
      <c r="H253" s="256">
        <v>1.0</v>
      </c>
      <c r="I253" s="256">
        <v>6.0</v>
      </c>
      <c r="J253" s="256">
        <v>5.0</v>
      </c>
      <c r="K253" s="256">
        <v>1.0</v>
      </c>
      <c r="L253" s="256">
        <v>4.0</v>
      </c>
      <c r="M253" s="256">
        <v>6.0</v>
      </c>
    </row>
    <row r="254">
      <c r="A254" s="256">
        <v>5947.0</v>
      </c>
      <c r="B254" s="253" t="s">
        <v>492</v>
      </c>
      <c r="C254" s="253" t="s">
        <v>1417</v>
      </c>
      <c r="D254" s="253" t="s">
        <v>492</v>
      </c>
      <c r="E254" s="253" t="s">
        <v>983</v>
      </c>
      <c r="F254" s="256">
        <v>2.0</v>
      </c>
      <c r="G254" s="256">
        <v>3.0</v>
      </c>
      <c r="H254" s="256">
        <v>-1.0</v>
      </c>
      <c r="I254" s="256">
        <v>2.0</v>
      </c>
      <c r="J254" s="256">
        <v>3.0</v>
      </c>
      <c r="K254" s="256">
        <v>-1.0</v>
      </c>
      <c r="L254" s="256">
        <v>4.0</v>
      </c>
      <c r="M254" s="256">
        <v>3.0</v>
      </c>
    </row>
    <row r="255">
      <c r="A255" s="256">
        <v>6433.0</v>
      </c>
      <c r="B255" s="253" t="s">
        <v>480</v>
      </c>
      <c r="C255" s="253" t="s">
        <v>1418</v>
      </c>
      <c r="D255" s="253" t="s">
        <v>481</v>
      </c>
      <c r="E255" s="253" t="s">
        <v>976</v>
      </c>
      <c r="F255" s="256">
        <v>1.0</v>
      </c>
      <c r="G255" s="256">
        <v>1.0</v>
      </c>
      <c r="H255" s="256">
        <v>0.0</v>
      </c>
      <c r="I255" s="256">
        <v>1.0</v>
      </c>
      <c r="J255" s="256">
        <v>1.0</v>
      </c>
      <c r="K255" s="256">
        <v>0.0</v>
      </c>
      <c r="L255" s="256">
        <v>1.0</v>
      </c>
      <c r="M255" s="256">
        <v>1.0</v>
      </c>
    </row>
    <row r="256">
      <c r="A256" s="256">
        <v>140.0</v>
      </c>
      <c r="B256" s="253" t="s">
        <v>480</v>
      </c>
      <c r="C256" s="253" t="s">
        <v>1075</v>
      </c>
      <c r="D256" s="253" t="s">
        <v>944</v>
      </c>
      <c r="E256" s="253" t="s">
        <v>1000</v>
      </c>
      <c r="F256" s="256">
        <v>7.0</v>
      </c>
      <c r="G256" s="256">
        <v>7.0</v>
      </c>
      <c r="H256" s="256">
        <v>0.0</v>
      </c>
      <c r="I256" s="256">
        <v>8.0</v>
      </c>
      <c r="J256" s="256">
        <v>8.0</v>
      </c>
      <c r="K256" s="256">
        <v>0.0</v>
      </c>
      <c r="L256" s="256">
        <v>15.0</v>
      </c>
      <c r="M256" s="256">
        <v>18.0</v>
      </c>
    </row>
    <row r="257">
      <c r="A257" s="254">
        <v>6492.0</v>
      </c>
      <c r="B257" s="255" t="s">
        <v>492</v>
      </c>
      <c r="C257" s="255" t="s">
        <v>1419</v>
      </c>
      <c r="D257" s="255" t="s">
        <v>1038</v>
      </c>
      <c r="E257" s="255" t="s">
        <v>1342</v>
      </c>
      <c r="F257" s="254">
        <v>8.0</v>
      </c>
      <c r="G257" s="254">
        <v>1.0</v>
      </c>
      <c r="H257" s="254">
        <v>7.0</v>
      </c>
      <c r="I257" s="254">
        <v>8.0</v>
      </c>
      <c r="J257" s="254">
        <v>1.0</v>
      </c>
      <c r="K257" s="254">
        <v>7.0</v>
      </c>
      <c r="L257" s="254">
        <v>22.0</v>
      </c>
      <c r="M257" s="254">
        <v>25.0</v>
      </c>
    </row>
    <row r="258">
      <c r="A258" s="256">
        <v>4658.0</v>
      </c>
      <c r="B258" s="253" t="s">
        <v>492</v>
      </c>
      <c r="C258" s="253" t="s">
        <v>1262</v>
      </c>
      <c r="D258" s="253" t="s">
        <v>563</v>
      </c>
      <c r="E258" s="253" t="s">
        <v>1033</v>
      </c>
      <c r="F258" s="256">
        <v>12.0</v>
      </c>
      <c r="G258" s="256">
        <v>13.0</v>
      </c>
      <c r="H258" s="256">
        <v>-1.0</v>
      </c>
      <c r="I258" s="256">
        <v>11.0</v>
      </c>
      <c r="J258" s="256">
        <v>12.0</v>
      </c>
      <c r="K258" s="256">
        <v>-1.0</v>
      </c>
      <c r="L258" s="256">
        <v>18.0</v>
      </c>
      <c r="M258" s="256">
        <v>18.0</v>
      </c>
    </row>
    <row r="259">
      <c r="A259" s="256">
        <v>6425.0</v>
      </c>
      <c r="B259" s="253" t="s">
        <v>507</v>
      </c>
      <c r="C259" s="253" t="s">
        <v>1420</v>
      </c>
      <c r="D259" s="253" t="s">
        <v>512</v>
      </c>
      <c r="E259" s="253" t="s">
        <v>1355</v>
      </c>
      <c r="F259" s="256">
        <v>2.0</v>
      </c>
      <c r="G259" s="256">
        <v>1.0</v>
      </c>
      <c r="H259" s="256">
        <v>1.0</v>
      </c>
      <c r="I259" s="256">
        <v>2.0</v>
      </c>
      <c r="J259" s="256">
        <v>1.0</v>
      </c>
      <c r="K259" s="256">
        <v>1.0</v>
      </c>
      <c r="L259" s="256">
        <v>2.0</v>
      </c>
      <c r="M259" s="256">
        <v>2.0</v>
      </c>
    </row>
    <row r="260">
      <c r="A260" s="256">
        <v>5007.0</v>
      </c>
      <c r="B260" s="253" t="s">
        <v>492</v>
      </c>
      <c r="C260" s="253" t="s">
        <v>730</v>
      </c>
      <c r="D260" s="253" t="s">
        <v>492</v>
      </c>
      <c r="E260" s="253" t="s">
        <v>972</v>
      </c>
      <c r="F260" s="256">
        <v>12.0</v>
      </c>
      <c r="G260" s="256">
        <v>12.0</v>
      </c>
      <c r="H260" s="256">
        <v>0.0</v>
      </c>
      <c r="I260" s="256">
        <v>12.0</v>
      </c>
      <c r="J260" s="256">
        <v>12.0</v>
      </c>
      <c r="K260" s="256">
        <v>0.0</v>
      </c>
      <c r="L260" s="256">
        <v>28.0</v>
      </c>
      <c r="M260" s="256">
        <v>28.0</v>
      </c>
    </row>
    <row r="261">
      <c r="A261" s="254">
        <v>6551.0</v>
      </c>
      <c r="B261" s="255" t="s">
        <v>480</v>
      </c>
      <c r="C261" s="255" t="s">
        <v>1077</v>
      </c>
      <c r="D261" s="255" t="s">
        <v>481</v>
      </c>
      <c r="E261" s="255" t="s">
        <v>1009</v>
      </c>
      <c r="F261" s="254">
        <v>2.0</v>
      </c>
      <c r="G261" s="254">
        <v>3.0</v>
      </c>
      <c r="H261" s="254">
        <v>-1.0</v>
      </c>
      <c r="I261" s="254">
        <v>2.0</v>
      </c>
      <c r="J261" s="254">
        <v>3.0</v>
      </c>
      <c r="K261" s="254">
        <v>-1.0</v>
      </c>
      <c r="L261" s="254">
        <v>5.0</v>
      </c>
      <c r="M261" s="254">
        <v>5.0</v>
      </c>
    </row>
    <row r="262">
      <c r="A262" s="256">
        <v>6112.0</v>
      </c>
      <c r="B262" s="253" t="s">
        <v>492</v>
      </c>
      <c r="C262" s="253" t="s">
        <v>278</v>
      </c>
      <c r="D262" s="253" t="s">
        <v>563</v>
      </c>
      <c r="E262" s="253" t="s">
        <v>976</v>
      </c>
      <c r="F262" s="256">
        <v>5.0</v>
      </c>
      <c r="G262" s="256">
        <v>4.0</v>
      </c>
      <c r="H262" s="256">
        <v>1.0</v>
      </c>
      <c r="I262" s="256">
        <v>4.0</v>
      </c>
      <c r="J262" s="256">
        <v>3.0</v>
      </c>
      <c r="K262" s="256">
        <v>1.0</v>
      </c>
      <c r="L262" s="256">
        <v>12.0</v>
      </c>
      <c r="M262" s="256">
        <v>12.0</v>
      </c>
    </row>
    <row r="263">
      <c r="A263" s="256">
        <v>785.0</v>
      </c>
      <c r="B263" s="253" t="s">
        <v>507</v>
      </c>
      <c r="C263" s="253" t="s">
        <v>1078</v>
      </c>
      <c r="D263" s="253" t="s">
        <v>512</v>
      </c>
      <c r="E263" s="253" t="s">
        <v>1000</v>
      </c>
      <c r="F263" s="256">
        <v>31.0</v>
      </c>
      <c r="G263" s="256">
        <v>32.0</v>
      </c>
      <c r="H263" s="256">
        <v>-1.0</v>
      </c>
      <c r="I263" s="256">
        <v>31.0</v>
      </c>
      <c r="J263" s="256">
        <v>32.0</v>
      </c>
      <c r="K263" s="256">
        <v>-1.0</v>
      </c>
      <c r="L263" s="256">
        <v>327.0</v>
      </c>
      <c r="M263" s="256">
        <v>317.0</v>
      </c>
    </row>
    <row r="264">
      <c r="A264" s="256">
        <v>6393.0</v>
      </c>
      <c r="B264" s="253" t="s">
        <v>492</v>
      </c>
      <c r="C264" s="253" t="s">
        <v>1421</v>
      </c>
      <c r="D264" s="253" t="s">
        <v>1057</v>
      </c>
      <c r="E264" s="253" t="s">
        <v>1033</v>
      </c>
      <c r="F264" s="256">
        <v>4.0</v>
      </c>
      <c r="G264" s="256">
        <v>5.0</v>
      </c>
      <c r="H264" s="256">
        <v>-1.0</v>
      </c>
      <c r="I264" s="256">
        <v>5.0</v>
      </c>
      <c r="J264" s="256">
        <v>6.0</v>
      </c>
      <c r="K264" s="256">
        <v>-1.0</v>
      </c>
      <c r="L264" s="256">
        <v>10.0</v>
      </c>
      <c r="M264" s="256">
        <v>12.0</v>
      </c>
    </row>
    <row r="265">
      <c r="A265" s="256">
        <v>6398.0</v>
      </c>
      <c r="B265" s="253" t="s">
        <v>507</v>
      </c>
      <c r="C265" s="253" t="s">
        <v>663</v>
      </c>
      <c r="D265" s="253" t="s">
        <v>507</v>
      </c>
      <c r="E265" s="253" t="s">
        <v>1000</v>
      </c>
      <c r="F265" s="256">
        <v>11.0</v>
      </c>
      <c r="G265" s="256">
        <v>12.0</v>
      </c>
      <c r="H265" s="256">
        <v>-1.0</v>
      </c>
      <c r="I265" s="256">
        <v>11.0</v>
      </c>
      <c r="J265" s="256">
        <v>12.0</v>
      </c>
      <c r="K265" s="256">
        <v>-1.0</v>
      </c>
      <c r="L265" s="256">
        <v>21.0</v>
      </c>
      <c r="M265" s="256">
        <v>21.0</v>
      </c>
    </row>
    <row r="266">
      <c r="A266" s="256">
        <v>5010.0</v>
      </c>
      <c r="B266" s="253" t="s">
        <v>480</v>
      </c>
      <c r="C266" s="253" t="s">
        <v>615</v>
      </c>
      <c r="D266" s="253" t="s">
        <v>481</v>
      </c>
      <c r="E266" s="253" t="s">
        <v>1222</v>
      </c>
      <c r="F266" s="256">
        <v>5.0</v>
      </c>
      <c r="G266" s="256">
        <v>5.0</v>
      </c>
      <c r="H266" s="256">
        <v>0.0</v>
      </c>
      <c r="I266" s="256">
        <v>5.0</v>
      </c>
      <c r="J266" s="256">
        <v>5.0</v>
      </c>
      <c r="K266" s="256">
        <v>0.0</v>
      </c>
      <c r="L266" s="256">
        <v>9.0</v>
      </c>
      <c r="M266" s="256">
        <v>9.0</v>
      </c>
    </row>
    <row r="267">
      <c r="A267" s="256">
        <v>226.0</v>
      </c>
      <c r="B267" s="253" t="s">
        <v>480</v>
      </c>
      <c r="C267" s="253" t="s">
        <v>836</v>
      </c>
      <c r="D267" s="253" t="s">
        <v>481</v>
      </c>
      <c r="E267" s="253" t="s">
        <v>1225</v>
      </c>
      <c r="F267" s="256">
        <v>7.0</v>
      </c>
      <c r="G267" s="256">
        <v>8.0</v>
      </c>
      <c r="H267" s="256">
        <v>-1.0</v>
      </c>
      <c r="I267" s="256">
        <v>7.0</v>
      </c>
      <c r="J267" s="256">
        <v>8.0</v>
      </c>
      <c r="K267" s="256">
        <v>-1.0</v>
      </c>
      <c r="L267" s="256">
        <v>18.0</v>
      </c>
      <c r="M267" s="256">
        <v>18.0</v>
      </c>
    </row>
    <row r="268">
      <c r="A268" s="256">
        <v>4384.0</v>
      </c>
      <c r="B268" s="253" t="s">
        <v>492</v>
      </c>
      <c r="C268" s="253" t="s">
        <v>1422</v>
      </c>
      <c r="D268" s="253" t="s">
        <v>492</v>
      </c>
      <c r="E268" s="253" t="s">
        <v>1026</v>
      </c>
      <c r="F268" s="256">
        <v>2.0</v>
      </c>
      <c r="G268" s="256">
        <v>3.0</v>
      </c>
      <c r="H268" s="256">
        <v>-1.0</v>
      </c>
      <c r="I268" s="256">
        <v>2.0</v>
      </c>
      <c r="J268" s="256">
        <v>3.0</v>
      </c>
      <c r="K268" s="256">
        <v>-1.0</v>
      </c>
      <c r="L268" s="256">
        <v>5.0</v>
      </c>
      <c r="M268" s="256">
        <v>4.0</v>
      </c>
    </row>
    <row r="269">
      <c r="A269" s="256">
        <v>1987.0</v>
      </c>
      <c r="B269" s="253" t="s">
        <v>492</v>
      </c>
      <c r="C269" s="253" t="s">
        <v>1241</v>
      </c>
      <c r="D269" s="253" t="s">
        <v>1242</v>
      </c>
      <c r="E269" s="253" t="s">
        <v>975</v>
      </c>
      <c r="F269" s="256">
        <v>8.0</v>
      </c>
      <c r="G269" s="256">
        <v>7.0</v>
      </c>
      <c r="H269" s="256">
        <v>1.0</v>
      </c>
      <c r="I269" s="256">
        <v>8.0</v>
      </c>
      <c r="J269" s="256">
        <v>8.0</v>
      </c>
      <c r="K269" s="256">
        <v>0.0</v>
      </c>
      <c r="L269" s="256">
        <v>15.0</v>
      </c>
      <c r="M269" s="256">
        <v>18.0</v>
      </c>
    </row>
    <row r="270">
      <c r="A270" s="254">
        <v>6531.0</v>
      </c>
      <c r="B270" s="255" t="s">
        <v>480</v>
      </c>
      <c r="C270" s="255" t="s">
        <v>655</v>
      </c>
      <c r="D270" s="255" t="s">
        <v>944</v>
      </c>
      <c r="E270" s="255" t="s">
        <v>991</v>
      </c>
      <c r="F270" s="254">
        <v>1.0</v>
      </c>
      <c r="G270" s="254">
        <v>1.0</v>
      </c>
      <c r="H270" s="254">
        <v>0.0</v>
      </c>
      <c r="I270" s="254">
        <v>1.0</v>
      </c>
      <c r="J270" s="254">
        <v>1.0</v>
      </c>
      <c r="K270" s="254">
        <v>0.0</v>
      </c>
      <c r="L270" s="254">
        <v>5.0</v>
      </c>
      <c r="M270" s="254">
        <v>5.0</v>
      </c>
    </row>
    <row r="271">
      <c r="A271" s="256">
        <v>6254.0</v>
      </c>
      <c r="B271" s="253" t="s">
        <v>492</v>
      </c>
      <c r="C271" s="253" t="s">
        <v>1423</v>
      </c>
      <c r="D271" s="253" t="s">
        <v>930</v>
      </c>
      <c r="E271" s="253" t="s">
        <v>983</v>
      </c>
      <c r="F271" s="256">
        <v>1.0</v>
      </c>
      <c r="G271" s="256">
        <v>1.0</v>
      </c>
      <c r="H271" s="256">
        <v>0.0</v>
      </c>
      <c r="I271" s="256">
        <v>1.0</v>
      </c>
      <c r="J271" s="256">
        <v>1.0</v>
      </c>
      <c r="K271" s="256">
        <v>0.0</v>
      </c>
      <c r="L271" s="256">
        <v>1.0</v>
      </c>
      <c r="M271" s="256">
        <v>1.0</v>
      </c>
    </row>
    <row r="272">
      <c r="A272" s="256">
        <v>5807.0</v>
      </c>
      <c r="B272" s="253" t="s">
        <v>507</v>
      </c>
      <c r="C272" s="253" t="s">
        <v>1424</v>
      </c>
      <c r="D272" s="253" t="s">
        <v>507</v>
      </c>
      <c r="E272" s="253" t="s">
        <v>1355</v>
      </c>
      <c r="F272" s="256">
        <v>5.0</v>
      </c>
      <c r="G272" s="256">
        <v>5.0</v>
      </c>
      <c r="H272" s="256">
        <v>0.0</v>
      </c>
      <c r="I272" s="256">
        <v>5.0</v>
      </c>
      <c r="J272" s="256">
        <v>5.0</v>
      </c>
      <c r="K272" s="256">
        <v>0.0</v>
      </c>
      <c r="L272" s="256">
        <v>8.0</v>
      </c>
      <c r="M272" s="256">
        <v>8.0</v>
      </c>
    </row>
    <row r="273">
      <c r="A273" s="256">
        <v>2438.0</v>
      </c>
      <c r="B273" s="253" t="s">
        <v>507</v>
      </c>
      <c r="C273" s="253" t="s">
        <v>883</v>
      </c>
      <c r="D273" s="253" t="s">
        <v>512</v>
      </c>
      <c r="E273" s="253" t="s">
        <v>991</v>
      </c>
      <c r="F273" s="256">
        <v>13.0</v>
      </c>
      <c r="G273" s="256">
        <v>14.0</v>
      </c>
      <c r="H273" s="256">
        <v>-1.0</v>
      </c>
      <c r="I273" s="256">
        <v>12.0</v>
      </c>
      <c r="J273" s="256">
        <v>13.0</v>
      </c>
      <c r="K273" s="256">
        <v>-1.0</v>
      </c>
      <c r="L273" s="256">
        <v>28.0</v>
      </c>
      <c r="M273" s="256">
        <v>20.0</v>
      </c>
    </row>
    <row r="274">
      <c r="A274" s="256">
        <v>256.0</v>
      </c>
      <c r="B274" s="253" t="s">
        <v>480</v>
      </c>
      <c r="C274" s="253" t="s">
        <v>824</v>
      </c>
      <c r="D274" s="253" t="s">
        <v>1022</v>
      </c>
      <c r="E274" s="253" t="s">
        <v>987</v>
      </c>
      <c r="F274" s="256">
        <v>6.0</v>
      </c>
      <c r="G274" s="256">
        <v>5.0</v>
      </c>
      <c r="H274" s="256">
        <v>1.0</v>
      </c>
      <c r="I274" s="256">
        <v>7.0</v>
      </c>
      <c r="J274" s="256">
        <v>6.0</v>
      </c>
      <c r="K274" s="256">
        <v>1.0</v>
      </c>
      <c r="L274" s="256">
        <v>21.0</v>
      </c>
      <c r="M274" s="256">
        <v>25.0</v>
      </c>
    </row>
    <row r="275">
      <c r="A275" s="256">
        <v>6410.0</v>
      </c>
      <c r="B275" s="253" t="s">
        <v>492</v>
      </c>
      <c r="C275" s="253" t="s">
        <v>1083</v>
      </c>
      <c r="D275" s="253" t="s">
        <v>930</v>
      </c>
      <c r="E275" s="253" t="s">
        <v>998</v>
      </c>
      <c r="F275" s="256">
        <v>6.0</v>
      </c>
      <c r="G275" s="256">
        <v>5.0</v>
      </c>
      <c r="H275" s="256">
        <v>1.0</v>
      </c>
      <c r="I275" s="256">
        <v>6.0</v>
      </c>
      <c r="J275" s="256">
        <v>6.0</v>
      </c>
      <c r="K275" s="256">
        <v>0.0</v>
      </c>
      <c r="L275" s="256">
        <v>7.0</v>
      </c>
      <c r="M275" s="256">
        <v>8.0</v>
      </c>
    </row>
    <row r="276">
      <c r="A276" s="256">
        <v>4263.0</v>
      </c>
      <c r="B276" s="253" t="s">
        <v>480</v>
      </c>
      <c r="C276" s="253" t="s">
        <v>228</v>
      </c>
      <c r="D276" s="253" t="s">
        <v>481</v>
      </c>
      <c r="E276" s="253" t="s">
        <v>993</v>
      </c>
      <c r="F276" s="256">
        <v>5.0</v>
      </c>
      <c r="G276" s="256">
        <v>5.0</v>
      </c>
      <c r="H276" s="256">
        <v>0.0</v>
      </c>
      <c r="I276" s="256">
        <v>5.0</v>
      </c>
      <c r="J276" s="256">
        <v>5.0</v>
      </c>
      <c r="K276" s="256">
        <v>0.0</v>
      </c>
      <c r="L276" s="256">
        <v>5.0</v>
      </c>
      <c r="M276" s="256">
        <v>5.0</v>
      </c>
    </row>
    <row r="277">
      <c r="A277" s="254">
        <v>6583.0</v>
      </c>
      <c r="B277" s="255" t="s">
        <v>507</v>
      </c>
      <c r="C277" s="255" t="s">
        <v>1425</v>
      </c>
      <c r="D277" s="255" t="s">
        <v>507</v>
      </c>
      <c r="E277" s="255" t="s">
        <v>972</v>
      </c>
      <c r="F277" s="254">
        <v>1.0</v>
      </c>
      <c r="G277" s="254">
        <v>1.0</v>
      </c>
      <c r="H277" s="254">
        <v>0.0</v>
      </c>
      <c r="I277" s="254">
        <v>1.0</v>
      </c>
      <c r="J277" s="254">
        <v>1.0</v>
      </c>
      <c r="K277" s="254">
        <v>0.0</v>
      </c>
      <c r="L277" s="254">
        <v>1.0</v>
      </c>
      <c r="M277" s="254">
        <v>1.0</v>
      </c>
    </row>
    <row r="278">
      <c r="A278" s="256">
        <v>5505.0</v>
      </c>
      <c r="B278" s="253" t="s">
        <v>507</v>
      </c>
      <c r="C278" s="253" t="s">
        <v>1426</v>
      </c>
      <c r="D278" s="253" t="s">
        <v>512</v>
      </c>
      <c r="E278" s="253" t="s">
        <v>1342</v>
      </c>
      <c r="F278" s="256">
        <v>1.0</v>
      </c>
      <c r="G278" s="256">
        <v>1.0</v>
      </c>
      <c r="H278" s="256">
        <v>0.0</v>
      </c>
      <c r="I278" s="256">
        <v>1.0</v>
      </c>
      <c r="J278" s="256">
        <v>1.0</v>
      </c>
      <c r="K278" s="256">
        <v>0.0</v>
      </c>
      <c r="L278" s="256">
        <v>9.0</v>
      </c>
      <c r="M278" s="256">
        <v>8.0</v>
      </c>
    </row>
    <row r="279">
      <c r="A279" s="256">
        <v>6430.0</v>
      </c>
      <c r="B279" s="253" t="s">
        <v>480</v>
      </c>
      <c r="C279" s="253" t="s">
        <v>1427</v>
      </c>
      <c r="D279" s="253" t="s">
        <v>481</v>
      </c>
      <c r="E279" s="253" t="s">
        <v>1342</v>
      </c>
      <c r="F279" s="256">
        <v>1.0</v>
      </c>
      <c r="G279" s="256">
        <v>1.0</v>
      </c>
      <c r="H279" s="256">
        <v>0.0</v>
      </c>
      <c r="I279" s="256">
        <v>1.0</v>
      </c>
      <c r="J279" s="256">
        <v>1.0</v>
      </c>
      <c r="K279" s="256">
        <v>0.0</v>
      </c>
      <c r="L279" s="256">
        <v>1.0</v>
      </c>
      <c r="M279" s="256">
        <v>1.0</v>
      </c>
    </row>
    <row r="280">
      <c r="A280" s="256">
        <v>5439.0</v>
      </c>
      <c r="B280" s="253" t="s">
        <v>507</v>
      </c>
      <c r="C280" s="253" t="s">
        <v>1428</v>
      </c>
      <c r="D280" s="253" t="s">
        <v>507</v>
      </c>
      <c r="E280" s="253" t="s">
        <v>983</v>
      </c>
      <c r="F280" s="256">
        <v>1.0</v>
      </c>
      <c r="G280" s="256">
        <v>2.0</v>
      </c>
      <c r="H280" s="256">
        <v>-1.0</v>
      </c>
      <c r="I280" s="256">
        <v>1.0</v>
      </c>
      <c r="J280" s="256">
        <v>2.0</v>
      </c>
      <c r="K280" s="256">
        <v>-1.0</v>
      </c>
      <c r="L280" s="256">
        <v>2.0</v>
      </c>
      <c r="M280" s="256">
        <v>2.0</v>
      </c>
    </row>
    <row r="281">
      <c r="A281" s="256">
        <v>4976.0</v>
      </c>
      <c r="B281" s="253" t="s">
        <v>480</v>
      </c>
      <c r="C281" s="253" t="s">
        <v>667</v>
      </c>
      <c r="D281" s="253" t="s">
        <v>937</v>
      </c>
      <c r="E281" s="253" t="s">
        <v>991</v>
      </c>
      <c r="F281" s="256">
        <v>7.0</v>
      </c>
      <c r="G281" s="256">
        <v>7.0</v>
      </c>
      <c r="H281" s="256">
        <v>0.0</v>
      </c>
      <c r="I281" s="256">
        <v>8.0</v>
      </c>
      <c r="J281" s="256">
        <v>8.0</v>
      </c>
      <c r="K281" s="256">
        <v>0.0</v>
      </c>
      <c r="L281" s="256">
        <v>15.0</v>
      </c>
      <c r="M281" s="256">
        <v>17.0</v>
      </c>
    </row>
    <row r="282">
      <c r="A282" s="256">
        <v>5948.0</v>
      </c>
      <c r="B282" s="253" t="s">
        <v>492</v>
      </c>
      <c r="C282" s="253" t="s">
        <v>1429</v>
      </c>
      <c r="D282" s="253" t="s">
        <v>934</v>
      </c>
      <c r="E282" s="253" t="s">
        <v>1000</v>
      </c>
      <c r="F282" s="256">
        <v>15.0</v>
      </c>
      <c r="G282" s="256">
        <v>15.0</v>
      </c>
      <c r="H282" s="256">
        <v>0.0</v>
      </c>
      <c r="I282" s="256">
        <v>15.0</v>
      </c>
      <c r="J282" s="256">
        <v>15.0</v>
      </c>
      <c r="K282" s="256">
        <v>0.0</v>
      </c>
      <c r="L282" s="256">
        <v>66.0</v>
      </c>
      <c r="M282" s="256">
        <v>66.0</v>
      </c>
    </row>
    <row r="283">
      <c r="A283" s="256">
        <v>5555.0</v>
      </c>
      <c r="B283" s="253" t="s">
        <v>480</v>
      </c>
      <c r="C283" s="253" t="s">
        <v>682</v>
      </c>
      <c r="D283" s="253" t="s">
        <v>931</v>
      </c>
      <c r="E283" s="253" t="s">
        <v>993</v>
      </c>
      <c r="F283" s="256">
        <v>7.0</v>
      </c>
      <c r="G283" s="256">
        <v>6.0</v>
      </c>
      <c r="H283" s="256">
        <v>1.0</v>
      </c>
      <c r="I283" s="256">
        <v>7.0</v>
      </c>
      <c r="J283" s="256">
        <v>6.0</v>
      </c>
      <c r="K283" s="256">
        <v>1.0</v>
      </c>
      <c r="L283" s="256">
        <v>10.0</v>
      </c>
      <c r="M283" s="256">
        <v>10.0</v>
      </c>
    </row>
    <row r="284">
      <c r="A284" s="256">
        <v>2325.0</v>
      </c>
      <c r="B284" s="253" t="s">
        <v>507</v>
      </c>
      <c r="C284" s="253" t="s">
        <v>1250</v>
      </c>
      <c r="D284" s="253" t="s">
        <v>507</v>
      </c>
      <c r="E284" s="253" t="s">
        <v>972</v>
      </c>
      <c r="F284" s="256">
        <v>10.0</v>
      </c>
      <c r="G284" s="256">
        <v>10.0</v>
      </c>
      <c r="H284" s="256">
        <v>0.0</v>
      </c>
      <c r="I284" s="256">
        <v>10.0</v>
      </c>
      <c r="J284" s="256">
        <v>10.0</v>
      </c>
      <c r="K284" s="256">
        <v>0.0</v>
      </c>
      <c r="L284" s="256">
        <v>6.0</v>
      </c>
      <c r="M284" s="256">
        <v>6.0</v>
      </c>
    </row>
    <row r="285">
      <c r="A285" s="256">
        <v>6459.0</v>
      </c>
      <c r="B285" s="253" t="s">
        <v>507</v>
      </c>
      <c r="C285" s="253" t="s">
        <v>792</v>
      </c>
      <c r="D285" s="253" t="s">
        <v>507</v>
      </c>
      <c r="E285" s="253" t="s">
        <v>1009</v>
      </c>
      <c r="F285" s="256">
        <v>11.0</v>
      </c>
      <c r="G285" s="256">
        <v>11.0</v>
      </c>
      <c r="H285" s="256">
        <v>0.0</v>
      </c>
      <c r="I285" s="256">
        <v>11.0</v>
      </c>
      <c r="J285" s="256">
        <v>11.0</v>
      </c>
      <c r="K285" s="256">
        <v>0.0</v>
      </c>
      <c r="L285" s="256">
        <v>25.0</v>
      </c>
      <c r="M285" s="256">
        <v>25.0</v>
      </c>
    </row>
    <row r="286">
      <c r="A286" s="256">
        <v>2180.0</v>
      </c>
      <c r="B286" s="253" t="s">
        <v>480</v>
      </c>
      <c r="C286" s="253" t="s">
        <v>1430</v>
      </c>
      <c r="D286" s="253" t="s">
        <v>938</v>
      </c>
      <c r="E286" s="253" t="s">
        <v>988</v>
      </c>
      <c r="F286" s="256">
        <v>3.0</v>
      </c>
      <c r="G286" s="256">
        <v>2.0</v>
      </c>
      <c r="H286" s="256">
        <v>1.0</v>
      </c>
      <c r="I286" s="256">
        <v>3.0</v>
      </c>
      <c r="J286" s="256">
        <v>2.0</v>
      </c>
      <c r="K286" s="256">
        <v>1.0</v>
      </c>
      <c r="L286" s="256">
        <v>5.0</v>
      </c>
      <c r="M286" s="256">
        <v>5.0</v>
      </c>
    </row>
    <row r="287">
      <c r="A287" s="256">
        <v>2117.0</v>
      </c>
      <c r="B287" s="253" t="s">
        <v>492</v>
      </c>
      <c r="C287" s="253" t="s">
        <v>1084</v>
      </c>
      <c r="D287" s="253" t="s">
        <v>934</v>
      </c>
      <c r="E287" s="253" t="s">
        <v>1355</v>
      </c>
      <c r="F287" s="256">
        <v>7.0</v>
      </c>
      <c r="G287" s="256">
        <v>7.0</v>
      </c>
      <c r="H287" s="256">
        <v>0.0</v>
      </c>
      <c r="I287" s="256">
        <v>7.0</v>
      </c>
      <c r="J287" s="256">
        <v>7.0</v>
      </c>
      <c r="K287" s="256">
        <v>0.0</v>
      </c>
      <c r="L287" s="256">
        <v>12.0</v>
      </c>
      <c r="M287" s="256">
        <v>12.0</v>
      </c>
    </row>
    <row r="288">
      <c r="A288" s="256">
        <v>6235.0</v>
      </c>
      <c r="B288" s="253" t="s">
        <v>480</v>
      </c>
      <c r="C288" s="253" t="s">
        <v>640</v>
      </c>
      <c r="D288" s="253" t="s">
        <v>944</v>
      </c>
      <c r="E288" s="253" t="s">
        <v>1033</v>
      </c>
      <c r="F288" s="256">
        <v>2.0</v>
      </c>
      <c r="G288" s="256">
        <v>1.0</v>
      </c>
      <c r="H288" s="256">
        <v>1.0</v>
      </c>
      <c r="I288" s="256">
        <v>3.0</v>
      </c>
      <c r="J288" s="256">
        <v>2.0</v>
      </c>
      <c r="K288" s="256">
        <v>1.0</v>
      </c>
      <c r="L288" s="256">
        <v>8.0</v>
      </c>
      <c r="M288" s="256">
        <v>8.0</v>
      </c>
    </row>
    <row r="289">
      <c r="A289" s="256">
        <v>2097.0</v>
      </c>
      <c r="B289" s="253" t="s">
        <v>507</v>
      </c>
      <c r="C289" s="253" t="s">
        <v>108</v>
      </c>
      <c r="D289" s="253" t="s">
        <v>512</v>
      </c>
      <c r="E289" s="253" t="s">
        <v>976</v>
      </c>
      <c r="F289" s="256">
        <v>10.0</v>
      </c>
      <c r="G289" s="256">
        <v>11.0</v>
      </c>
      <c r="H289" s="256">
        <v>-1.0</v>
      </c>
      <c r="I289" s="256">
        <v>9.0</v>
      </c>
      <c r="J289" s="256">
        <v>10.0</v>
      </c>
      <c r="K289" s="256">
        <v>-1.0</v>
      </c>
      <c r="L289" s="256">
        <v>20.0</v>
      </c>
      <c r="M289" s="256">
        <v>17.0</v>
      </c>
    </row>
    <row r="290">
      <c r="A290" s="256">
        <v>2633.0</v>
      </c>
      <c r="B290" s="253" t="s">
        <v>480</v>
      </c>
      <c r="C290" s="253" t="s">
        <v>1431</v>
      </c>
      <c r="D290" s="253" t="s">
        <v>481</v>
      </c>
      <c r="E290" s="253" t="s">
        <v>991</v>
      </c>
      <c r="F290" s="256">
        <v>3.0</v>
      </c>
      <c r="G290" s="256">
        <v>4.0</v>
      </c>
      <c r="H290" s="256">
        <v>-1.0</v>
      </c>
      <c r="I290" s="256">
        <v>3.0</v>
      </c>
      <c r="J290" s="256">
        <v>4.0</v>
      </c>
      <c r="K290" s="256">
        <v>-1.0</v>
      </c>
      <c r="L290" s="256">
        <v>8.0</v>
      </c>
      <c r="M290" s="256">
        <v>8.0</v>
      </c>
    </row>
    <row r="291">
      <c r="A291" s="256">
        <v>4182.0</v>
      </c>
      <c r="B291" s="253" t="s">
        <v>492</v>
      </c>
      <c r="C291" s="253" t="s">
        <v>1432</v>
      </c>
      <c r="D291" s="253" t="s">
        <v>934</v>
      </c>
      <c r="E291" s="253" t="s">
        <v>973</v>
      </c>
      <c r="F291" s="256">
        <v>9.0</v>
      </c>
      <c r="G291" s="256">
        <v>9.0</v>
      </c>
      <c r="H291" s="256">
        <v>0.0</v>
      </c>
      <c r="I291" s="256">
        <v>9.0</v>
      </c>
      <c r="J291" s="256">
        <v>9.0</v>
      </c>
      <c r="K291" s="256">
        <v>0.0</v>
      </c>
      <c r="L291" s="256">
        <v>18.0</v>
      </c>
      <c r="M291" s="256">
        <v>18.0</v>
      </c>
    </row>
    <row r="292">
      <c r="A292" s="256">
        <v>5391.0</v>
      </c>
      <c r="B292" s="253" t="s">
        <v>507</v>
      </c>
      <c r="C292" s="253" t="s">
        <v>1433</v>
      </c>
      <c r="D292" s="253" t="s">
        <v>512</v>
      </c>
      <c r="E292" s="253" t="s">
        <v>1033</v>
      </c>
      <c r="F292" s="256">
        <v>1.0</v>
      </c>
      <c r="G292" s="256">
        <v>1.0</v>
      </c>
      <c r="H292" s="256">
        <v>0.0</v>
      </c>
      <c r="I292" s="256">
        <v>1.0</v>
      </c>
      <c r="J292" s="256">
        <v>1.0</v>
      </c>
      <c r="K292" s="256">
        <v>0.0</v>
      </c>
      <c r="L292" s="256">
        <v>1.0</v>
      </c>
      <c r="M292" s="256">
        <v>1.0</v>
      </c>
    </row>
    <row r="293">
      <c r="A293" s="256">
        <v>2640.0</v>
      </c>
      <c r="B293" s="253" t="s">
        <v>480</v>
      </c>
      <c r="C293" s="253" t="s">
        <v>386</v>
      </c>
      <c r="D293" s="253" t="s">
        <v>1022</v>
      </c>
      <c r="E293" s="253" t="s">
        <v>980</v>
      </c>
      <c r="F293" s="256">
        <v>9.0</v>
      </c>
      <c r="G293" s="256">
        <v>9.0</v>
      </c>
      <c r="H293" s="256">
        <v>0.0</v>
      </c>
      <c r="I293" s="256">
        <v>10.0</v>
      </c>
      <c r="J293" s="256">
        <v>10.0</v>
      </c>
      <c r="K293" s="256">
        <v>0.0</v>
      </c>
      <c r="L293" s="256">
        <v>22.0</v>
      </c>
      <c r="M293" s="256">
        <v>27.0</v>
      </c>
    </row>
    <row r="294">
      <c r="A294" s="256">
        <v>5685.0</v>
      </c>
      <c r="B294" s="253" t="s">
        <v>492</v>
      </c>
      <c r="C294" s="253" t="s">
        <v>305</v>
      </c>
      <c r="D294" s="253" t="s">
        <v>934</v>
      </c>
      <c r="E294" s="253" t="s">
        <v>980</v>
      </c>
      <c r="F294" s="256">
        <v>24.0</v>
      </c>
      <c r="G294" s="256">
        <v>24.0</v>
      </c>
      <c r="H294" s="256">
        <v>0.0</v>
      </c>
      <c r="I294" s="256">
        <v>24.0</v>
      </c>
      <c r="J294" s="256">
        <v>24.0</v>
      </c>
      <c r="K294" s="256">
        <v>0.0</v>
      </c>
      <c r="L294" s="256">
        <v>112.0</v>
      </c>
      <c r="M294" s="256">
        <v>112.0</v>
      </c>
    </row>
    <row r="295">
      <c r="A295" s="256">
        <v>4711.0</v>
      </c>
      <c r="B295" s="253" t="s">
        <v>492</v>
      </c>
      <c r="C295" s="253" t="s">
        <v>1088</v>
      </c>
      <c r="D295" s="253" t="s">
        <v>1089</v>
      </c>
      <c r="E295" s="253" t="s">
        <v>976</v>
      </c>
      <c r="F295" s="256">
        <v>14.0</v>
      </c>
      <c r="G295" s="256">
        <v>15.0</v>
      </c>
      <c r="H295" s="256">
        <v>-1.0</v>
      </c>
      <c r="I295" s="256">
        <v>14.0</v>
      </c>
      <c r="J295" s="256">
        <v>15.0</v>
      </c>
      <c r="K295" s="256">
        <v>-1.0</v>
      </c>
      <c r="L295" s="256">
        <v>30.0</v>
      </c>
      <c r="M295" s="256">
        <v>25.0</v>
      </c>
    </row>
    <row r="296">
      <c r="A296" s="256">
        <v>2762.0</v>
      </c>
      <c r="B296" s="253" t="s">
        <v>507</v>
      </c>
      <c r="C296" s="253" t="s">
        <v>837</v>
      </c>
      <c r="D296" s="253" t="s">
        <v>507</v>
      </c>
      <c r="E296" s="253" t="s">
        <v>1033</v>
      </c>
      <c r="F296" s="256">
        <v>8.0</v>
      </c>
      <c r="G296" s="256">
        <v>9.0</v>
      </c>
      <c r="H296" s="256">
        <v>-1.0</v>
      </c>
      <c r="I296" s="256">
        <v>8.0</v>
      </c>
      <c r="J296" s="256">
        <v>9.0</v>
      </c>
      <c r="K296" s="256">
        <v>-1.0</v>
      </c>
      <c r="L296" s="256">
        <v>8.0</v>
      </c>
      <c r="M296" s="256">
        <v>9.0</v>
      </c>
    </row>
    <row r="297">
      <c r="A297" s="256">
        <v>5397.0</v>
      </c>
      <c r="B297" s="253" t="s">
        <v>492</v>
      </c>
      <c r="C297" s="253" t="s">
        <v>1434</v>
      </c>
      <c r="D297" s="253" t="s">
        <v>934</v>
      </c>
      <c r="E297" s="253" t="s">
        <v>1222</v>
      </c>
      <c r="F297" s="256">
        <v>4.0</v>
      </c>
      <c r="G297" s="256">
        <v>4.0</v>
      </c>
      <c r="H297" s="256">
        <v>0.0</v>
      </c>
      <c r="I297" s="256">
        <v>4.0</v>
      </c>
      <c r="J297" s="256">
        <v>4.0</v>
      </c>
      <c r="K297" s="256">
        <v>0.0</v>
      </c>
      <c r="L297" s="256">
        <v>7.0</v>
      </c>
      <c r="M297" s="256">
        <v>7.0</v>
      </c>
    </row>
    <row r="298">
      <c r="A298" s="256">
        <v>6220.0</v>
      </c>
      <c r="B298" s="253" t="s">
        <v>480</v>
      </c>
      <c r="C298" s="253" t="s">
        <v>1435</v>
      </c>
      <c r="D298" s="253" t="s">
        <v>938</v>
      </c>
      <c r="E298" s="253" t="s">
        <v>988</v>
      </c>
      <c r="F298" s="256">
        <v>8.0</v>
      </c>
      <c r="G298" s="256">
        <v>9.0</v>
      </c>
      <c r="H298" s="256">
        <v>-1.0</v>
      </c>
      <c r="I298" s="256">
        <v>8.0</v>
      </c>
      <c r="J298" s="256">
        <v>9.0</v>
      </c>
      <c r="K298" s="256">
        <v>-1.0</v>
      </c>
      <c r="L298" s="256">
        <v>10.0</v>
      </c>
      <c r="M298" s="256">
        <v>10.0</v>
      </c>
    </row>
    <row r="299">
      <c r="A299" s="256">
        <v>6485.0</v>
      </c>
      <c r="B299" s="253" t="s">
        <v>480</v>
      </c>
      <c r="C299" s="253" t="s">
        <v>1092</v>
      </c>
      <c r="D299" s="253" t="s">
        <v>481</v>
      </c>
      <c r="E299" s="253" t="s">
        <v>993</v>
      </c>
      <c r="F299" s="256">
        <v>2.0</v>
      </c>
      <c r="G299" s="256">
        <v>2.0</v>
      </c>
      <c r="H299" s="256">
        <v>0.0</v>
      </c>
      <c r="I299" s="256">
        <v>2.0</v>
      </c>
      <c r="J299" s="256">
        <v>2.0</v>
      </c>
      <c r="K299" s="256">
        <v>0.0</v>
      </c>
      <c r="L299" s="256">
        <v>3.0</v>
      </c>
      <c r="M299" s="256">
        <v>3.0</v>
      </c>
    </row>
    <row r="300">
      <c r="A300" s="256">
        <v>6148.0</v>
      </c>
      <c r="B300" s="253" t="s">
        <v>480</v>
      </c>
      <c r="C300" s="253" t="s">
        <v>1436</v>
      </c>
      <c r="D300" s="253" t="s">
        <v>931</v>
      </c>
      <c r="E300" s="253" t="s">
        <v>1009</v>
      </c>
      <c r="F300" s="256">
        <v>7.0</v>
      </c>
      <c r="G300" s="256">
        <v>6.0</v>
      </c>
      <c r="H300" s="256">
        <v>1.0</v>
      </c>
      <c r="I300" s="256">
        <v>7.0</v>
      </c>
      <c r="J300" s="256">
        <v>6.0</v>
      </c>
      <c r="K300" s="256">
        <v>1.0</v>
      </c>
      <c r="L300" s="256">
        <v>22.0</v>
      </c>
      <c r="M300" s="256">
        <v>22.0</v>
      </c>
    </row>
    <row r="301">
      <c r="A301" s="256">
        <v>6435.0</v>
      </c>
      <c r="B301" s="253" t="s">
        <v>507</v>
      </c>
      <c r="C301" s="253" t="s">
        <v>341</v>
      </c>
      <c r="D301" s="253" t="s">
        <v>512</v>
      </c>
      <c r="E301" s="253" t="s">
        <v>998</v>
      </c>
      <c r="F301" s="256">
        <v>13.0</v>
      </c>
      <c r="G301" s="256">
        <v>11.0</v>
      </c>
      <c r="H301" s="256">
        <v>2.0</v>
      </c>
      <c r="I301" s="256">
        <v>13.0</v>
      </c>
      <c r="J301" s="256">
        <v>11.0</v>
      </c>
      <c r="K301" s="256">
        <v>2.0</v>
      </c>
      <c r="L301" s="256">
        <v>66.0</v>
      </c>
      <c r="M301" s="256">
        <v>55.0</v>
      </c>
    </row>
    <row r="302">
      <c r="A302" s="256">
        <v>148.0</v>
      </c>
      <c r="B302" s="253" t="s">
        <v>492</v>
      </c>
      <c r="C302" s="253" t="s">
        <v>1437</v>
      </c>
      <c r="D302" s="253" t="s">
        <v>930</v>
      </c>
      <c r="E302" s="253" t="s">
        <v>991</v>
      </c>
      <c r="F302" s="256">
        <v>7.0</v>
      </c>
      <c r="G302" s="256">
        <v>6.0</v>
      </c>
      <c r="H302" s="256">
        <v>1.0</v>
      </c>
      <c r="I302" s="256">
        <v>8.0</v>
      </c>
      <c r="J302" s="256">
        <v>7.0</v>
      </c>
      <c r="K302" s="256">
        <v>1.0</v>
      </c>
      <c r="L302" s="256">
        <v>14.0</v>
      </c>
      <c r="M302" s="256">
        <v>16.0</v>
      </c>
    </row>
    <row r="303">
      <c r="A303" s="256">
        <v>4495.0</v>
      </c>
      <c r="B303" s="253" t="s">
        <v>480</v>
      </c>
      <c r="C303" s="253" t="s">
        <v>1438</v>
      </c>
      <c r="D303" s="253" t="s">
        <v>481</v>
      </c>
      <c r="E303" s="253" t="s">
        <v>988</v>
      </c>
      <c r="F303" s="256">
        <v>2.0</v>
      </c>
      <c r="G303" s="256">
        <v>3.0</v>
      </c>
      <c r="H303" s="256">
        <v>-1.0</v>
      </c>
      <c r="I303" s="256">
        <v>2.0</v>
      </c>
      <c r="J303" s="256">
        <v>3.0</v>
      </c>
      <c r="K303" s="256">
        <v>-1.0</v>
      </c>
      <c r="L303" s="256">
        <v>3.0</v>
      </c>
      <c r="M303" s="256">
        <v>3.0</v>
      </c>
    </row>
    <row r="304">
      <c r="A304" s="256">
        <v>6479.0</v>
      </c>
      <c r="B304" s="253" t="s">
        <v>492</v>
      </c>
      <c r="C304" s="253" t="s">
        <v>1439</v>
      </c>
      <c r="D304" s="253" t="s">
        <v>930</v>
      </c>
      <c r="E304" s="253" t="s">
        <v>1026</v>
      </c>
      <c r="F304" s="256">
        <v>4.0</v>
      </c>
      <c r="G304" s="256">
        <v>4.0</v>
      </c>
      <c r="H304" s="256">
        <v>0.0</v>
      </c>
      <c r="I304" s="256">
        <v>5.0</v>
      </c>
      <c r="J304" s="256">
        <v>5.0</v>
      </c>
      <c r="K304" s="256">
        <v>0.0</v>
      </c>
      <c r="L304" s="256">
        <v>6.0</v>
      </c>
      <c r="M304" s="256">
        <v>7.0</v>
      </c>
    </row>
    <row r="305">
      <c r="A305" s="256">
        <v>5839.0</v>
      </c>
      <c r="B305" s="253" t="s">
        <v>507</v>
      </c>
      <c r="C305" s="253" t="s">
        <v>721</v>
      </c>
      <c r="D305" s="253" t="s">
        <v>507</v>
      </c>
      <c r="E305" s="253" t="s">
        <v>987</v>
      </c>
      <c r="F305" s="256">
        <v>30.0</v>
      </c>
      <c r="G305" s="256">
        <v>31.0</v>
      </c>
      <c r="H305" s="256">
        <v>-1.0</v>
      </c>
      <c r="I305" s="256">
        <v>30.0</v>
      </c>
      <c r="J305" s="256">
        <v>31.0</v>
      </c>
      <c r="K305" s="256">
        <v>-1.0</v>
      </c>
      <c r="L305" s="256">
        <v>261.0</v>
      </c>
      <c r="M305" s="256">
        <v>265.0</v>
      </c>
    </row>
    <row r="306">
      <c r="A306" s="256">
        <v>6204.0</v>
      </c>
      <c r="B306" s="253" t="s">
        <v>507</v>
      </c>
      <c r="C306" s="253" t="s">
        <v>1440</v>
      </c>
      <c r="D306" s="253" t="s">
        <v>507</v>
      </c>
      <c r="E306" s="253" t="s">
        <v>1342</v>
      </c>
      <c r="F306" s="256">
        <v>3.0</v>
      </c>
      <c r="G306" s="256">
        <v>3.0</v>
      </c>
      <c r="H306" s="256">
        <v>0.0</v>
      </c>
      <c r="I306" s="256">
        <v>3.0</v>
      </c>
      <c r="J306" s="256">
        <v>3.0</v>
      </c>
      <c r="K306" s="256">
        <v>0.0</v>
      </c>
      <c r="L306" s="256">
        <v>6.0</v>
      </c>
      <c r="M306" s="256">
        <v>6.0</v>
      </c>
    </row>
    <row r="307">
      <c r="A307" s="256">
        <v>4530.0</v>
      </c>
      <c r="B307" s="253" t="s">
        <v>480</v>
      </c>
      <c r="C307" s="253" t="s">
        <v>731</v>
      </c>
      <c r="D307" s="253" t="s">
        <v>931</v>
      </c>
      <c r="E307" s="253" t="s">
        <v>1225</v>
      </c>
      <c r="F307" s="256">
        <v>8.0</v>
      </c>
      <c r="G307" s="256">
        <v>9.0</v>
      </c>
      <c r="H307" s="256">
        <v>-1.0</v>
      </c>
      <c r="I307" s="256">
        <v>8.0</v>
      </c>
      <c r="J307" s="256">
        <v>9.0</v>
      </c>
      <c r="K307" s="256">
        <v>-1.0</v>
      </c>
      <c r="L307" s="256">
        <v>15.0</v>
      </c>
      <c r="M307" s="256">
        <v>15.0</v>
      </c>
    </row>
    <row r="308">
      <c r="A308" s="256">
        <v>217.0</v>
      </c>
      <c r="B308" s="253" t="s">
        <v>477</v>
      </c>
      <c r="C308" s="253" t="s">
        <v>1441</v>
      </c>
      <c r="D308" s="253" t="s">
        <v>478</v>
      </c>
      <c r="E308" s="253" t="s">
        <v>1225</v>
      </c>
      <c r="F308" s="256">
        <v>1.0</v>
      </c>
      <c r="G308" s="256">
        <v>1.0</v>
      </c>
      <c r="H308" s="256">
        <v>0.0</v>
      </c>
      <c r="I308" s="256">
        <v>1.0</v>
      </c>
      <c r="J308" s="256">
        <v>1.0</v>
      </c>
      <c r="K308" s="256">
        <v>0.0</v>
      </c>
      <c r="L308" s="256">
        <v>1.0</v>
      </c>
      <c r="M308" s="256">
        <v>1.0</v>
      </c>
    </row>
    <row r="309">
      <c r="A309" s="256">
        <v>1939.0</v>
      </c>
      <c r="B309" s="253" t="s">
        <v>507</v>
      </c>
      <c r="C309" s="253" t="s">
        <v>1238</v>
      </c>
      <c r="D309" s="253" t="s">
        <v>512</v>
      </c>
      <c r="E309" s="253" t="s">
        <v>975</v>
      </c>
      <c r="F309" s="256">
        <v>14.0</v>
      </c>
      <c r="G309" s="256">
        <v>15.0</v>
      </c>
      <c r="H309" s="256">
        <v>-1.0</v>
      </c>
      <c r="I309" s="256">
        <v>14.0</v>
      </c>
      <c r="J309" s="256">
        <v>15.0</v>
      </c>
      <c r="K309" s="256">
        <v>-1.0</v>
      </c>
      <c r="L309" s="256">
        <v>38.0</v>
      </c>
      <c r="M309" s="256">
        <v>35.0</v>
      </c>
    </row>
    <row r="310">
      <c r="A310" s="256">
        <v>6060.0</v>
      </c>
      <c r="B310" s="253" t="s">
        <v>507</v>
      </c>
      <c r="C310" s="253" t="s">
        <v>959</v>
      </c>
      <c r="D310" s="253" t="s">
        <v>507</v>
      </c>
      <c r="E310" s="253" t="s">
        <v>1005</v>
      </c>
      <c r="F310" s="256">
        <v>21.0</v>
      </c>
      <c r="G310" s="256">
        <v>21.0</v>
      </c>
      <c r="H310" s="256">
        <v>0.0</v>
      </c>
      <c r="I310" s="256">
        <v>21.0</v>
      </c>
      <c r="J310" s="256">
        <v>21.0</v>
      </c>
      <c r="K310" s="256">
        <v>0.0</v>
      </c>
      <c r="L310" s="256">
        <v>105.0</v>
      </c>
      <c r="M310" s="256">
        <v>110.0</v>
      </c>
    </row>
    <row r="311">
      <c r="A311" s="256">
        <v>4385.0</v>
      </c>
      <c r="B311" s="253" t="s">
        <v>480</v>
      </c>
      <c r="C311" s="253" t="s">
        <v>838</v>
      </c>
      <c r="D311" s="253" t="s">
        <v>521</v>
      </c>
      <c r="E311" s="253" t="s">
        <v>972</v>
      </c>
      <c r="F311" s="256">
        <v>4.0</v>
      </c>
      <c r="G311" s="256">
        <v>4.0</v>
      </c>
      <c r="H311" s="256">
        <v>0.0</v>
      </c>
      <c r="I311" s="256">
        <v>4.0</v>
      </c>
      <c r="J311" s="256">
        <v>4.0</v>
      </c>
      <c r="K311" s="256">
        <v>0.0</v>
      </c>
      <c r="L311" s="256">
        <v>8.0</v>
      </c>
      <c r="M311" s="256">
        <v>8.0</v>
      </c>
    </row>
    <row r="312">
      <c r="A312" s="256">
        <v>236.0</v>
      </c>
      <c r="B312" s="253" t="s">
        <v>492</v>
      </c>
      <c r="C312" s="253" t="s">
        <v>839</v>
      </c>
      <c r="D312" s="253" t="s">
        <v>1089</v>
      </c>
      <c r="E312" s="253" t="s">
        <v>983</v>
      </c>
      <c r="F312" s="256">
        <v>14.0</v>
      </c>
      <c r="G312" s="256">
        <v>15.0</v>
      </c>
      <c r="H312" s="256">
        <v>-1.0</v>
      </c>
      <c r="I312" s="256">
        <v>14.0</v>
      </c>
      <c r="J312" s="256">
        <v>15.0</v>
      </c>
      <c r="K312" s="256">
        <v>-1.0</v>
      </c>
      <c r="L312" s="256">
        <v>42.0</v>
      </c>
      <c r="M312" s="256">
        <v>45.0</v>
      </c>
    </row>
    <row r="313">
      <c r="A313" s="256">
        <v>2263.0</v>
      </c>
      <c r="B313" s="253" t="s">
        <v>480</v>
      </c>
      <c r="C313" s="253" t="s">
        <v>788</v>
      </c>
      <c r="D313" s="253" t="s">
        <v>938</v>
      </c>
      <c r="E313" s="253" t="s">
        <v>1000</v>
      </c>
      <c r="F313" s="256">
        <v>6.0</v>
      </c>
      <c r="G313" s="256">
        <v>5.0</v>
      </c>
      <c r="H313" s="256">
        <v>1.0</v>
      </c>
      <c r="I313" s="256">
        <v>6.0</v>
      </c>
      <c r="J313" s="256">
        <v>5.0</v>
      </c>
      <c r="K313" s="256">
        <v>1.0</v>
      </c>
      <c r="L313" s="256">
        <v>16.0</v>
      </c>
      <c r="M313" s="256">
        <v>16.0</v>
      </c>
    </row>
    <row r="314">
      <c r="A314" s="256">
        <v>188.0</v>
      </c>
      <c r="B314" s="253" t="s">
        <v>477</v>
      </c>
      <c r="C314" s="253" t="s">
        <v>765</v>
      </c>
      <c r="D314" s="253" t="s">
        <v>478</v>
      </c>
      <c r="E314" s="253" t="s">
        <v>1026</v>
      </c>
      <c r="F314" s="256">
        <v>1.0</v>
      </c>
      <c r="G314" s="256">
        <v>1.0</v>
      </c>
      <c r="H314" s="256">
        <v>0.0</v>
      </c>
      <c r="I314" s="256">
        <v>1.0</v>
      </c>
      <c r="J314" s="256">
        <v>1.0</v>
      </c>
      <c r="K314" s="256">
        <v>0.0</v>
      </c>
      <c r="L314" s="256">
        <v>1.0</v>
      </c>
      <c r="M314" s="256">
        <v>1.0</v>
      </c>
    </row>
    <row r="315">
      <c r="A315" s="256">
        <v>6423.0</v>
      </c>
      <c r="B315" s="253" t="s">
        <v>492</v>
      </c>
      <c r="C315" s="253" t="s">
        <v>1442</v>
      </c>
      <c r="D315" s="253" t="s">
        <v>930</v>
      </c>
      <c r="E315" s="253" t="s">
        <v>1355</v>
      </c>
      <c r="F315" s="256">
        <v>1.0</v>
      </c>
      <c r="G315" s="256">
        <v>1.0</v>
      </c>
      <c r="H315" s="256">
        <v>0.0</v>
      </c>
      <c r="I315" s="256">
        <v>1.0</v>
      </c>
      <c r="J315" s="256">
        <v>1.0</v>
      </c>
      <c r="K315" s="256">
        <v>0.0</v>
      </c>
      <c r="L315" s="256">
        <v>1.0</v>
      </c>
      <c r="M315" s="256">
        <v>1.0</v>
      </c>
    </row>
    <row r="316">
      <c r="A316" s="256">
        <v>5949.0</v>
      </c>
      <c r="B316" s="253" t="s">
        <v>492</v>
      </c>
      <c r="C316" s="253" t="s">
        <v>1443</v>
      </c>
      <c r="D316" s="253" t="s">
        <v>1057</v>
      </c>
      <c r="E316" s="253" t="s">
        <v>987</v>
      </c>
      <c r="F316" s="256">
        <v>15.0</v>
      </c>
      <c r="G316" s="256">
        <v>15.0</v>
      </c>
      <c r="H316" s="256">
        <v>0.0</v>
      </c>
      <c r="I316" s="256">
        <v>15.0</v>
      </c>
      <c r="J316" s="256">
        <v>15.0</v>
      </c>
      <c r="K316" s="256">
        <v>0.0</v>
      </c>
      <c r="L316" s="256">
        <v>60.0</v>
      </c>
      <c r="M316" s="256">
        <v>60.0</v>
      </c>
    </row>
    <row r="317">
      <c r="A317" s="256">
        <v>2008.0</v>
      </c>
      <c r="B317" s="253" t="s">
        <v>492</v>
      </c>
      <c r="C317" s="253" t="s">
        <v>1243</v>
      </c>
      <c r="D317" s="253" t="s">
        <v>930</v>
      </c>
      <c r="E317" s="253" t="s">
        <v>972</v>
      </c>
      <c r="F317" s="256">
        <v>6.0</v>
      </c>
      <c r="G317" s="256">
        <v>5.0</v>
      </c>
      <c r="H317" s="256">
        <v>1.0</v>
      </c>
      <c r="I317" s="256">
        <v>6.0</v>
      </c>
      <c r="J317" s="256">
        <v>6.0</v>
      </c>
      <c r="K317" s="256">
        <v>0.0</v>
      </c>
      <c r="L317" s="256">
        <v>6.0</v>
      </c>
      <c r="M317" s="256">
        <v>7.0</v>
      </c>
    </row>
    <row r="318">
      <c r="A318" s="256">
        <v>6246.0</v>
      </c>
      <c r="B318" s="253" t="s">
        <v>492</v>
      </c>
      <c r="C318" s="253" t="s">
        <v>342</v>
      </c>
      <c r="D318" s="253" t="s">
        <v>930</v>
      </c>
      <c r="E318" s="253" t="s">
        <v>1005</v>
      </c>
      <c r="F318" s="256">
        <v>1.0</v>
      </c>
      <c r="G318" s="256">
        <v>1.0</v>
      </c>
      <c r="H318" s="256">
        <v>0.0</v>
      </c>
      <c r="I318" s="256">
        <v>1.0</v>
      </c>
      <c r="J318" s="256">
        <v>1.0</v>
      </c>
      <c r="K318" s="256">
        <v>0.0</v>
      </c>
      <c r="L318" s="256">
        <v>1.0</v>
      </c>
      <c r="M318" s="256">
        <v>1.0</v>
      </c>
    </row>
    <row r="319">
      <c r="A319" s="256">
        <v>2006.0</v>
      </c>
      <c r="B319" s="253" t="s">
        <v>480</v>
      </c>
      <c r="C319" s="253" t="s">
        <v>1444</v>
      </c>
      <c r="D319" s="253" t="s">
        <v>938</v>
      </c>
      <c r="E319" s="253" t="s">
        <v>1342</v>
      </c>
      <c r="F319" s="256">
        <v>3.0</v>
      </c>
      <c r="G319" s="256">
        <v>3.0</v>
      </c>
      <c r="H319" s="256">
        <v>0.0</v>
      </c>
      <c r="I319" s="256">
        <v>3.0</v>
      </c>
      <c r="J319" s="256">
        <v>3.0</v>
      </c>
      <c r="K319" s="256">
        <v>0.0</v>
      </c>
      <c r="L319" s="256">
        <v>5.0</v>
      </c>
      <c r="M319" s="256">
        <v>5.0</v>
      </c>
    </row>
    <row r="320">
      <c r="A320" s="256">
        <v>5239.0</v>
      </c>
      <c r="B320" s="253" t="s">
        <v>480</v>
      </c>
      <c r="C320" s="253" t="s">
        <v>1445</v>
      </c>
      <c r="D320" s="253" t="s">
        <v>481</v>
      </c>
      <c r="E320" s="253" t="s">
        <v>988</v>
      </c>
      <c r="F320" s="256">
        <v>6.0</v>
      </c>
      <c r="G320" s="256">
        <v>6.0</v>
      </c>
      <c r="H320" s="256">
        <v>0.0</v>
      </c>
      <c r="I320" s="256">
        <v>6.0</v>
      </c>
      <c r="J320" s="256">
        <v>6.0</v>
      </c>
      <c r="K320" s="256">
        <v>0.0</v>
      </c>
      <c r="L320" s="256">
        <v>17.0</v>
      </c>
      <c r="M320" s="256">
        <v>17.0</v>
      </c>
    </row>
    <row r="321">
      <c r="A321" s="256">
        <v>4287.0</v>
      </c>
      <c r="B321" s="253" t="s">
        <v>492</v>
      </c>
      <c r="C321" s="253" t="s">
        <v>609</v>
      </c>
      <c r="D321" s="253" t="s">
        <v>930</v>
      </c>
      <c r="E321" s="253" t="s">
        <v>987</v>
      </c>
      <c r="F321" s="256">
        <v>13.0</v>
      </c>
      <c r="G321" s="256">
        <v>13.0</v>
      </c>
      <c r="H321" s="256">
        <v>0.0</v>
      </c>
      <c r="I321" s="256">
        <v>14.0</v>
      </c>
      <c r="J321" s="256">
        <v>14.0</v>
      </c>
      <c r="K321" s="256">
        <v>0.0</v>
      </c>
      <c r="L321" s="256">
        <v>27.0</v>
      </c>
      <c r="M321" s="256">
        <v>36.0</v>
      </c>
    </row>
    <row r="322">
      <c r="A322" s="256">
        <v>827.0</v>
      </c>
      <c r="B322" s="253" t="s">
        <v>492</v>
      </c>
      <c r="C322" s="253" t="s">
        <v>789</v>
      </c>
      <c r="D322" s="253" t="s">
        <v>930</v>
      </c>
      <c r="E322" s="253" t="s">
        <v>976</v>
      </c>
      <c r="F322" s="256">
        <v>11.0</v>
      </c>
      <c r="G322" s="256">
        <v>12.0</v>
      </c>
      <c r="H322" s="256">
        <v>-1.0</v>
      </c>
      <c r="I322" s="256">
        <v>12.0</v>
      </c>
      <c r="J322" s="256">
        <v>13.0</v>
      </c>
      <c r="K322" s="256">
        <v>-1.0</v>
      </c>
      <c r="L322" s="256">
        <v>29.0</v>
      </c>
      <c r="M322" s="256">
        <v>32.0</v>
      </c>
    </row>
    <row r="323">
      <c r="A323" s="256">
        <v>4199.0</v>
      </c>
      <c r="B323" s="253" t="s">
        <v>492</v>
      </c>
      <c r="C323" s="253" t="s">
        <v>444</v>
      </c>
      <c r="D323" s="253" t="s">
        <v>492</v>
      </c>
      <c r="E323" s="253" t="s">
        <v>991</v>
      </c>
      <c r="F323" s="256">
        <v>14.0</v>
      </c>
      <c r="G323" s="256">
        <v>13.0</v>
      </c>
      <c r="H323" s="256">
        <v>1.0</v>
      </c>
      <c r="I323" s="256">
        <v>14.0</v>
      </c>
      <c r="J323" s="256">
        <v>13.0</v>
      </c>
      <c r="K323" s="256">
        <v>1.0</v>
      </c>
      <c r="L323" s="256">
        <v>33.0</v>
      </c>
      <c r="M323" s="256">
        <v>33.0</v>
      </c>
    </row>
    <row r="324">
      <c r="A324" s="256">
        <v>4730.0</v>
      </c>
      <c r="B324" s="253" t="s">
        <v>507</v>
      </c>
      <c r="C324" s="253" t="s">
        <v>753</v>
      </c>
      <c r="D324" s="253" t="s">
        <v>507</v>
      </c>
      <c r="E324" s="253" t="s">
        <v>980</v>
      </c>
      <c r="F324" s="256">
        <v>24.0</v>
      </c>
      <c r="G324" s="256">
        <v>26.0</v>
      </c>
      <c r="H324" s="256">
        <v>-2.0</v>
      </c>
      <c r="I324" s="256">
        <v>24.0</v>
      </c>
      <c r="J324" s="256">
        <v>26.0</v>
      </c>
      <c r="K324" s="256">
        <v>-2.0</v>
      </c>
      <c r="L324" s="256">
        <v>155.0</v>
      </c>
      <c r="M324" s="256">
        <v>165.0</v>
      </c>
    </row>
    <row r="325">
      <c r="A325" s="256">
        <v>4681.0</v>
      </c>
      <c r="B325" s="253" t="s">
        <v>492</v>
      </c>
      <c r="C325" s="253" t="s">
        <v>1446</v>
      </c>
      <c r="D325" s="253" t="s">
        <v>930</v>
      </c>
      <c r="E325" s="253" t="s">
        <v>1033</v>
      </c>
      <c r="F325" s="256">
        <v>7.0</v>
      </c>
      <c r="G325" s="256">
        <v>8.0</v>
      </c>
      <c r="H325" s="256">
        <v>-1.0</v>
      </c>
      <c r="I325" s="256">
        <v>8.0</v>
      </c>
      <c r="J325" s="256">
        <v>9.0</v>
      </c>
      <c r="K325" s="256">
        <v>-1.0</v>
      </c>
      <c r="L325" s="256">
        <v>22.0</v>
      </c>
      <c r="M325" s="256">
        <v>25.0</v>
      </c>
    </row>
    <row r="326">
      <c r="A326" s="256">
        <v>4934.0</v>
      </c>
      <c r="B326" s="253" t="s">
        <v>480</v>
      </c>
      <c r="C326" s="253" t="s">
        <v>1447</v>
      </c>
      <c r="D326" s="253" t="s">
        <v>481</v>
      </c>
      <c r="E326" s="253" t="s">
        <v>1355</v>
      </c>
      <c r="F326" s="256">
        <v>5.0</v>
      </c>
      <c r="G326" s="256">
        <v>4.0</v>
      </c>
      <c r="H326" s="256">
        <v>1.0</v>
      </c>
      <c r="I326" s="256">
        <v>5.0</v>
      </c>
      <c r="J326" s="256">
        <v>4.0</v>
      </c>
      <c r="K326" s="256">
        <v>1.0</v>
      </c>
      <c r="L326" s="256">
        <v>6.0</v>
      </c>
      <c r="M326" s="256">
        <v>6.0</v>
      </c>
    </row>
    <row r="327">
      <c r="A327" s="256">
        <v>5850.0</v>
      </c>
      <c r="B327" s="253" t="s">
        <v>492</v>
      </c>
      <c r="C327" s="253" t="s">
        <v>64</v>
      </c>
      <c r="D327" s="253" t="s">
        <v>934</v>
      </c>
      <c r="E327" s="253" t="s">
        <v>993</v>
      </c>
      <c r="F327" s="256">
        <v>15.0</v>
      </c>
      <c r="G327" s="256">
        <v>15.0</v>
      </c>
      <c r="H327" s="256">
        <v>0.0</v>
      </c>
      <c r="I327" s="256">
        <v>15.0</v>
      </c>
      <c r="J327" s="256">
        <v>15.0</v>
      </c>
      <c r="K327" s="256">
        <v>0.0</v>
      </c>
      <c r="L327" s="256">
        <v>53.0</v>
      </c>
      <c r="M327" s="256">
        <v>53.0</v>
      </c>
    </row>
    <row r="328">
      <c r="A328" s="256">
        <v>6215.0</v>
      </c>
      <c r="B328" s="253" t="s">
        <v>507</v>
      </c>
      <c r="C328" s="253" t="s">
        <v>66</v>
      </c>
      <c r="D328" s="253" t="s">
        <v>512</v>
      </c>
      <c r="E328" s="253" t="s">
        <v>993</v>
      </c>
      <c r="F328" s="256">
        <v>7.0</v>
      </c>
      <c r="G328" s="256">
        <v>6.0</v>
      </c>
      <c r="H328" s="256">
        <v>1.0</v>
      </c>
      <c r="I328" s="256">
        <v>6.0</v>
      </c>
      <c r="J328" s="256">
        <v>5.0</v>
      </c>
      <c r="K328" s="256">
        <v>1.0</v>
      </c>
      <c r="L328" s="256">
        <v>20.0</v>
      </c>
      <c r="M328" s="256">
        <v>15.0</v>
      </c>
    </row>
    <row r="329">
      <c r="A329" s="256">
        <v>6042.0</v>
      </c>
      <c r="B329" s="253" t="s">
        <v>480</v>
      </c>
      <c r="C329" s="253" t="s">
        <v>813</v>
      </c>
      <c r="D329" s="253" t="s">
        <v>481</v>
      </c>
      <c r="E329" s="253" t="s">
        <v>1009</v>
      </c>
      <c r="F329" s="256">
        <v>7.0</v>
      </c>
      <c r="G329" s="256">
        <v>7.0</v>
      </c>
      <c r="H329" s="256">
        <v>0.0</v>
      </c>
      <c r="I329" s="256">
        <v>7.0</v>
      </c>
      <c r="J329" s="256">
        <v>7.0</v>
      </c>
      <c r="K329" s="256">
        <v>0.0</v>
      </c>
      <c r="L329" s="256">
        <v>16.0</v>
      </c>
      <c r="M329" s="256">
        <v>16.0</v>
      </c>
    </row>
    <row r="330">
      <c r="A330" s="256">
        <v>2085.0</v>
      </c>
      <c r="B330" s="253" t="s">
        <v>492</v>
      </c>
      <c r="C330" s="253" t="s">
        <v>942</v>
      </c>
      <c r="D330" s="253" t="s">
        <v>934</v>
      </c>
      <c r="E330" s="253" t="s">
        <v>1000</v>
      </c>
      <c r="F330" s="256">
        <v>22.0</v>
      </c>
      <c r="G330" s="256">
        <v>21.0</v>
      </c>
      <c r="H330" s="256">
        <v>1.0</v>
      </c>
      <c r="I330" s="256">
        <v>23.0</v>
      </c>
      <c r="J330" s="256">
        <v>22.0</v>
      </c>
      <c r="K330" s="256">
        <v>1.0</v>
      </c>
      <c r="L330" s="256">
        <v>116.0</v>
      </c>
      <c r="M330" s="256">
        <v>122.0</v>
      </c>
    </row>
    <row r="331">
      <c r="A331" s="256">
        <v>2531.0</v>
      </c>
      <c r="B331" s="253" t="s">
        <v>507</v>
      </c>
      <c r="C331" s="253" t="s">
        <v>685</v>
      </c>
      <c r="D331" s="253" t="s">
        <v>512</v>
      </c>
      <c r="E331" s="253" t="s">
        <v>988</v>
      </c>
      <c r="F331" s="256">
        <v>30.0</v>
      </c>
      <c r="G331" s="256">
        <v>31.0</v>
      </c>
      <c r="H331" s="256">
        <v>-1.0</v>
      </c>
      <c r="I331" s="256">
        <v>30.0</v>
      </c>
      <c r="J331" s="256">
        <v>31.0</v>
      </c>
      <c r="K331" s="256">
        <v>-1.0</v>
      </c>
      <c r="L331" s="256">
        <v>312.0</v>
      </c>
      <c r="M331" s="256">
        <v>303.0</v>
      </c>
    </row>
    <row r="332">
      <c r="A332" s="256">
        <v>500.0</v>
      </c>
      <c r="B332" s="253" t="s">
        <v>492</v>
      </c>
      <c r="C332" s="253" t="s">
        <v>1448</v>
      </c>
      <c r="D332" s="253" t="s">
        <v>492</v>
      </c>
      <c r="E332" s="253" t="s">
        <v>1342</v>
      </c>
      <c r="F332" s="256">
        <v>1.0</v>
      </c>
      <c r="G332" s="256">
        <v>2.0</v>
      </c>
      <c r="H332" s="256">
        <v>-1.0</v>
      </c>
      <c r="I332" s="256">
        <v>1.0</v>
      </c>
      <c r="J332" s="256">
        <v>2.0</v>
      </c>
      <c r="K332" s="256">
        <v>-1.0</v>
      </c>
      <c r="L332" s="256">
        <v>3.0</v>
      </c>
      <c r="M332" s="256">
        <v>3.0</v>
      </c>
    </row>
    <row r="333">
      <c r="A333" s="256">
        <v>393.0</v>
      </c>
      <c r="B333" s="253" t="s">
        <v>480</v>
      </c>
      <c r="C333" s="253" t="s">
        <v>668</v>
      </c>
      <c r="D333" s="253" t="s">
        <v>481</v>
      </c>
      <c r="E333" s="253" t="s">
        <v>1222</v>
      </c>
      <c r="F333" s="256">
        <v>7.0</v>
      </c>
      <c r="G333" s="256">
        <v>8.0</v>
      </c>
      <c r="H333" s="256">
        <v>-1.0</v>
      </c>
      <c r="I333" s="256">
        <v>7.0</v>
      </c>
      <c r="J333" s="256">
        <v>8.0</v>
      </c>
      <c r="K333" s="256">
        <v>-1.0</v>
      </c>
      <c r="L333" s="256">
        <v>10.0</v>
      </c>
      <c r="M333" s="256">
        <v>10.0</v>
      </c>
    </row>
    <row r="334">
      <c r="A334" s="256">
        <v>5297.0</v>
      </c>
      <c r="B334" s="253" t="s">
        <v>507</v>
      </c>
      <c r="C334" s="253" t="s">
        <v>684</v>
      </c>
      <c r="D334" s="253" t="s">
        <v>507</v>
      </c>
      <c r="E334" s="253" t="s">
        <v>975</v>
      </c>
      <c r="F334" s="256">
        <v>9.0</v>
      </c>
      <c r="G334" s="256">
        <v>8.0</v>
      </c>
      <c r="H334" s="256">
        <v>1.0</v>
      </c>
      <c r="I334" s="256">
        <v>9.0</v>
      </c>
      <c r="J334" s="256">
        <v>8.0</v>
      </c>
      <c r="K334" s="256">
        <v>1.0</v>
      </c>
      <c r="L334" s="256">
        <v>9.0</v>
      </c>
      <c r="M334" s="256">
        <v>9.0</v>
      </c>
    </row>
    <row r="335">
      <c r="A335" s="256">
        <v>2653.0</v>
      </c>
      <c r="B335" s="253" t="s">
        <v>480</v>
      </c>
      <c r="C335" s="253" t="s">
        <v>872</v>
      </c>
      <c r="D335" s="253" t="s">
        <v>931</v>
      </c>
      <c r="E335" s="253" t="s">
        <v>1009</v>
      </c>
      <c r="F335" s="256">
        <v>5.0</v>
      </c>
      <c r="G335" s="256">
        <v>5.0</v>
      </c>
      <c r="H335" s="256">
        <v>0.0</v>
      </c>
      <c r="I335" s="256">
        <v>5.0</v>
      </c>
      <c r="J335" s="256">
        <v>5.0</v>
      </c>
      <c r="K335" s="256">
        <v>0.0</v>
      </c>
      <c r="L335" s="256">
        <v>8.0</v>
      </c>
      <c r="M335" s="256">
        <v>8.0</v>
      </c>
    </row>
    <row r="336">
      <c r="A336" s="256">
        <v>666.0</v>
      </c>
      <c r="B336" s="253" t="s">
        <v>492</v>
      </c>
      <c r="C336" s="253" t="s">
        <v>1449</v>
      </c>
      <c r="D336" s="253" t="s">
        <v>492</v>
      </c>
      <c r="E336" s="253" t="s">
        <v>1225</v>
      </c>
      <c r="F336" s="256">
        <v>6.0</v>
      </c>
      <c r="G336" s="256">
        <v>5.0</v>
      </c>
      <c r="H336" s="256">
        <v>1.0</v>
      </c>
      <c r="I336" s="256">
        <v>5.0</v>
      </c>
      <c r="J336" s="256">
        <v>4.0</v>
      </c>
      <c r="K336" s="256">
        <v>1.0</v>
      </c>
      <c r="L336" s="256">
        <v>6.0</v>
      </c>
      <c r="M336" s="256">
        <v>5.0</v>
      </c>
    </row>
    <row r="337">
      <c r="A337" s="256">
        <v>4988.0</v>
      </c>
      <c r="B337" s="253" t="s">
        <v>492</v>
      </c>
      <c r="C337" s="253" t="s">
        <v>1450</v>
      </c>
      <c r="D337" s="253" t="s">
        <v>492</v>
      </c>
      <c r="E337" s="253" t="s">
        <v>1355</v>
      </c>
      <c r="F337" s="256">
        <v>3.0</v>
      </c>
      <c r="G337" s="256">
        <v>3.0</v>
      </c>
      <c r="H337" s="256">
        <v>0.0</v>
      </c>
      <c r="I337" s="256">
        <v>3.0</v>
      </c>
      <c r="J337" s="256">
        <v>3.0</v>
      </c>
      <c r="K337" s="256">
        <v>0.0</v>
      </c>
      <c r="L337" s="256">
        <v>4.0</v>
      </c>
      <c r="M337" s="256">
        <v>3.0</v>
      </c>
    </row>
    <row r="338">
      <c r="A338" s="256">
        <v>2769.0</v>
      </c>
      <c r="B338" s="253" t="s">
        <v>480</v>
      </c>
      <c r="C338" s="253" t="s">
        <v>895</v>
      </c>
      <c r="D338" s="253" t="s">
        <v>481</v>
      </c>
      <c r="E338" s="253" t="s">
        <v>983</v>
      </c>
      <c r="F338" s="256">
        <v>3.0</v>
      </c>
      <c r="G338" s="256">
        <v>3.0</v>
      </c>
      <c r="H338" s="256">
        <v>0.0</v>
      </c>
      <c r="I338" s="256">
        <v>3.0</v>
      </c>
      <c r="J338" s="256">
        <v>3.0</v>
      </c>
      <c r="K338" s="256">
        <v>0.0</v>
      </c>
      <c r="L338" s="256">
        <v>4.0</v>
      </c>
      <c r="M338" s="256">
        <v>4.0</v>
      </c>
    </row>
    <row r="339">
      <c r="A339" s="256">
        <v>4312.0</v>
      </c>
      <c r="B339" s="253" t="s">
        <v>477</v>
      </c>
      <c r="C339" s="253" t="s">
        <v>261</v>
      </c>
      <c r="D339" s="253" t="s">
        <v>478</v>
      </c>
      <c r="E339" s="253" t="s">
        <v>991</v>
      </c>
      <c r="F339" s="256">
        <v>17.0</v>
      </c>
      <c r="G339" s="256">
        <v>17.0</v>
      </c>
      <c r="H339" s="256">
        <v>0.0</v>
      </c>
      <c r="I339" s="256">
        <v>17.0</v>
      </c>
      <c r="J339" s="256">
        <v>17.0</v>
      </c>
      <c r="K339" s="256">
        <v>0.0</v>
      </c>
      <c r="L339" s="256">
        <v>89.0</v>
      </c>
      <c r="M339" s="256">
        <v>89.0</v>
      </c>
    </row>
    <row r="340">
      <c r="A340" s="256">
        <v>6232.0</v>
      </c>
      <c r="B340" s="253" t="s">
        <v>492</v>
      </c>
      <c r="C340" s="253" t="s">
        <v>900</v>
      </c>
      <c r="D340" s="253" t="s">
        <v>930</v>
      </c>
      <c r="E340" s="253" t="s">
        <v>975</v>
      </c>
      <c r="F340" s="256">
        <v>5.0</v>
      </c>
      <c r="G340" s="256">
        <v>5.0</v>
      </c>
      <c r="H340" s="256">
        <v>0.0</v>
      </c>
      <c r="I340" s="256">
        <v>6.0</v>
      </c>
      <c r="J340" s="256">
        <v>6.0</v>
      </c>
      <c r="K340" s="256">
        <v>0.0</v>
      </c>
      <c r="L340" s="256">
        <v>8.0</v>
      </c>
      <c r="M340" s="256">
        <v>10.0</v>
      </c>
    </row>
    <row r="341">
      <c r="A341" s="256">
        <v>4896.0</v>
      </c>
      <c r="B341" s="253" t="s">
        <v>492</v>
      </c>
      <c r="C341" s="253" t="s">
        <v>645</v>
      </c>
      <c r="D341" s="253" t="s">
        <v>947</v>
      </c>
      <c r="E341" s="253" t="s">
        <v>1222</v>
      </c>
      <c r="F341" s="256">
        <v>4.0</v>
      </c>
      <c r="G341" s="256">
        <v>5.0</v>
      </c>
      <c r="H341" s="256">
        <v>-1.0</v>
      </c>
      <c r="I341" s="256">
        <v>4.0</v>
      </c>
      <c r="J341" s="256">
        <v>5.0</v>
      </c>
      <c r="K341" s="256">
        <v>-1.0</v>
      </c>
      <c r="L341" s="256">
        <v>9.0</v>
      </c>
      <c r="M341" s="256">
        <v>7.0</v>
      </c>
    </row>
    <row r="342">
      <c r="A342" s="256">
        <v>5457.0</v>
      </c>
      <c r="B342" s="253" t="s">
        <v>492</v>
      </c>
      <c r="C342" s="253" t="s">
        <v>1101</v>
      </c>
      <c r="D342" s="253" t="s">
        <v>492</v>
      </c>
      <c r="E342" s="253" t="s">
        <v>1222</v>
      </c>
      <c r="F342" s="256">
        <v>4.0</v>
      </c>
      <c r="G342" s="256">
        <v>5.0</v>
      </c>
      <c r="H342" s="256">
        <v>-1.0</v>
      </c>
      <c r="I342" s="256">
        <v>3.0</v>
      </c>
      <c r="J342" s="256">
        <v>4.0</v>
      </c>
      <c r="K342" s="256">
        <v>-1.0</v>
      </c>
      <c r="L342" s="256">
        <v>4.0</v>
      </c>
      <c r="M342" s="256">
        <v>4.0</v>
      </c>
    </row>
    <row r="343">
      <c r="A343" s="256">
        <v>4427.0</v>
      </c>
      <c r="B343" s="253" t="s">
        <v>492</v>
      </c>
      <c r="C343" s="253" t="s">
        <v>462</v>
      </c>
      <c r="D343" s="253" t="s">
        <v>543</v>
      </c>
      <c r="E343" s="253" t="s">
        <v>1026</v>
      </c>
      <c r="F343" s="256">
        <v>15.0</v>
      </c>
      <c r="G343" s="256">
        <v>17.0</v>
      </c>
      <c r="H343" s="256">
        <v>-2.0</v>
      </c>
      <c r="I343" s="256">
        <v>14.0</v>
      </c>
      <c r="J343" s="256">
        <v>16.0</v>
      </c>
      <c r="K343" s="256">
        <v>-2.0</v>
      </c>
      <c r="L343" s="256">
        <v>62.0</v>
      </c>
      <c r="M343" s="256">
        <v>60.0</v>
      </c>
    </row>
    <row r="344">
      <c r="A344" s="256">
        <v>2296.0</v>
      </c>
      <c r="B344" s="253" t="s">
        <v>480</v>
      </c>
      <c r="C344" s="253" t="s">
        <v>70</v>
      </c>
      <c r="D344" s="253" t="s">
        <v>481</v>
      </c>
      <c r="E344" s="253" t="s">
        <v>988</v>
      </c>
      <c r="F344" s="256">
        <v>10.0</v>
      </c>
      <c r="G344" s="256">
        <v>11.0</v>
      </c>
      <c r="H344" s="256">
        <v>-1.0</v>
      </c>
      <c r="I344" s="256">
        <v>10.0</v>
      </c>
      <c r="J344" s="256">
        <v>11.0</v>
      </c>
      <c r="K344" s="256">
        <v>-1.0</v>
      </c>
      <c r="L344" s="256">
        <v>26.0</v>
      </c>
      <c r="M344" s="256">
        <v>26.0</v>
      </c>
    </row>
    <row r="345">
      <c r="A345" s="256">
        <v>65.0</v>
      </c>
      <c r="B345" s="253" t="s">
        <v>492</v>
      </c>
      <c r="C345" s="253" t="s">
        <v>1451</v>
      </c>
      <c r="D345" s="253" t="s">
        <v>543</v>
      </c>
      <c r="E345" s="253" t="s">
        <v>975</v>
      </c>
      <c r="F345" s="256">
        <v>6.0</v>
      </c>
      <c r="G345" s="256">
        <v>7.0</v>
      </c>
      <c r="H345" s="256">
        <v>-1.0</v>
      </c>
      <c r="I345" s="256">
        <v>5.0</v>
      </c>
      <c r="J345" s="256">
        <v>6.0</v>
      </c>
      <c r="K345" s="256">
        <v>-1.0</v>
      </c>
      <c r="L345" s="256">
        <v>6.0</v>
      </c>
      <c r="M345" s="256">
        <v>6.0</v>
      </c>
    </row>
    <row r="346">
      <c r="A346" s="256">
        <v>6482.0</v>
      </c>
      <c r="B346" s="253" t="s">
        <v>477</v>
      </c>
      <c r="C346" s="253" t="s">
        <v>814</v>
      </c>
      <c r="D346" s="253" t="s">
        <v>478</v>
      </c>
      <c r="E346" s="253" t="s">
        <v>1000</v>
      </c>
      <c r="F346" s="256">
        <v>1.0</v>
      </c>
      <c r="G346" s="256">
        <v>1.0</v>
      </c>
      <c r="H346" s="256">
        <v>0.0</v>
      </c>
      <c r="I346" s="256">
        <v>1.0</v>
      </c>
      <c r="J346" s="256">
        <v>1.0</v>
      </c>
      <c r="K346" s="256">
        <v>0.0</v>
      </c>
      <c r="L346" s="256">
        <v>1.0</v>
      </c>
      <c r="M346" s="256">
        <v>1.0</v>
      </c>
    </row>
    <row r="347">
      <c r="A347" s="256">
        <v>1933.0</v>
      </c>
      <c r="B347" s="253" t="s">
        <v>492</v>
      </c>
      <c r="C347" s="253" t="s">
        <v>884</v>
      </c>
      <c r="D347" s="253" t="s">
        <v>930</v>
      </c>
      <c r="E347" s="253" t="s">
        <v>1033</v>
      </c>
      <c r="F347" s="256">
        <v>10.0</v>
      </c>
      <c r="G347" s="256">
        <v>9.0</v>
      </c>
      <c r="H347" s="256">
        <v>1.0</v>
      </c>
      <c r="I347" s="256">
        <v>10.0</v>
      </c>
      <c r="J347" s="256">
        <v>10.0</v>
      </c>
      <c r="K347" s="256">
        <v>0.0</v>
      </c>
      <c r="L347" s="256">
        <v>15.0</v>
      </c>
      <c r="M347" s="256">
        <v>16.0</v>
      </c>
    </row>
    <row r="348">
      <c r="A348" s="254">
        <v>459.0</v>
      </c>
      <c r="B348" s="255" t="s">
        <v>480</v>
      </c>
      <c r="C348" s="255" t="s">
        <v>1452</v>
      </c>
      <c r="D348" s="255" t="s">
        <v>481</v>
      </c>
      <c r="E348" s="255" t="s">
        <v>1355</v>
      </c>
      <c r="F348" s="254">
        <v>6.0</v>
      </c>
      <c r="G348" s="254">
        <v>6.0</v>
      </c>
      <c r="H348" s="254">
        <v>0.0</v>
      </c>
      <c r="I348" s="254">
        <v>6.0</v>
      </c>
      <c r="J348" s="254">
        <v>6.0</v>
      </c>
      <c r="K348" s="254">
        <v>0.0</v>
      </c>
      <c r="L348" s="254">
        <v>12.0</v>
      </c>
      <c r="M348" s="254">
        <v>12.0</v>
      </c>
    </row>
    <row r="349">
      <c r="A349" s="256">
        <v>2252.0</v>
      </c>
      <c r="B349" s="253" t="s">
        <v>480</v>
      </c>
      <c r="C349" s="253" t="s">
        <v>1453</v>
      </c>
      <c r="D349" s="253" t="s">
        <v>1022</v>
      </c>
      <c r="E349" s="253" t="s">
        <v>1342</v>
      </c>
      <c r="F349" s="256">
        <v>6.0</v>
      </c>
      <c r="G349" s="256">
        <v>5.0</v>
      </c>
      <c r="H349" s="256">
        <v>1.0</v>
      </c>
      <c r="I349" s="256">
        <v>7.0</v>
      </c>
      <c r="J349" s="256">
        <v>6.0</v>
      </c>
      <c r="K349" s="256">
        <v>1.0</v>
      </c>
      <c r="L349" s="256">
        <v>5.0</v>
      </c>
      <c r="M349" s="256">
        <v>7.0</v>
      </c>
    </row>
    <row r="350">
      <c r="A350" s="256">
        <v>4904.0</v>
      </c>
      <c r="B350" s="253" t="s">
        <v>480</v>
      </c>
      <c r="C350" s="253" t="s">
        <v>1263</v>
      </c>
      <c r="D350" s="253" t="s">
        <v>481</v>
      </c>
      <c r="E350" s="253" t="s">
        <v>1225</v>
      </c>
      <c r="F350" s="256">
        <v>8.0</v>
      </c>
      <c r="G350" s="256">
        <v>9.0</v>
      </c>
      <c r="H350" s="256">
        <v>-1.0</v>
      </c>
      <c r="I350" s="256">
        <v>8.0</v>
      </c>
      <c r="J350" s="256">
        <v>9.0</v>
      </c>
      <c r="K350" s="256">
        <v>-1.0</v>
      </c>
      <c r="L350" s="256">
        <v>18.0</v>
      </c>
      <c r="M350" s="256">
        <v>18.0</v>
      </c>
    </row>
    <row r="351">
      <c r="A351" s="256">
        <v>6250.0</v>
      </c>
      <c r="B351" s="253" t="s">
        <v>507</v>
      </c>
      <c r="C351" s="253" t="s">
        <v>1454</v>
      </c>
      <c r="D351" s="253" t="s">
        <v>512</v>
      </c>
      <c r="E351" s="253" t="s">
        <v>1225</v>
      </c>
      <c r="F351" s="256">
        <v>2.0</v>
      </c>
      <c r="G351" s="256">
        <v>1.0</v>
      </c>
      <c r="H351" s="256">
        <v>1.0</v>
      </c>
      <c r="I351" s="256">
        <v>2.0</v>
      </c>
      <c r="J351" s="256">
        <v>1.0</v>
      </c>
      <c r="K351" s="256">
        <v>1.0</v>
      </c>
      <c r="L351" s="256">
        <v>1.0</v>
      </c>
      <c r="M351" s="256">
        <v>1.0</v>
      </c>
    </row>
    <row r="352">
      <c r="A352" s="256">
        <v>4965.0</v>
      </c>
      <c r="B352" s="253" t="s">
        <v>492</v>
      </c>
      <c r="C352" s="253" t="s">
        <v>840</v>
      </c>
      <c r="D352" s="253" t="s">
        <v>930</v>
      </c>
      <c r="E352" s="253" t="s">
        <v>1222</v>
      </c>
      <c r="F352" s="256">
        <v>8.0</v>
      </c>
      <c r="G352" s="256">
        <v>8.0</v>
      </c>
      <c r="H352" s="256">
        <v>0.0</v>
      </c>
      <c r="I352" s="256">
        <v>9.0</v>
      </c>
      <c r="J352" s="256">
        <v>9.0</v>
      </c>
      <c r="K352" s="256">
        <v>0.0</v>
      </c>
      <c r="L352" s="256">
        <v>14.0</v>
      </c>
      <c r="M352" s="256">
        <v>16.0</v>
      </c>
    </row>
    <row r="353">
      <c r="A353" s="256">
        <v>142.0</v>
      </c>
      <c r="B353" s="253" t="s">
        <v>480</v>
      </c>
      <c r="C353" s="253" t="s">
        <v>1223</v>
      </c>
      <c r="D353" s="253" t="s">
        <v>931</v>
      </c>
      <c r="E353" s="253" t="s">
        <v>987</v>
      </c>
      <c r="F353" s="256">
        <v>10.0</v>
      </c>
      <c r="G353" s="256">
        <v>10.0</v>
      </c>
      <c r="H353" s="256">
        <v>0.0</v>
      </c>
      <c r="I353" s="256">
        <v>10.0</v>
      </c>
      <c r="J353" s="256">
        <v>10.0</v>
      </c>
      <c r="K353" s="256">
        <v>0.0</v>
      </c>
      <c r="L353" s="256">
        <v>20.0</v>
      </c>
      <c r="M353" s="256">
        <v>20.0</v>
      </c>
    </row>
    <row r="354">
      <c r="A354" s="256">
        <v>6448.0</v>
      </c>
      <c r="B354" s="253" t="s">
        <v>492</v>
      </c>
      <c r="C354" s="253" t="s">
        <v>1455</v>
      </c>
      <c r="D354" s="253" t="s">
        <v>543</v>
      </c>
      <c r="E354" s="253" t="s">
        <v>1355</v>
      </c>
      <c r="F354" s="256">
        <v>5.0</v>
      </c>
      <c r="G354" s="256">
        <v>4.0</v>
      </c>
      <c r="H354" s="256">
        <v>1.0</v>
      </c>
      <c r="I354" s="256">
        <v>4.0</v>
      </c>
      <c r="J354" s="256">
        <v>3.0</v>
      </c>
      <c r="K354" s="256">
        <v>1.0</v>
      </c>
      <c r="L354" s="256">
        <v>6.0</v>
      </c>
      <c r="M354" s="256">
        <v>5.0</v>
      </c>
    </row>
    <row r="355">
      <c r="A355" s="256">
        <v>2593.0</v>
      </c>
      <c r="B355" s="253" t="s">
        <v>480</v>
      </c>
      <c r="C355" s="253" t="s">
        <v>841</v>
      </c>
      <c r="D355" s="253" t="s">
        <v>931</v>
      </c>
      <c r="E355" s="253" t="s">
        <v>1026</v>
      </c>
      <c r="F355" s="256">
        <v>8.0</v>
      </c>
      <c r="G355" s="256">
        <v>8.0</v>
      </c>
      <c r="H355" s="256">
        <v>0.0</v>
      </c>
      <c r="I355" s="256">
        <v>8.0</v>
      </c>
      <c r="J355" s="256">
        <v>8.0</v>
      </c>
      <c r="K355" s="256">
        <v>0.0</v>
      </c>
      <c r="L355" s="256">
        <v>12.0</v>
      </c>
      <c r="M355" s="256">
        <v>12.0</v>
      </c>
    </row>
    <row r="356">
      <c r="A356" s="256">
        <v>6184.0</v>
      </c>
      <c r="B356" s="253" t="s">
        <v>477</v>
      </c>
      <c r="C356" s="253" t="s">
        <v>796</v>
      </c>
      <c r="D356" s="253" t="s">
        <v>478</v>
      </c>
      <c r="E356" s="253" t="s">
        <v>1033</v>
      </c>
      <c r="F356" s="256">
        <v>1.0</v>
      </c>
      <c r="G356" s="256">
        <v>1.0</v>
      </c>
      <c r="H356" s="256">
        <v>0.0</v>
      </c>
      <c r="I356" s="256">
        <v>1.0</v>
      </c>
      <c r="J356" s="256">
        <v>1.0</v>
      </c>
      <c r="K356" s="256">
        <v>0.0</v>
      </c>
      <c r="L356" s="256">
        <v>1.0</v>
      </c>
      <c r="M356" s="256">
        <v>1.0</v>
      </c>
    </row>
    <row r="357">
      <c r="A357" s="256">
        <v>5116.0</v>
      </c>
      <c r="B357" s="253" t="s">
        <v>477</v>
      </c>
      <c r="C357" s="253" t="s">
        <v>374</v>
      </c>
      <c r="D357" s="253" t="s">
        <v>478</v>
      </c>
      <c r="E357" s="253" t="s">
        <v>1026</v>
      </c>
      <c r="F357" s="256">
        <v>8.0</v>
      </c>
      <c r="G357" s="256">
        <v>8.0</v>
      </c>
      <c r="H357" s="256">
        <v>0.0</v>
      </c>
      <c r="I357" s="256">
        <v>8.0</v>
      </c>
      <c r="J357" s="256">
        <v>8.0</v>
      </c>
      <c r="K357" s="256">
        <v>0.0</v>
      </c>
      <c r="L357" s="256">
        <v>17.0</v>
      </c>
      <c r="M357" s="256">
        <v>17.0</v>
      </c>
    </row>
    <row r="358">
      <c r="A358" s="256">
        <v>2764.0</v>
      </c>
      <c r="B358" s="253" t="s">
        <v>507</v>
      </c>
      <c r="C358" s="253" t="s">
        <v>145</v>
      </c>
      <c r="D358" s="253" t="s">
        <v>512</v>
      </c>
      <c r="E358" s="253" t="s">
        <v>973</v>
      </c>
      <c r="F358" s="256">
        <v>40.0</v>
      </c>
      <c r="G358" s="256">
        <v>37.0</v>
      </c>
      <c r="H358" s="256">
        <v>3.0</v>
      </c>
      <c r="I358" s="256">
        <v>40.0</v>
      </c>
      <c r="J358" s="256">
        <v>37.0</v>
      </c>
      <c r="K358" s="256">
        <v>3.0</v>
      </c>
      <c r="L358" s="256">
        <v>436.0</v>
      </c>
      <c r="M358" s="256">
        <v>436.0</v>
      </c>
    </row>
    <row r="359">
      <c r="A359" s="256">
        <v>5323.0</v>
      </c>
      <c r="B359" s="253" t="s">
        <v>480</v>
      </c>
      <c r="C359" s="253" t="s">
        <v>638</v>
      </c>
      <c r="D359" s="253" t="s">
        <v>481</v>
      </c>
      <c r="E359" s="253" t="s">
        <v>1033</v>
      </c>
      <c r="F359" s="256">
        <v>5.0</v>
      </c>
      <c r="G359" s="256">
        <v>6.0</v>
      </c>
      <c r="H359" s="256">
        <v>-1.0</v>
      </c>
      <c r="I359" s="256">
        <v>5.0</v>
      </c>
      <c r="J359" s="256">
        <v>6.0</v>
      </c>
      <c r="K359" s="256">
        <v>-1.0</v>
      </c>
      <c r="L359" s="256">
        <v>7.0</v>
      </c>
      <c r="M359" s="256">
        <v>7.0</v>
      </c>
    </row>
    <row r="360">
      <c r="A360" s="256">
        <v>2188.0</v>
      </c>
      <c r="B360" s="253" t="s">
        <v>480</v>
      </c>
      <c r="C360" s="253" t="s">
        <v>793</v>
      </c>
      <c r="D360" s="253" t="s">
        <v>944</v>
      </c>
      <c r="E360" s="253" t="s">
        <v>1000</v>
      </c>
      <c r="F360" s="256">
        <v>7.0</v>
      </c>
      <c r="G360" s="256">
        <v>7.0</v>
      </c>
      <c r="H360" s="256">
        <v>0.0</v>
      </c>
      <c r="I360" s="256">
        <v>8.0</v>
      </c>
      <c r="J360" s="256">
        <v>8.0</v>
      </c>
      <c r="K360" s="256">
        <v>0.0</v>
      </c>
      <c r="L360" s="256">
        <v>15.0</v>
      </c>
      <c r="M360" s="256">
        <v>20.0</v>
      </c>
    </row>
    <row r="361">
      <c r="A361" s="256">
        <v>49.0</v>
      </c>
      <c r="B361" s="253" t="s">
        <v>480</v>
      </c>
      <c r="C361" s="253" t="s">
        <v>623</v>
      </c>
      <c r="D361" s="253" t="s">
        <v>1022</v>
      </c>
      <c r="E361" s="253" t="s">
        <v>993</v>
      </c>
      <c r="F361" s="256">
        <v>5.0</v>
      </c>
      <c r="G361" s="256">
        <v>6.0</v>
      </c>
      <c r="H361" s="256">
        <v>-1.0</v>
      </c>
      <c r="I361" s="256">
        <v>6.0</v>
      </c>
      <c r="J361" s="256">
        <v>7.0</v>
      </c>
      <c r="K361" s="256">
        <v>-1.0</v>
      </c>
      <c r="L361" s="256">
        <v>7.0</v>
      </c>
      <c r="M361" s="256">
        <v>8.0</v>
      </c>
    </row>
    <row r="362">
      <c r="A362" s="256">
        <v>6411.0</v>
      </c>
      <c r="B362" s="253" t="s">
        <v>480</v>
      </c>
      <c r="C362" s="253" t="s">
        <v>1105</v>
      </c>
      <c r="D362" s="253" t="s">
        <v>481</v>
      </c>
      <c r="E362" s="253" t="s">
        <v>1342</v>
      </c>
      <c r="F362" s="256">
        <v>1.0</v>
      </c>
      <c r="G362" s="256">
        <v>1.0</v>
      </c>
      <c r="H362" s="256">
        <v>0.0</v>
      </c>
      <c r="I362" s="256">
        <v>1.0</v>
      </c>
      <c r="J362" s="256">
        <v>1.0</v>
      </c>
      <c r="K362" s="256">
        <v>0.0</v>
      </c>
      <c r="L362" s="256">
        <v>1.0</v>
      </c>
      <c r="M362" s="256">
        <v>1.0</v>
      </c>
    </row>
    <row r="363">
      <c r="A363" s="256">
        <v>5511.0</v>
      </c>
      <c r="B363" s="253" t="s">
        <v>492</v>
      </c>
      <c r="C363" s="253" t="s">
        <v>1456</v>
      </c>
      <c r="D363" s="253" t="s">
        <v>492</v>
      </c>
      <c r="E363" s="253" t="s">
        <v>1005</v>
      </c>
      <c r="F363" s="256">
        <v>9.0</v>
      </c>
      <c r="G363" s="256">
        <v>9.0</v>
      </c>
      <c r="H363" s="256">
        <v>0.0</v>
      </c>
      <c r="I363" s="256">
        <v>8.0</v>
      </c>
      <c r="J363" s="256">
        <v>8.0</v>
      </c>
      <c r="K363" s="256">
        <v>0.0</v>
      </c>
      <c r="L363" s="256">
        <v>9.0</v>
      </c>
      <c r="M363" s="256">
        <v>8.0</v>
      </c>
    </row>
    <row r="364">
      <c r="A364" s="256">
        <v>6244.0</v>
      </c>
      <c r="B364" s="253" t="s">
        <v>480</v>
      </c>
      <c r="C364" s="253" t="s">
        <v>795</v>
      </c>
      <c r="D364" s="253" t="s">
        <v>481</v>
      </c>
      <c r="E364" s="253" t="s">
        <v>1026</v>
      </c>
      <c r="F364" s="256">
        <v>1.0</v>
      </c>
      <c r="G364" s="256">
        <v>1.0</v>
      </c>
      <c r="H364" s="256">
        <v>0.0</v>
      </c>
      <c r="I364" s="256">
        <v>1.0</v>
      </c>
      <c r="J364" s="256">
        <v>1.0</v>
      </c>
      <c r="K364" s="256">
        <v>0.0</v>
      </c>
      <c r="L364" s="256">
        <v>1.0</v>
      </c>
      <c r="M364" s="256">
        <v>1.0</v>
      </c>
    </row>
    <row r="365">
      <c r="A365" s="256">
        <v>1976.0</v>
      </c>
      <c r="B365" s="253" t="s">
        <v>492</v>
      </c>
      <c r="C365" s="253" t="s">
        <v>280</v>
      </c>
      <c r="D365" s="253" t="s">
        <v>930</v>
      </c>
      <c r="E365" s="253" t="s">
        <v>1342</v>
      </c>
      <c r="F365" s="256">
        <v>5.0</v>
      </c>
      <c r="G365" s="256">
        <v>4.0</v>
      </c>
      <c r="H365" s="256">
        <v>1.0</v>
      </c>
      <c r="I365" s="256">
        <v>6.0</v>
      </c>
      <c r="J365" s="256">
        <v>5.0</v>
      </c>
      <c r="K365" s="256">
        <v>1.0</v>
      </c>
      <c r="L365" s="256">
        <v>6.0</v>
      </c>
      <c r="M365" s="256">
        <v>8.0</v>
      </c>
    </row>
    <row r="366">
      <c r="A366" s="256">
        <v>5481.0</v>
      </c>
      <c r="B366" s="253" t="s">
        <v>480</v>
      </c>
      <c r="C366" s="253" t="s">
        <v>885</v>
      </c>
      <c r="D366" s="253" t="s">
        <v>944</v>
      </c>
      <c r="E366" s="253" t="s">
        <v>1355</v>
      </c>
      <c r="F366" s="256">
        <v>11.0</v>
      </c>
      <c r="G366" s="256">
        <v>12.0</v>
      </c>
      <c r="H366" s="256">
        <v>-1.0</v>
      </c>
      <c r="I366" s="256">
        <v>13.0</v>
      </c>
      <c r="J366" s="256">
        <v>14.0</v>
      </c>
      <c r="K366" s="256">
        <v>-1.0</v>
      </c>
      <c r="L366" s="256">
        <v>37.0</v>
      </c>
      <c r="M366" s="256">
        <v>41.0</v>
      </c>
    </row>
    <row r="367">
      <c r="A367" s="256">
        <v>6216.0</v>
      </c>
      <c r="B367" s="253" t="s">
        <v>492</v>
      </c>
      <c r="C367" s="253" t="s">
        <v>1457</v>
      </c>
      <c r="D367" s="253" t="s">
        <v>563</v>
      </c>
      <c r="E367" s="253" t="s">
        <v>983</v>
      </c>
      <c r="F367" s="256">
        <v>9.0</v>
      </c>
      <c r="G367" s="256">
        <v>10.0</v>
      </c>
      <c r="H367" s="256">
        <v>-1.0</v>
      </c>
      <c r="I367" s="256">
        <v>8.0</v>
      </c>
      <c r="J367" s="256">
        <v>9.0</v>
      </c>
      <c r="K367" s="256">
        <v>-1.0</v>
      </c>
      <c r="L367" s="256">
        <v>12.0</v>
      </c>
      <c r="M367" s="256">
        <v>12.0</v>
      </c>
    </row>
    <row r="368">
      <c r="A368" s="256">
        <v>4973.0</v>
      </c>
      <c r="B368" s="253" t="s">
        <v>492</v>
      </c>
      <c r="C368" s="253" t="s">
        <v>1458</v>
      </c>
      <c r="D368" s="253" t="s">
        <v>492</v>
      </c>
      <c r="E368" s="253" t="s">
        <v>976</v>
      </c>
      <c r="F368" s="256">
        <v>8.0</v>
      </c>
      <c r="G368" s="256">
        <v>8.0</v>
      </c>
      <c r="H368" s="256">
        <v>0.0</v>
      </c>
      <c r="I368" s="256">
        <v>7.0</v>
      </c>
      <c r="J368" s="256">
        <v>7.0</v>
      </c>
      <c r="K368" s="256">
        <v>0.0</v>
      </c>
      <c r="L368" s="256">
        <v>17.0</v>
      </c>
      <c r="M368" s="256">
        <v>17.0</v>
      </c>
    </row>
    <row r="369">
      <c r="A369" s="256">
        <v>572.0</v>
      </c>
      <c r="B369" s="253" t="s">
        <v>477</v>
      </c>
      <c r="C369" s="253" t="s">
        <v>634</v>
      </c>
      <c r="D369" s="253" t="s">
        <v>478</v>
      </c>
      <c r="E369" s="253" t="s">
        <v>987</v>
      </c>
      <c r="F369" s="256">
        <v>16.0</v>
      </c>
      <c r="G369" s="256">
        <v>17.0</v>
      </c>
      <c r="H369" s="256">
        <v>-1.0</v>
      </c>
      <c r="I369" s="256">
        <v>16.0</v>
      </c>
      <c r="J369" s="256">
        <v>17.0</v>
      </c>
      <c r="K369" s="256">
        <v>-1.0</v>
      </c>
      <c r="L369" s="256">
        <v>80.0</v>
      </c>
      <c r="M369" s="256">
        <v>80.0</v>
      </c>
    </row>
    <row r="370">
      <c r="A370" s="256">
        <v>4970.0</v>
      </c>
      <c r="B370" s="253" t="s">
        <v>492</v>
      </c>
      <c r="C370" s="253" t="s">
        <v>702</v>
      </c>
      <c r="D370" s="253" t="s">
        <v>563</v>
      </c>
      <c r="E370" s="253" t="s">
        <v>1026</v>
      </c>
      <c r="F370" s="256">
        <v>8.0</v>
      </c>
      <c r="G370" s="256">
        <v>9.0</v>
      </c>
      <c r="H370" s="256">
        <v>-1.0</v>
      </c>
      <c r="I370" s="256">
        <v>7.0</v>
      </c>
      <c r="J370" s="256">
        <v>8.0</v>
      </c>
      <c r="K370" s="256">
        <v>-1.0</v>
      </c>
      <c r="L370" s="256">
        <v>28.0</v>
      </c>
      <c r="M370" s="256">
        <v>28.0</v>
      </c>
    </row>
    <row r="371">
      <c r="A371" s="256">
        <v>2164.0</v>
      </c>
      <c r="B371" s="253" t="s">
        <v>480</v>
      </c>
      <c r="C371" s="253" t="s">
        <v>940</v>
      </c>
      <c r="D371" s="253" t="s">
        <v>481</v>
      </c>
      <c r="E371" s="253" t="s">
        <v>1033</v>
      </c>
      <c r="F371" s="256">
        <v>10.0</v>
      </c>
      <c r="G371" s="256">
        <v>10.0</v>
      </c>
      <c r="H371" s="256">
        <v>0.0</v>
      </c>
      <c r="I371" s="256">
        <v>10.0</v>
      </c>
      <c r="J371" s="256">
        <v>10.0</v>
      </c>
      <c r="K371" s="256">
        <v>0.0</v>
      </c>
      <c r="L371" s="256">
        <v>26.0</v>
      </c>
      <c r="M371" s="256">
        <v>26.0</v>
      </c>
    </row>
    <row r="372">
      <c r="A372" s="256">
        <v>2012.0</v>
      </c>
      <c r="B372" s="253" t="s">
        <v>507</v>
      </c>
      <c r="C372" s="253" t="s">
        <v>1108</v>
      </c>
      <c r="D372" s="253" t="s">
        <v>512</v>
      </c>
      <c r="E372" s="253" t="s">
        <v>976</v>
      </c>
      <c r="F372" s="256">
        <v>18.0</v>
      </c>
      <c r="G372" s="256">
        <v>18.0</v>
      </c>
      <c r="H372" s="256">
        <v>0.0</v>
      </c>
      <c r="I372" s="256">
        <v>17.0</v>
      </c>
      <c r="J372" s="256">
        <v>17.0</v>
      </c>
      <c r="K372" s="256">
        <v>0.0</v>
      </c>
      <c r="L372" s="256">
        <v>92.0</v>
      </c>
      <c r="M372" s="256">
        <v>82.0</v>
      </c>
    </row>
    <row r="373">
      <c r="A373" s="256">
        <v>2170.0</v>
      </c>
      <c r="B373" s="253" t="s">
        <v>477</v>
      </c>
      <c r="C373" s="253" t="s">
        <v>734</v>
      </c>
      <c r="D373" s="253" t="s">
        <v>478</v>
      </c>
      <c r="E373" s="253" t="s">
        <v>972</v>
      </c>
      <c r="F373" s="256">
        <v>10.0</v>
      </c>
      <c r="G373" s="256">
        <v>10.0</v>
      </c>
      <c r="H373" s="256">
        <v>0.0</v>
      </c>
      <c r="I373" s="256">
        <v>10.0</v>
      </c>
      <c r="J373" s="256">
        <v>10.0</v>
      </c>
      <c r="K373" s="256">
        <v>0.0</v>
      </c>
      <c r="L373" s="256">
        <v>31.0</v>
      </c>
      <c r="M373" s="256">
        <v>31.0</v>
      </c>
    </row>
    <row r="374">
      <c r="A374" s="256">
        <v>4210.0</v>
      </c>
      <c r="B374" s="253" t="s">
        <v>480</v>
      </c>
      <c r="C374" s="253" t="s">
        <v>820</v>
      </c>
      <c r="D374" s="253" t="s">
        <v>481</v>
      </c>
      <c r="E374" s="253" t="s">
        <v>1033</v>
      </c>
      <c r="F374" s="256">
        <v>7.0</v>
      </c>
      <c r="G374" s="256">
        <v>8.0</v>
      </c>
      <c r="H374" s="256">
        <v>-1.0</v>
      </c>
      <c r="I374" s="256">
        <v>7.0</v>
      </c>
      <c r="J374" s="256">
        <v>8.0</v>
      </c>
      <c r="K374" s="256">
        <v>-1.0</v>
      </c>
      <c r="L374" s="256">
        <v>12.0</v>
      </c>
      <c r="M374" s="256">
        <v>12.0</v>
      </c>
    </row>
    <row r="375">
      <c r="A375" s="256">
        <v>5001.0</v>
      </c>
      <c r="B375" s="253" t="s">
        <v>492</v>
      </c>
      <c r="C375" s="253" t="s">
        <v>1459</v>
      </c>
      <c r="D375" s="253" t="s">
        <v>947</v>
      </c>
      <c r="E375" s="253" t="s">
        <v>980</v>
      </c>
      <c r="F375" s="256">
        <v>9.0</v>
      </c>
      <c r="G375" s="256">
        <v>10.0</v>
      </c>
      <c r="H375" s="256">
        <v>-1.0</v>
      </c>
      <c r="I375" s="256">
        <v>9.0</v>
      </c>
      <c r="J375" s="256">
        <v>10.0</v>
      </c>
      <c r="K375" s="256">
        <v>-1.0</v>
      </c>
      <c r="L375" s="256">
        <v>8.0</v>
      </c>
      <c r="M375" s="256">
        <v>8.0</v>
      </c>
    </row>
    <row r="376">
      <c r="A376" s="256">
        <v>41.0</v>
      </c>
      <c r="B376" s="253" t="s">
        <v>477</v>
      </c>
      <c r="C376" s="253" t="s">
        <v>1460</v>
      </c>
      <c r="D376" s="253" t="s">
        <v>478</v>
      </c>
      <c r="E376" s="253" t="s">
        <v>991</v>
      </c>
      <c r="F376" s="256">
        <v>1.0</v>
      </c>
      <c r="G376" s="256">
        <v>1.0</v>
      </c>
      <c r="H376" s="256">
        <v>0.0</v>
      </c>
      <c r="I376" s="256">
        <v>1.0</v>
      </c>
      <c r="J376" s="256">
        <v>1.0</v>
      </c>
      <c r="K376" s="256">
        <v>0.0</v>
      </c>
      <c r="L376" s="256">
        <v>1.0</v>
      </c>
      <c r="M376" s="256">
        <v>1.0</v>
      </c>
    </row>
    <row r="377">
      <c r="A377" s="256">
        <v>5813.0</v>
      </c>
      <c r="B377" s="253" t="s">
        <v>492</v>
      </c>
      <c r="C377" s="253" t="s">
        <v>886</v>
      </c>
      <c r="D377" s="253" t="s">
        <v>934</v>
      </c>
      <c r="E377" s="253" t="s">
        <v>976</v>
      </c>
      <c r="F377" s="256">
        <v>5.0</v>
      </c>
      <c r="G377" s="256">
        <v>5.0</v>
      </c>
      <c r="H377" s="256">
        <v>0.0</v>
      </c>
      <c r="I377" s="256">
        <v>5.0</v>
      </c>
      <c r="J377" s="256">
        <v>5.0</v>
      </c>
      <c r="K377" s="256">
        <v>0.0</v>
      </c>
      <c r="L377" s="256">
        <v>11.0</v>
      </c>
      <c r="M377" s="256">
        <v>11.0</v>
      </c>
    </row>
    <row r="378">
      <c r="A378" s="256">
        <v>6189.0</v>
      </c>
      <c r="B378" s="253" t="s">
        <v>480</v>
      </c>
      <c r="C378" s="253" t="s">
        <v>1461</v>
      </c>
      <c r="D378" s="253" t="s">
        <v>938</v>
      </c>
      <c r="E378" s="253" t="s">
        <v>1005</v>
      </c>
      <c r="F378" s="256">
        <v>2.0</v>
      </c>
      <c r="G378" s="256">
        <v>1.0</v>
      </c>
      <c r="H378" s="256">
        <v>1.0</v>
      </c>
      <c r="I378" s="256">
        <v>2.0</v>
      </c>
      <c r="J378" s="256">
        <v>1.0</v>
      </c>
      <c r="K378" s="256">
        <v>1.0</v>
      </c>
      <c r="L378" s="256">
        <v>1.0</v>
      </c>
      <c r="M378" s="256">
        <v>1.0</v>
      </c>
    </row>
    <row r="379">
      <c r="A379" s="254">
        <v>6579.0</v>
      </c>
      <c r="B379" s="255" t="s">
        <v>492</v>
      </c>
      <c r="C379" s="255" t="s">
        <v>1305</v>
      </c>
      <c r="D379" s="255" t="s">
        <v>563</v>
      </c>
      <c r="E379" s="255" t="s">
        <v>983</v>
      </c>
      <c r="F379" s="254">
        <v>4.0</v>
      </c>
      <c r="G379" s="254">
        <v>5.0</v>
      </c>
      <c r="H379" s="254">
        <v>-1.0</v>
      </c>
      <c r="I379" s="254">
        <v>4.0</v>
      </c>
      <c r="J379" s="254">
        <v>5.0</v>
      </c>
      <c r="K379" s="254">
        <v>-1.0</v>
      </c>
      <c r="L379" s="254">
        <v>9.0</v>
      </c>
      <c r="M379" s="254">
        <v>9.0</v>
      </c>
    </row>
    <row r="380">
      <c r="A380" s="256">
        <v>2529.0</v>
      </c>
      <c r="B380" s="253" t="s">
        <v>492</v>
      </c>
      <c r="C380" s="253" t="s">
        <v>703</v>
      </c>
      <c r="D380" s="253" t="s">
        <v>934</v>
      </c>
      <c r="E380" s="253" t="s">
        <v>973</v>
      </c>
      <c r="F380" s="256">
        <v>13.0</v>
      </c>
      <c r="G380" s="256">
        <v>13.0</v>
      </c>
      <c r="H380" s="256">
        <v>0.0</v>
      </c>
      <c r="I380" s="256">
        <v>13.0</v>
      </c>
      <c r="J380" s="256">
        <v>13.0</v>
      </c>
      <c r="K380" s="256">
        <v>0.0</v>
      </c>
      <c r="L380" s="256">
        <v>42.0</v>
      </c>
      <c r="M380" s="256">
        <v>42.0</v>
      </c>
    </row>
    <row r="381">
      <c r="A381" s="256">
        <v>4952.0</v>
      </c>
      <c r="B381" s="253" t="s">
        <v>480</v>
      </c>
      <c r="C381" s="253" t="s">
        <v>1462</v>
      </c>
      <c r="D381" s="253" t="s">
        <v>481</v>
      </c>
      <c r="E381" s="253" t="s">
        <v>1342</v>
      </c>
      <c r="F381" s="256">
        <v>5.0</v>
      </c>
      <c r="G381" s="256">
        <v>1.0</v>
      </c>
      <c r="H381" s="256">
        <v>4.0</v>
      </c>
      <c r="I381" s="256">
        <v>5.0</v>
      </c>
      <c r="J381" s="256">
        <v>1.0</v>
      </c>
      <c r="K381" s="256">
        <v>4.0</v>
      </c>
      <c r="L381" s="256">
        <v>6.0</v>
      </c>
      <c r="M381" s="256">
        <v>6.0</v>
      </c>
    </row>
    <row r="382">
      <c r="A382" s="256">
        <v>4957.0</v>
      </c>
      <c r="B382" s="253" t="s">
        <v>477</v>
      </c>
      <c r="C382" s="253" t="s">
        <v>735</v>
      </c>
      <c r="D382" s="253" t="s">
        <v>478</v>
      </c>
      <c r="E382" s="253" t="s">
        <v>983</v>
      </c>
      <c r="F382" s="256">
        <v>8.0</v>
      </c>
      <c r="G382" s="256">
        <v>7.0</v>
      </c>
      <c r="H382" s="256">
        <v>1.0</v>
      </c>
      <c r="I382" s="256">
        <v>8.0</v>
      </c>
      <c r="J382" s="256">
        <v>7.0</v>
      </c>
      <c r="K382" s="256">
        <v>1.0</v>
      </c>
      <c r="L382" s="256">
        <v>13.0</v>
      </c>
      <c r="M382" s="256">
        <v>13.0</v>
      </c>
    </row>
    <row r="383">
      <c r="A383" s="256">
        <v>6054.0</v>
      </c>
      <c r="B383" s="253" t="s">
        <v>492</v>
      </c>
      <c r="C383" s="253" t="s">
        <v>826</v>
      </c>
      <c r="D383" s="253" t="s">
        <v>930</v>
      </c>
      <c r="E383" s="253" t="s">
        <v>1009</v>
      </c>
      <c r="F383" s="256">
        <v>7.0</v>
      </c>
      <c r="G383" s="256">
        <v>6.0</v>
      </c>
      <c r="H383" s="256">
        <v>1.0</v>
      </c>
      <c r="I383" s="256">
        <v>7.0</v>
      </c>
      <c r="J383" s="256">
        <v>6.0</v>
      </c>
      <c r="K383" s="256">
        <v>1.0</v>
      </c>
      <c r="L383" s="256">
        <v>12.0</v>
      </c>
      <c r="M383" s="256">
        <v>14.0</v>
      </c>
    </row>
    <row r="384">
      <c r="A384" s="256">
        <v>5882.0</v>
      </c>
      <c r="B384" s="253" t="s">
        <v>507</v>
      </c>
      <c r="C384" s="253" t="s">
        <v>625</v>
      </c>
      <c r="D384" s="253" t="s">
        <v>507</v>
      </c>
      <c r="E384" s="253" t="s">
        <v>1225</v>
      </c>
      <c r="F384" s="256">
        <v>10.0</v>
      </c>
      <c r="G384" s="256">
        <v>11.0</v>
      </c>
      <c r="H384" s="256">
        <v>-1.0</v>
      </c>
      <c r="I384" s="256">
        <v>10.0</v>
      </c>
      <c r="J384" s="256">
        <v>11.0</v>
      </c>
      <c r="K384" s="256">
        <v>-1.0</v>
      </c>
      <c r="L384" s="256">
        <v>16.0</v>
      </c>
      <c r="M384" s="256">
        <v>18.0</v>
      </c>
    </row>
    <row r="385">
      <c r="A385" s="256">
        <v>6205.0</v>
      </c>
      <c r="B385" s="253" t="s">
        <v>507</v>
      </c>
      <c r="C385" s="253" t="s">
        <v>1463</v>
      </c>
      <c r="D385" s="253" t="s">
        <v>512</v>
      </c>
      <c r="E385" s="253" t="s">
        <v>1005</v>
      </c>
      <c r="F385" s="256">
        <v>11.0</v>
      </c>
      <c r="G385" s="256">
        <v>11.0</v>
      </c>
      <c r="H385" s="256">
        <v>0.0</v>
      </c>
      <c r="I385" s="256">
        <v>10.0</v>
      </c>
      <c r="J385" s="256">
        <v>10.0</v>
      </c>
      <c r="K385" s="256">
        <v>0.0</v>
      </c>
      <c r="L385" s="256">
        <v>22.0</v>
      </c>
      <c r="M385" s="256">
        <v>20.0</v>
      </c>
    </row>
    <row r="386">
      <c r="A386" s="256">
        <v>507.0</v>
      </c>
      <c r="B386" s="253" t="s">
        <v>507</v>
      </c>
      <c r="C386" s="253" t="s">
        <v>1464</v>
      </c>
      <c r="D386" s="253" t="s">
        <v>512</v>
      </c>
      <c r="E386" s="253" t="s">
        <v>980</v>
      </c>
      <c r="F386" s="256">
        <v>13.0</v>
      </c>
      <c r="G386" s="256">
        <v>14.0</v>
      </c>
      <c r="H386" s="256">
        <v>-1.0</v>
      </c>
      <c r="I386" s="256">
        <v>12.0</v>
      </c>
      <c r="J386" s="256">
        <v>13.0</v>
      </c>
      <c r="K386" s="256">
        <v>-1.0</v>
      </c>
      <c r="L386" s="256">
        <v>38.0</v>
      </c>
      <c r="M386" s="256">
        <v>29.0</v>
      </c>
    </row>
    <row r="387">
      <c r="A387" s="256">
        <v>5295.0</v>
      </c>
      <c r="B387" s="253" t="s">
        <v>492</v>
      </c>
      <c r="C387" s="253" t="s">
        <v>1115</v>
      </c>
      <c r="D387" s="253" t="s">
        <v>492</v>
      </c>
      <c r="E387" s="253" t="s">
        <v>991</v>
      </c>
      <c r="F387" s="256">
        <v>9.0</v>
      </c>
      <c r="G387" s="256">
        <v>9.0</v>
      </c>
      <c r="H387" s="256">
        <v>0.0</v>
      </c>
      <c r="I387" s="256">
        <v>9.0</v>
      </c>
      <c r="J387" s="256">
        <v>9.0</v>
      </c>
      <c r="K387" s="256">
        <v>0.0</v>
      </c>
      <c r="L387" s="256">
        <v>18.0</v>
      </c>
      <c r="M387" s="256">
        <v>18.0</v>
      </c>
    </row>
    <row r="388">
      <c r="A388" s="256">
        <v>2792.0</v>
      </c>
      <c r="B388" s="253" t="s">
        <v>477</v>
      </c>
      <c r="C388" s="253" t="s">
        <v>939</v>
      </c>
      <c r="D388" s="253" t="s">
        <v>478</v>
      </c>
      <c r="E388" s="253" t="s">
        <v>980</v>
      </c>
      <c r="F388" s="256">
        <v>5.0</v>
      </c>
      <c r="G388" s="256">
        <v>3.0</v>
      </c>
      <c r="H388" s="256">
        <v>2.0</v>
      </c>
      <c r="I388" s="256">
        <v>5.0</v>
      </c>
      <c r="J388" s="256">
        <v>3.0</v>
      </c>
      <c r="K388" s="256">
        <v>2.0</v>
      </c>
      <c r="L388" s="256">
        <v>28.0</v>
      </c>
      <c r="M388" s="256">
        <v>28.0</v>
      </c>
    </row>
    <row r="389">
      <c r="A389" s="256">
        <v>4514.0</v>
      </c>
      <c r="B389" s="253" t="s">
        <v>492</v>
      </c>
      <c r="C389" s="253" t="s">
        <v>1465</v>
      </c>
      <c r="D389" s="253" t="s">
        <v>1242</v>
      </c>
      <c r="E389" s="253" t="s">
        <v>975</v>
      </c>
      <c r="F389" s="256">
        <v>8.0</v>
      </c>
      <c r="G389" s="256">
        <v>7.0</v>
      </c>
      <c r="H389" s="256">
        <v>1.0</v>
      </c>
      <c r="I389" s="256">
        <v>9.0</v>
      </c>
      <c r="J389" s="256">
        <v>8.0</v>
      </c>
      <c r="K389" s="256">
        <v>1.0</v>
      </c>
      <c r="L389" s="256">
        <v>21.0</v>
      </c>
      <c r="M389" s="256">
        <v>24.0</v>
      </c>
    </row>
    <row r="390">
      <c r="A390" s="256">
        <v>6396.0</v>
      </c>
      <c r="B390" s="253" t="s">
        <v>480</v>
      </c>
      <c r="C390" s="253" t="s">
        <v>1466</v>
      </c>
      <c r="D390" s="253" t="s">
        <v>481</v>
      </c>
      <c r="E390" s="253" t="s">
        <v>987</v>
      </c>
      <c r="F390" s="256">
        <v>8.0</v>
      </c>
      <c r="G390" s="256">
        <v>9.0</v>
      </c>
      <c r="H390" s="256">
        <v>-1.0</v>
      </c>
      <c r="I390" s="256">
        <v>8.0</v>
      </c>
      <c r="J390" s="256">
        <v>9.0</v>
      </c>
      <c r="K390" s="256">
        <v>-1.0</v>
      </c>
      <c r="L390" s="256">
        <v>17.0</v>
      </c>
      <c r="M390" s="256">
        <v>17.0</v>
      </c>
    </row>
    <row r="391">
      <c r="A391" s="254">
        <v>6505.0</v>
      </c>
      <c r="B391" s="255" t="s">
        <v>477</v>
      </c>
      <c r="C391" s="255" t="s">
        <v>1117</v>
      </c>
      <c r="D391" s="255" t="s">
        <v>478</v>
      </c>
      <c r="E391" s="255" t="s">
        <v>991</v>
      </c>
      <c r="F391" s="254">
        <v>1.0</v>
      </c>
      <c r="G391" s="254">
        <v>1.0</v>
      </c>
      <c r="H391" s="254">
        <v>0.0</v>
      </c>
      <c r="I391" s="254">
        <v>1.0</v>
      </c>
      <c r="J391" s="254">
        <v>1.0</v>
      </c>
      <c r="K391" s="254">
        <v>0.0</v>
      </c>
      <c r="L391" s="254">
        <v>1.0</v>
      </c>
      <c r="M391" s="254">
        <v>1.0</v>
      </c>
    </row>
    <row r="392">
      <c r="A392" s="256">
        <v>4317.0</v>
      </c>
      <c r="B392" s="253" t="s">
        <v>480</v>
      </c>
      <c r="C392" s="253" t="s">
        <v>1467</v>
      </c>
      <c r="D392" s="253" t="s">
        <v>481</v>
      </c>
      <c r="E392" s="253" t="s">
        <v>988</v>
      </c>
      <c r="F392" s="256">
        <v>8.0</v>
      </c>
      <c r="G392" s="256">
        <v>9.0</v>
      </c>
      <c r="H392" s="256">
        <v>-1.0</v>
      </c>
      <c r="I392" s="256">
        <v>8.0</v>
      </c>
      <c r="J392" s="256">
        <v>9.0</v>
      </c>
      <c r="K392" s="256">
        <v>-1.0</v>
      </c>
      <c r="L392" s="256">
        <v>18.0</v>
      </c>
      <c r="M392" s="256">
        <v>18.0</v>
      </c>
    </row>
    <row r="393">
      <c r="A393" s="256">
        <v>5564.0</v>
      </c>
      <c r="B393" s="253" t="s">
        <v>492</v>
      </c>
      <c r="C393" s="253" t="s">
        <v>614</v>
      </c>
      <c r="D393" s="253" t="s">
        <v>935</v>
      </c>
      <c r="E393" s="253" t="s">
        <v>1009</v>
      </c>
      <c r="F393" s="256">
        <v>12.0</v>
      </c>
      <c r="G393" s="256">
        <v>12.0</v>
      </c>
      <c r="H393" s="256">
        <v>0.0</v>
      </c>
      <c r="I393" s="256">
        <v>11.0</v>
      </c>
      <c r="J393" s="256">
        <v>11.0</v>
      </c>
      <c r="K393" s="256">
        <v>0.0</v>
      </c>
      <c r="L393" s="256">
        <v>25.0</v>
      </c>
      <c r="M393" s="256">
        <v>25.0</v>
      </c>
    </row>
    <row r="394">
      <c r="A394" s="256">
        <v>6145.0</v>
      </c>
      <c r="B394" s="253" t="s">
        <v>507</v>
      </c>
      <c r="C394" s="253" t="s">
        <v>949</v>
      </c>
      <c r="D394" s="253" t="s">
        <v>507</v>
      </c>
      <c r="E394" s="253" t="s">
        <v>983</v>
      </c>
      <c r="F394" s="256">
        <v>14.0</v>
      </c>
      <c r="G394" s="256">
        <v>12.0</v>
      </c>
      <c r="H394" s="256">
        <v>2.0</v>
      </c>
      <c r="I394" s="256">
        <v>14.0</v>
      </c>
      <c r="J394" s="256">
        <v>12.0</v>
      </c>
      <c r="K394" s="256">
        <v>2.0</v>
      </c>
      <c r="L394" s="256">
        <v>50.0</v>
      </c>
      <c r="M394" s="256">
        <v>52.0</v>
      </c>
    </row>
    <row r="395">
      <c r="A395" s="256">
        <v>6253.0</v>
      </c>
      <c r="B395" s="253" t="s">
        <v>480</v>
      </c>
      <c r="C395" s="253" t="s">
        <v>1468</v>
      </c>
      <c r="D395" s="253" t="s">
        <v>481</v>
      </c>
      <c r="E395" s="253" t="s">
        <v>972</v>
      </c>
      <c r="F395" s="256">
        <v>1.0</v>
      </c>
      <c r="G395" s="256">
        <v>1.0</v>
      </c>
      <c r="H395" s="256">
        <v>0.0</v>
      </c>
      <c r="I395" s="256">
        <v>1.0</v>
      </c>
      <c r="J395" s="256">
        <v>1.0</v>
      </c>
      <c r="K395" s="256">
        <v>0.0</v>
      </c>
      <c r="L395" s="256">
        <v>1.0</v>
      </c>
      <c r="M395" s="256">
        <v>1.0</v>
      </c>
    </row>
    <row r="396">
      <c r="A396" s="254">
        <v>382.0</v>
      </c>
      <c r="B396" s="255" t="s">
        <v>507</v>
      </c>
      <c r="C396" s="255" t="s">
        <v>1469</v>
      </c>
      <c r="D396" s="255" t="s">
        <v>512</v>
      </c>
      <c r="E396" s="255" t="s">
        <v>1222</v>
      </c>
      <c r="F396" s="254">
        <v>8.0</v>
      </c>
      <c r="G396" s="254">
        <v>6.0</v>
      </c>
      <c r="H396" s="254">
        <v>2.0</v>
      </c>
      <c r="I396" s="254">
        <v>8.0</v>
      </c>
      <c r="J396" s="254">
        <v>6.0</v>
      </c>
      <c r="K396" s="254">
        <v>2.0</v>
      </c>
      <c r="L396" s="254">
        <v>14.0</v>
      </c>
      <c r="M396" s="254">
        <v>14.0</v>
      </c>
    </row>
    <row r="397">
      <c r="A397" s="256">
        <v>4349.0</v>
      </c>
      <c r="B397" s="253" t="s">
        <v>492</v>
      </c>
      <c r="C397" s="253" t="s">
        <v>842</v>
      </c>
      <c r="D397" s="253" t="s">
        <v>930</v>
      </c>
      <c r="E397" s="253" t="s">
        <v>976</v>
      </c>
      <c r="F397" s="256">
        <v>1.0</v>
      </c>
      <c r="G397" s="256">
        <v>2.0</v>
      </c>
      <c r="H397" s="256">
        <v>-1.0</v>
      </c>
      <c r="I397" s="256">
        <v>1.0</v>
      </c>
      <c r="J397" s="256">
        <v>2.0</v>
      </c>
      <c r="K397" s="256">
        <v>-1.0</v>
      </c>
      <c r="L397" s="256">
        <v>2.0</v>
      </c>
      <c r="M397" s="256">
        <v>2.0</v>
      </c>
    </row>
    <row r="398">
      <c r="A398" s="254">
        <v>6507.0</v>
      </c>
      <c r="B398" s="255" t="s">
        <v>492</v>
      </c>
      <c r="C398" s="255" t="s">
        <v>1470</v>
      </c>
      <c r="D398" s="255" t="s">
        <v>492</v>
      </c>
      <c r="E398" s="255" t="s">
        <v>976</v>
      </c>
      <c r="F398" s="254">
        <v>1.0</v>
      </c>
      <c r="G398" s="254">
        <v>1.0</v>
      </c>
      <c r="H398" s="254">
        <v>0.0</v>
      </c>
      <c r="I398" s="254">
        <v>1.0</v>
      </c>
      <c r="J398" s="254">
        <v>1.0</v>
      </c>
      <c r="K398" s="254">
        <v>0.0</v>
      </c>
      <c r="L398" s="254">
        <v>1.0</v>
      </c>
      <c r="M398" s="254">
        <v>1.0</v>
      </c>
    </row>
    <row r="399">
      <c r="A399" s="254">
        <v>6556.0</v>
      </c>
      <c r="B399" s="255" t="s">
        <v>507</v>
      </c>
      <c r="C399" s="255" t="s">
        <v>626</v>
      </c>
      <c r="D399" s="255" t="s">
        <v>935</v>
      </c>
      <c r="E399" s="255" t="s">
        <v>983</v>
      </c>
      <c r="F399" s="254">
        <v>6.0</v>
      </c>
      <c r="G399" s="254">
        <v>4.0</v>
      </c>
      <c r="H399" s="254">
        <v>2.0</v>
      </c>
      <c r="I399" s="254">
        <v>6.0</v>
      </c>
      <c r="J399" s="254">
        <v>5.0</v>
      </c>
      <c r="K399" s="254">
        <v>1.0</v>
      </c>
      <c r="L399" s="254">
        <v>23.0</v>
      </c>
      <c r="M399" s="254">
        <v>28.0</v>
      </c>
    </row>
    <row r="400">
      <c r="A400" s="256">
        <v>5336.0</v>
      </c>
      <c r="B400" s="253" t="s">
        <v>507</v>
      </c>
      <c r="C400" s="253" t="s">
        <v>388</v>
      </c>
      <c r="D400" s="253" t="s">
        <v>512</v>
      </c>
      <c r="E400" s="253" t="s">
        <v>1033</v>
      </c>
      <c r="F400" s="256">
        <v>22.0</v>
      </c>
      <c r="G400" s="256">
        <v>23.0</v>
      </c>
      <c r="H400" s="256">
        <v>-1.0</v>
      </c>
      <c r="I400" s="256">
        <v>22.0</v>
      </c>
      <c r="J400" s="256">
        <v>23.0</v>
      </c>
      <c r="K400" s="256">
        <v>-1.0</v>
      </c>
      <c r="L400" s="256">
        <v>81.0</v>
      </c>
      <c r="M400" s="256">
        <v>80.0</v>
      </c>
    </row>
    <row r="401">
      <c r="A401" s="256">
        <v>5701.0</v>
      </c>
      <c r="B401" s="253" t="s">
        <v>480</v>
      </c>
      <c r="C401" s="253" t="s">
        <v>1129</v>
      </c>
      <c r="D401" s="253" t="s">
        <v>481</v>
      </c>
      <c r="E401" s="253" t="s">
        <v>975</v>
      </c>
      <c r="F401" s="256">
        <v>5.0</v>
      </c>
      <c r="G401" s="256">
        <v>5.0</v>
      </c>
      <c r="H401" s="256">
        <v>0.0</v>
      </c>
      <c r="I401" s="256">
        <v>5.0</v>
      </c>
      <c r="J401" s="256">
        <v>5.0</v>
      </c>
      <c r="K401" s="256">
        <v>0.0</v>
      </c>
      <c r="L401" s="256">
        <v>6.0</v>
      </c>
      <c r="M401" s="256">
        <v>6.0</v>
      </c>
    </row>
    <row r="402">
      <c r="A402" s="256">
        <v>4501.0</v>
      </c>
      <c r="B402" s="253" t="s">
        <v>492</v>
      </c>
      <c r="C402" s="253" t="s">
        <v>1471</v>
      </c>
      <c r="D402" s="253" t="s">
        <v>930</v>
      </c>
      <c r="E402" s="253" t="s">
        <v>1005</v>
      </c>
      <c r="F402" s="256">
        <v>2.0</v>
      </c>
      <c r="G402" s="256">
        <v>3.0</v>
      </c>
      <c r="H402" s="256">
        <v>-1.0</v>
      </c>
      <c r="I402" s="256">
        <v>2.0</v>
      </c>
      <c r="J402" s="256">
        <v>3.0</v>
      </c>
      <c r="K402" s="256">
        <v>-1.0</v>
      </c>
      <c r="L402" s="256">
        <v>3.0</v>
      </c>
      <c r="M402" s="256">
        <v>3.0</v>
      </c>
    </row>
    <row r="403">
      <c r="A403" s="256">
        <v>6120.0</v>
      </c>
      <c r="B403" s="253" t="s">
        <v>477</v>
      </c>
      <c r="C403" s="253" t="s">
        <v>1472</v>
      </c>
      <c r="D403" s="253" t="s">
        <v>478</v>
      </c>
      <c r="E403" s="253" t="s">
        <v>1355</v>
      </c>
      <c r="F403" s="256">
        <v>9.0</v>
      </c>
      <c r="G403" s="256">
        <v>9.0</v>
      </c>
      <c r="H403" s="256">
        <v>0.0</v>
      </c>
      <c r="I403" s="256">
        <v>9.0</v>
      </c>
      <c r="J403" s="256">
        <v>9.0</v>
      </c>
      <c r="K403" s="256">
        <v>0.0</v>
      </c>
      <c r="L403" s="256">
        <v>27.0</v>
      </c>
      <c r="M403" s="256">
        <v>27.0</v>
      </c>
    </row>
    <row r="404">
      <c r="A404" s="254">
        <v>2765.0</v>
      </c>
      <c r="B404" s="255" t="s">
        <v>507</v>
      </c>
      <c r="C404" s="255" t="s">
        <v>73</v>
      </c>
      <c r="D404" s="255" t="s">
        <v>512</v>
      </c>
      <c r="E404" s="255" t="s">
        <v>1009</v>
      </c>
      <c r="F404" s="254">
        <v>6.0</v>
      </c>
      <c r="G404" s="254">
        <v>4.0</v>
      </c>
      <c r="H404" s="254">
        <v>2.0</v>
      </c>
      <c r="I404" s="254">
        <v>6.0</v>
      </c>
      <c r="J404" s="254">
        <v>4.0</v>
      </c>
      <c r="K404" s="254">
        <v>2.0</v>
      </c>
      <c r="L404" s="254">
        <v>10.0</v>
      </c>
      <c r="M404" s="254">
        <v>10.0</v>
      </c>
    </row>
    <row r="405">
      <c r="A405" s="256">
        <v>6227.0</v>
      </c>
      <c r="B405" s="253" t="s">
        <v>507</v>
      </c>
      <c r="C405" s="253" t="s">
        <v>738</v>
      </c>
      <c r="D405" s="253" t="s">
        <v>512</v>
      </c>
      <c r="E405" s="253" t="s">
        <v>991</v>
      </c>
      <c r="F405" s="256">
        <v>16.0</v>
      </c>
      <c r="G405" s="256">
        <v>16.0</v>
      </c>
      <c r="H405" s="256">
        <v>0.0</v>
      </c>
      <c r="I405" s="256">
        <v>15.0</v>
      </c>
      <c r="J405" s="256">
        <v>15.0</v>
      </c>
      <c r="K405" s="256">
        <v>0.0</v>
      </c>
      <c r="L405" s="256">
        <v>52.0</v>
      </c>
      <c r="M405" s="256">
        <v>48.0</v>
      </c>
    </row>
    <row r="406">
      <c r="A406" s="254">
        <v>5515.0</v>
      </c>
      <c r="B406" s="255" t="s">
        <v>507</v>
      </c>
      <c r="C406" s="255" t="s">
        <v>1132</v>
      </c>
      <c r="D406" s="255" t="s">
        <v>512</v>
      </c>
      <c r="E406" s="255" t="s">
        <v>972</v>
      </c>
      <c r="F406" s="254">
        <v>7.0</v>
      </c>
      <c r="G406" s="254">
        <v>8.0</v>
      </c>
      <c r="H406" s="254">
        <v>-1.0</v>
      </c>
      <c r="I406" s="254">
        <v>7.0</v>
      </c>
      <c r="J406" s="254">
        <v>8.0</v>
      </c>
      <c r="K406" s="254">
        <v>-1.0</v>
      </c>
      <c r="L406" s="254">
        <v>17.0</v>
      </c>
      <c r="M406" s="254">
        <v>17.0</v>
      </c>
    </row>
    <row r="407">
      <c r="A407" s="256">
        <v>4432.0</v>
      </c>
      <c r="B407" s="253" t="s">
        <v>480</v>
      </c>
      <c r="C407" s="253" t="s">
        <v>1473</v>
      </c>
      <c r="D407" s="253" t="s">
        <v>481</v>
      </c>
      <c r="E407" s="253" t="s">
        <v>1342</v>
      </c>
      <c r="F407" s="256">
        <v>1.0</v>
      </c>
      <c r="G407" s="256">
        <v>2.0</v>
      </c>
      <c r="H407" s="256">
        <v>-1.0</v>
      </c>
      <c r="I407" s="256">
        <v>1.0</v>
      </c>
      <c r="J407" s="256">
        <v>2.0</v>
      </c>
      <c r="K407" s="256">
        <v>-1.0</v>
      </c>
      <c r="L407" s="256">
        <v>7.0</v>
      </c>
      <c r="M407" s="256">
        <v>7.0</v>
      </c>
    </row>
    <row r="408">
      <c r="A408" s="256">
        <v>6462.0</v>
      </c>
      <c r="B408" s="253" t="s">
        <v>477</v>
      </c>
      <c r="C408" s="253" t="s">
        <v>864</v>
      </c>
      <c r="D408" s="253" t="s">
        <v>478</v>
      </c>
      <c r="E408" s="253" t="s">
        <v>993</v>
      </c>
      <c r="F408" s="256">
        <v>1.0</v>
      </c>
      <c r="G408" s="256">
        <v>1.0</v>
      </c>
      <c r="H408" s="256">
        <v>0.0</v>
      </c>
      <c r="I408" s="256">
        <v>1.0</v>
      </c>
      <c r="J408" s="256">
        <v>1.0</v>
      </c>
      <c r="K408" s="256">
        <v>0.0</v>
      </c>
      <c r="L408" s="256">
        <v>1.0</v>
      </c>
      <c r="M408" s="256">
        <v>1.0</v>
      </c>
    </row>
    <row r="409">
      <c r="A409" s="256">
        <v>5840.0</v>
      </c>
      <c r="B409" s="253" t="s">
        <v>480</v>
      </c>
      <c r="C409" s="253" t="s">
        <v>802</v>
      </c>
      <c r="D409" s="253" t="s">
        <v>931</v>
      </c>
      <c r="E409" s="253" t="s">
        <v>987</v>
      </c>
      <c r="F409" s="256">
        <v>7.0</v>
      </c>
      <c r="G409" s="256">
        <v>7.0</v>
      </c>
      <c r="H409" s="256">
        <v>0.0</v>
      </c>
      <c r="I409" s="256">
        <v>7.0</v>
      </c>
      <c r="J409" s="256">
        <v>7.0</v>
      </c>
      <c r="K409" s="256">
        <v>0.0</v>
      </c>
      <c r="L409" s="256">
        <v>24.0</v>
      </c>
      <c r="M409" s="256">
        <v>24.0</v>
      </c>
    </row>
    <row r="410">
      <c r="A410" s="256">
        <v>6218.0</v>
      </c>
      <c r="B410" s="253" t="s">
        <v>492</v>
      </c>
      <c r="C410" s="253" t="s">
        <v>705</v>
      </c>
      <c r="D410" s="253" t="s">
        <v>1137</v>
      </c>
      <c r="E410" s="253" t="s">
        <v>975</v>
      </c>
      <c r="F410" s="256">
        <v>5.0</v>
      </c>
      <c r="G410" s="256">
        <v>4.0</v>
      </c>
      <c r="H410" s="256">
        <v>1.0</v>
      </c>
      <c r="I410" s="256">
        <v>7.0</v>
      </c>
      <c r="J410" s="256">
        <v>7.0</v>
      </c>
      <c r="K410" s="256">
        <v>0.0</v>
      </c>
      <c r="L410" s="256">
        <v>12.0</v>
      </c>
      <c r="M410" s="256">
        <v>14.0</v>
      </c>
    </row>
    <row r="411">
      <c r="A411" s="256">
        <v>2167.0</v>
      </c>
      <c r="B411" s="253" t="s">
        <v>492</v>
      </c>
      <c r="C411" s="253" t="s">
        <v>670</v>
      </c>
      <c r="D411" s="253" t="s">
        <v>563</v>
      </c>
      <c r="E411" s="253" t="s">
        <v>1009</v>
      </c>
      <c r="F411" s="256">
        <v>19.0</v>
      </c>
      <c r="G411" s="256">
        <v>21.0</v>
      </c>
      <c r="H411" s="256">
        <v>-2.0</v>
      </c>
      <c r="I411" s="256">
        <v>18.0</v>
      </c>
      <c r="J411" s="256">
        <v>20.0</v>
      </c>
      <c r="K411" s="256">
        <v>-2.0</v>
      </c>
      <c r="L411" s="256">
        <v>91.0</v>
      </c>
      <c r="M411" s="256">
        <v>91.0</v>
      </c>
    </row>
    <row r="412">
      <c r="A412" s="256">
        <v>4661.0</v>
      </c>
      <c r="B412" s="253" t="s">
        <v>507</v>
      </c>
      <c r="C412" s="253" t="s">
        <v>950</v>
      </c>
      <c r="D412" s="253" t="s">
        <v>512</v>
      </c>
      <c r="E412" s="253" t="s">
        <v>987</v>
      </c>
      <c r="F412" s="256">
        <v>44.0</v>
      </c>
      <c r="G412" s="256">
        <v>43.0</v>
      </c>
      <c r="H412" s="256">
        <v>1.0</v>
      </c>
      <c r="I412" s="256">
        <v>44.0</v>
      </c>
      <c r="J412" s="256">
        <v>43.0</v>
      </c>
      <c r="K412" s="256">
        <v>1.0</v>
      </c>
      <c r="L412" s="256">
        <v>442.0</v>
      </c>
      <c r="M412" s="256">
        <v>438.0</v>
      </c>
    </row>
    <row r="413">
      <c r="A413" s="256">
        <v>5750.0</v>
      </c>
      <c r="B413" s="253" t="s">
        <v>480</v>
      </c>
      <c r="C413" s="253" t="s">
        <v>457</v>
      </c>
      <c r="D413" s="253" t="s">
        <v>481</v>
      </c>
      <c r="E413" s="253" t="s">
        <v>987</v>
      </c>
      <c r="F413" s="256">
        <v>3.0</v>
      </c>
      <c r="G413" s="256">
        <v>4.0</v>
      </c>
      <c r="H413" s="256">
        <v>-1.0</v>
      </c>
      <c r="I413" s="256">
        <v>3.0</v>
      </c>
      <c r="J413" s="256">
        <v>4.0</v>
      </c>
      <c r="K413" s="256">
        <v>-1.0</v>
      </c>
      <c r="L413" s="256">
        <v>9.0</v>
      </c>
      <c r="M413" s="256">
        <v>9.0</v>
      </c>
    </row>
    <row r="414">
      <c r="A414" s="256">
        <v>6061.0</v>
      </c>
      <c r="B414" s="253" t="s">
        <v>492</v>
      </c>
      <c r="C414" s="253" t="s">
        <v>1290</v>
      </c>
      <c r="D414" s="253" t="s">
        <v>1057</v>
      </c>
      <c r="E414" s="253" t="s">
        <v>998</v>
      </c>
      <c r="F414" s="256">
        <v>6.0</v>
      </c>
      <c r="G414" s="256">
        <v>6.0</v>
      </c>
      <c r="H414" s="256">
        <v>0.0</v>
      </c>
      <c r="I414" s="256">
        <v>5.0</v>
      </c>
      <c r="J414" s="256">
        <v>5.0</v>
      </c>
      <c r="K414" s="256">
        <v>0.0</v>
      </c>
      <c r="L414" s="256">
        <v>9.0</v>
      </c>
      <c r="M414" s="256">
        <v>8.0</v>
      </c>
    </row>
    <row r="415">
      <c r="A415" s="256">
        <v>6238.0</v>
      </c>
      <c r="B415" s="253" t="s">
        <v>480</v>
      </c>
      <c r="C415" s="253" t="s">
        <v>378</v>
      </c>
      <c r="D415" s="253" t="s">
        <v>954</v>
      </c>
      <c r="E415" s="253" t="s">
        <v>1342</v>
      </c>
      <c r="F415" s="256">
        <v>2.0</v>
      </c>
      <c r="G415" s="256">
        <v>1.0</v>
      </c>
      <c r="H415" s="256">
        <v>1.0</v>
      </c>
      <c r="I415" s="256">
        <v>2.0</v>
      </c>
      <c r="J415" s="256">
        <v>1.0</v>
      </c>
      <c r="K415" s="256">
        <v>1.0</v>
      </c>
      <c r="L415" s="256">
        <v>8.0</v>
      </c>
      <c r="M415" s="256">
        <v>12.0</v>
      </c>
    </row>
    <row r="416">
      <c r="A416" s="256">
        <v>543.0</v>
      </c>
      <c r="B416" s="253" t="s">
        <v>477</v>
      </c>
      <c r="C416" s="253" t="s">
        <v>1140</v>
      </c>
      <c r="D416" s="253" t="s">
        <v>478</v>
      </c>
      <c r="E416" s="253" t="s">
        <v>993</v>
      </c>
      <c r="F416" s="256">
        <v>1.0</v>
      </c>
      <c r="G416" s="256">
        <v>1.0</v>
      </c>
      <c r="H416" s="256">
        <v>0.0</v>
      </c>
      <c r="I416" s="256">
        <v>1.0</v>
      </c>
      <c r="J416" s="256">
        <v>1.0</v>
      </c>
      <c r="K416" s="256">
        <v>0.0</v>
      </c>
      <c r="L416" s="256">
        <v>1.0</v>
      </c>
      <c r="M416" s="256">
        <v>1.0</v>
      </c>
    </row>
    <row r="417">
      <c r="A417" s="256">
        <v>5824.0</v>
      </c>
      <c r="B417" s="253" t="s">
        <v>492</v>
      </c>
      <c r="C417" s="253" t="s">
        <v>1474</v>
      </c>
      <c r="D417" s="253" t="s">
        <v>947</v>
      </c>
      <c r="E417" s="253" t="s">
        <v>993</v>
      </c>
      <c r="F417" s="256">
        <v>1.0</v>
      </c>
      <c r="G417" s="256">
        <v>1.0</v>
      </c>
      <c r="H417" s="256">
        <v>0.0</v>
      </c>
      <c r="I417" s="256">
        <v>1.0</v>
      </c>
      <c r="J417" s="256">
        <v>1.0</v>
      </c>
      <c r="K417" s="256">
        <v>0.0</v>
      </c>
      <c r="L417" s="256">
        <v>1.0</v>
      </c>
      <c r="M417" s="256">
        <v>1.0</v>
      </c>
    </row>
    <row r="418">
      <c r="A418" s="256">
        <v>6420.0</v>
      </c>
      <c r="B418" s="253" t="s">
        <v>492</v>
      </c>
      <c r="C418" s="253" t="s">
        <v>1475</v>
      </c>
      <c r="D418" s="253" t="s">
        <v>934</v>
      </c>
      <c r="E418" s="253" t="s">
        <v>988</v>
      </c>
      <c r="F418" s="256">
        <v>1.0</v>
      </c>
      <c r="G418" s="256">
        <v>1.0</v>
      </c>
      <c r="H418" s="256">
        <v>0.0</v>
      </c>
      <c r="I418" s="256">
        <v>1.0</v>
      </c>
      <c r="J418" s="256">
        <v>1.0</v>
      </c>
      <c r="K418" s="256">
        <v>0.0</v>
      </c>
      <c r="L418" s="256">
        <v>1.0</v>
      </c>
      <c r="M418" s="256">
        <v>1.0</v>
      </c>
    </row>
    <row r="419">
      <c r="A419" s="256">
        <v>2181.0</v>
      </c>
      <c r="B419" s="253" t="s">
        <v>480</v>
      </c>
      <c r="C419" s="253" t="s">
        <v>1247</v>
      </c>
      <c r="D419" s="253" t="s">
        <v>481</v>
      </c>
      <c r="E419" s="253" t="s">
        <v>980</v>
      </c>
      <c r="F419" s="256">
        <v>6.0</v>
      </c>
      <c r="G419" s="256">
        <v>7.0</v>
      </c>
      <c r="H419" s="256">
        <v>-1.0</v>
      </c>
      <c r="I419" s="256">
        <v>6.0</v>
      </c>
      <c r="J419" s="256">
        <v>7.0</v>
      </c>
      <c r="K419" s="256">
        <v>-1.0</v>
      </c>
      <c r="L419" s="256">
        <v>8.0</v>
      </c>
      <c r="M419" s="256">
        <v>8.0</v>
      </c>
    </row>
    <row r="420">
      <c r="A420" s="256">
        <v>468.0</v>
      </c>
      <c r="B420" s="253" t="s">
        <v>492</v>
      </c>
      <c r="C420" s="253" t="s">
        <v>739</v>
      </c>
      <c r="D420" s="253" t="s">
        <v>930</v>
      </c>
      <c r="E420" s="253" t="s">
        <v>988</v>
      </c>
      <c r="F420" s="256">
        <v>7.0</v>
      </c>
      <c r="G420" s="256">
        <v>7.0</v>
      </c>
      <c r="H420" s="256">
        <v>0.0</v>
      </c>
      <c r="I420" s="256">
        <v>8.0</v>
      </c>
      <c r="J420" s="256">
        <v>8.0</v>
      </c>
      <c r="K420" s="256">
        <v>0.0</v>
      </c>
      <c r="L420" s="256">
        <v>13.0</v>
      </c>
      <c r="M420" s="256">
        <v>14.0</v>
      </c>
    </row>
    <row r="421">
      <c r="A421" s="256">
        <v>5449.0</v>
      </c>
      <c r="B421" s="253" t="s">
        <v>480</v>
      </c>
      <c r="C421" s="253" t="s">
        <v>635</v>
      </c>
      <c r="D421" s="253" t="s">
        <v>931</v>
      </c>
      <c r="E421" s="253" t="s">
        <v>1033</v>
      </c>
      <c r="F421" s="256">
        <v>7.0</v>
      </c>
      <c r="G421" s="256">
        <v>8.0</v>
      </c>
      <c r="H421" s="256">
        <v>-1.0</v>
      </c>
      <c r="I421" s="256">
        <v>7.0</v>
      </c>
      <c r="J421" s="256">
        <v>8.0</v>
      </c>
      <c r="K421" s="256">
        <v>-1.0</v>
      </c>
      <c r="L421" s="256">
        <v>20.0</v>
      </c>
      <c r="M421" s="256">
        <v>20.0</v>
      </c>
    </row>
    <row r="422">
      <c r="A422" s="256">
        <v>2077.0</v>
      </c>
      <c r="B422" s="253" t="s">
        <v>492</v>
      </c>
      <c r="C422" s="253" t="s">
        <v>803</v>
      </c>
      <c r="D422" s="253" t="s">
        <v>543</v>
      </c>
      <c r="E422" s="253" t="s">
        <v>980</v>
      </c>
      <c r="F422" s="256">
        <v>13.0</v>
      </c>
      <c r="G422" s="256">
        <v>14.0</v>
      </c>
      <c r="H422" s="256">
        <v>-1.0</v>
      </c>
      <c r="I422" s="256">
        <v>12.0</v>
      </c>
      <c r="J422" s="256">
        <v>13.0</v>
      </c>
      <c r="K422" s="256">
        <v>-1.0</v>
      </c>
      <c r="L422" s="256">
        <v>30.0</v>
      </c>
      <c r="M422" s="256">
        <v>25.0</v>
      </c>
    </row>
    <row r="423">
      <c r="A423" s="254">
        <v>6574.0</v>
      </c>
      <c r="B423" s="255" t="s">
        <v>480</v>
      </c>
      <c r="C423" s="255" t="s">
        <v>1476</v>
      </c>
      <c r="D423" s="255" t="s">
        <v>481</v>
      </c>
      <c r="E423" s="255" t="s">
        <v>1355</v>
      </c>
      <c r="F423" s="254">
        <v>3.0</v>
      </c>
      <c r="G423" s="254">
        <v>3.0</v>
      </c>
      <c r="H423" s="254">
        <v>0.0</v>
      </c>
      <c r="I423" s="254">
        <v>3.0</v>
      </c>
      <c r="J423" s="254">
        <v>3.0</v>
      </c>
      <c r="K423" s="254">
        <v>0.0</v>
      </c>
      <c r="L423" s="254">
        <v>6.0</v>
      </c>
      <c r="M423" s="254">
        <v>6.0</v>
      </c>
    </row>
    <row r="424">
      <c r="A424" s="256">
        <v>327.0</v>
      </c>
      <c r="B424" s="253" t="s">
        <v>480</v>
      </c>
      <c r="C424" s="253" t="s">
        <v>847</v>
      </c>
      <c r="D424" s="253" t="s">
        <v>937</v>
      </c>
      <c r="E424" s="253" t="s">
        <v>1000</v>
      </c>
      <c r="F424" s="256">
        <v>4.0</v>
      </c>
      <c r="G424" s="256">
        <v>5.0</v>
      </c>
      <c r="H424" s="256">
        <v>-1.0</v>
      </c>
      <c r="I424" s="256">
        <v>5.0</v>
      </c>
      <c r="J424" s="256">
        <v>6.0</v>
      </c>
      <c r="K424" s="256">
        <v>-1.0</v>
      </c>
      <c r="L424" s="256">
        <v>5.0</v>
      </c>
      <c r="M424" s="256">
        <v>6.0</v>
      </c>
    </row>
    <row r="425">
      <c r="A425" s="256">
        <v>4177.0</v>
      </c>
      <c r="B425" s="253" t="s">
        <v>480</v>
      </c>
      <c r="C425" s="253" t="s">
        <v>718</v>
      </c>
      <c r="D425" s="253" t="s">
        <v>937</v>
      </c>
      <c r="E425" s="253" t="s">
        <v>973</v>
      </c>
      <c r="F425" s="256">
        <v>14.0</v>
      </c>
      <c r="G425" s="256">
        <v>14.0</v>
      </c>
      <c r="H425" s="256">
        <v>0.0</v>
      </c>
      <c r="I425" s="256">
        <v>15.0</v>
      </c>
      <c r="J425" s="256">
        <v>15.0</v>
      </c>
      <c r="K425" s="256">
        <v>0.0</v>
      </c>
      <c r="L425" s="256">
        <v>48.0</v>
      </c>
      <c r="M425" s="256">
        <v>50.0</v>
      </c>
    </row>
    <row r="426">
      <c r="A426" s="256">
        <v>247.0</v>
      </c>
      <c r="B426" s="253" t="s">
        <v>507</v>
      </c>
      <c r="C426" s="253" t="s">
        <v>1142</v>
      </c>
      <c r="D426" s="253" t="s">
        <v>512</v>
      </c>
      <c r="E426" s="253" t="s">
        <v>975</v>
      </c>
      <c r="F426" s="256">
        <v>4.0</v>
      </c>
      <c r="G426" s="256">
        <v>4.0</v>
      </c>
      <c r="H426" s="256">
        <v>0.0</v>
      </c>
      <c r="I426" s="256">
        <v>3.0</v>
      </c>
      <c r="J426" s="256">
        <v>3.0</v>
      </c>
      <c r="K426" s="256">
        <v>0.0</v>
      </c>
      <c r="L426" s="256">
        <v>6.0</v>
      </c>
      <c r="M426" s="256">
        <v>4.0</v>
      </c>
    </row>
    <row r="427">
      <c r="A427" s="256">
        <v>6481.0</v>
      </c>
      <c r="B427" s="253" t="s">
        <v>492</v>
      </c>
      <c r="C427" s="253" t="s">
        <v>865</v>
      </c>
      <c r="D427" s="253" t="s">
        <v>934</v>
      </c>
      <c r="E427" s="253" t="s">
        <v>993</v>
      </c>
      <c r="F427" s="256">
        <v>5.0</v>
      </c>
      <c r="G427" s="256">
        <v>5.0</v>
      </c>
      <c r="H427" s="256">
        <v>0.0</v>
      </c>
      <c r="I427" s="256">
        <v>5.0</v>
      </c>
      <c r="J427" s="256">
        <v>5.0</v>
      </c>
      <c r="K427" s="256">
        <v>0.0</v>
      </c>
      <c r="L427" s="256">
        <v>8.0</v>
      </c>
      <c r="M427" s="256">
        <v>8.0</v>
      </c>
    </row>
    <row r="428">
      <c r="A428" s="256">
        <v>6426.0</v>
      </c>
      <c r="B428" s="253" t="s">
        <v>480</v>
      </c>
      <c r="C428" s="253" t="s">
        <v>1144</v>
      </c>
      <c r="D428" s="253" t="s">
        <v>938</v>
      </c>
      <c r="E428" s="253" t="s">
        <v>1005</v>
      </c>
      <c r="F428" s="256">
        <v>7.0</v>
      </c>
      <c r="G428" s="256">
        <v>7.0</v>
      </c>
      <c r="H428" s="256">
        <v>0.0</v>
      </c>
      <c r="I428" s="256">
        <v>7.0</v>
      </c>
      <c r="J428" s="256">
        <v>7.0</v>
      </c>
      <c r="K428" s="256">
        <v>0.0</v>
      </c>
      <c r="L428" s="256">
        <v>10.0</v>
      </c>
      <c r="M428" s="256">
        <v>10.0</v>
      </c>
    </row>
    <row r="429">
      <c r="A429" s="256">
        <v>2489.0</v>
      </c>
      <c r="B429" s="253" t="s">
        <v>507</v>
      </c>
      <c r="C429" s="253" t="s">
        <v>233</v>
      </c>
      <c r="D429" s="253" t="s">
        <v>507</v>
      </c>
      <c r="E429" s="253" t="s">
        <v>1000</v>
      </c>
      <c r="F429" s="256">
        <v>11.0</v>
      </c>
      <c r="G429" s="256">
        <v>12.0</v>
      </c>
      <c r="H429" s="256">
        <v>-1.0</v>
      </c>
      <c r="I429" s="256">
        <v>11.0</v>
      </c>
      <c r="J429" s="256">
        <v>12.0</v>
      </c>
      <c r="K429" s="256">
        <v>-1.0</v>
      </c>
      <c r="L429" s="256">
        <v>18.0</v>
      </c>
      <c r="M429" s="256">
        <v>18.0</v>
      </c>
    </row>
    <row r="430">
      <c r="A430" s="256">
        <v>510.0</v>
      </c>
      <c r="B430" s="253" t="s">
        <v>477</v>
      </c>
      <c r="C430" s="253" t="s">
        <v>1477</v>
      </c>
      <c r="D430" s="253" t="s">
        <v>478</v>
      </c>
      <c r="E430" s="253" t="s">
        <v>1005</v>
      </c>
      <c r="F430" s="256">
        <v>1.0</v>
      </c>
      <c r="G430" s="256">
        <v>1.0</v>
      </c>
      <c r="H430" s="256">
        <v>0.0</v>
      </c>
      <c r="I430" s="256">
        <v>1.0</v>
      </c>
      <c r="J430" s="256">
        <v>1.0</v>
      </c>
      <c r="K430" s="256">
        <v>0.0</v>
      </c>
      <c r="L430" s="256">
        <v>1.0</v>
      </c>
      <c r="M430" s="256">
        <v>1.0</v>
      </c>
    </row>
    <row r="431">
      <c r="A431" s="256">
        <v>2103.0</v>
      </c>
      <c r="B431" s="253" t="s">
        <v>507</v>
      </c>
      <c r="C431" s="253" t="s">
        <v>1245</v>
      </c>
      <c r="D431" s="253" t="s">
        <v>512</v>
      </c>
      <c r="E431" s="253" t="s">
        <v>972</v>
      </c>
      <c r="F431" s="256">
        <v>8.0</v>
      </c>
      <c r="G431" s="256">
        <v>8.0</v>
      </c>
      <c r="H431" s="256">
        <v>0.0</v>
      </c>
      <c r="I431" s="256">
        <v>7.0</v>
      </c>
      <c r="J431" s="256">
        <v>7.0</v>
      </c>
      <c r="K431" s="256">
        <v>0.0</v>
      </c>
      <c r="L431" s="256">
        <v>10.0</v>
      </c>
      <c r="M431" s="256">
        <v>7.0</v>
      </c>
    </row>
    <row r="432">
      <c r="A432" s="256">
        <v>530.0</v>
      </c>
      <c r="B432" s="253" t="s">
        <v>492</v>
      </c>
      <c r="C432" s="253" t="s">
        <v>281</v>
      </c>
      <c r="D432" s="253" t="s">
        <v>934</v>
      </c>
      <c r="E432" s="253" t="s">
        <v>988</v>
      </c>
      <c r="F432" s="256">
        <v>15.0</v>
      </c>
      <c r="G432" s="256">
        <v>16.0</v>
      </c>
      <c r="H432" s="256">
        <v>-1.0</v>
      </c>
      <c r="I432" s="256">
        <v>15.0</v>
      </c>
      <c r="J432" s="256">
        <v>16.0</v>
      </c>
      <c r="K432" s="256">
        <v>-1.0</v>
      </c>
      <c r="L432" s="256">
        <v>62.0</v>
      </c>
      <c r="M432" s="256">
        <v>66.0</v>
      </c>
    </row>
    <row r="433">
      <c r="A433" s="256">
        <v>2728.0</v>
      </c>
      <c r="B433" s="253" t="s">
        <v>480</v>
      </c>
      <c r="C433" s="253" t="s">
        <v>1145</v>
      </c>
      <c r="D433" s="253" t="s">
        <v>931</v>
      </c>
      <c r="E433" s="253" t="s">
        <v>1000</v>
      </c>
      <c r="F433" s="256">
        <v>4.0</v>
      </c>
      <c r="G433" s="256">
        <v>4.0</v>
      </c>
      <c r="H433" s="256">
        <v>0.0</v>
      </c>
      <c r="I433" s="256">
        <v>4.0</v>
      </c>
      <c r="J433" s="256">
        <v>4.0</v>
      </c>
      <c r="K433" s="256">
        <v>0.0</v>
      </c>
      <c r="L433" s="256">
        <v>8.0</v>
      </c>
      <c r="M433" s="256">
        <v>8.0</v>
      </c>
    </row>
    <row r="434">
      <c r="A434" s="256">
        <v>6460.0</v>
      </c>
      <c r="B434" s="253" t="s">
        <v>480</v>
      </c>
      <c r="C434" s="253" t="s">
        <v>1478</v>
      </c>
      <c r="D434" s="253" t="s">
        <v>481</v>
      </c>
      <c r="E434" s="253" t="s">
        <v>991</v>
      </c>
      <c r="F434" s="256">
        <v>1.0</v>
      </c>
      <c r="G434" s="256">
        <v>1.0</v>
      </c>
      <c r="H434" s="256">
        <v>0.0</v>
      </c>
      <c r="I434" s="256">
        <v>1.0</v>
      </c>
      <c r="J434" s="256">
        <v>1.0</v>
      </c>
      <c r="K434" s="256">
        <v>0.0</v>
      </c>
      <c r="L434" s="256">
        <v>1.0</v>
      </c>
      <c r="M434" s="256">
        <v>1.0</v>
      </c>
    </row>
    <row r="435">
      <c r="A435" s="256">
        <v>729.0</v>
      </c>
      <c r="B435" s="253" t="s">
        <v>480</v>
      </c>
      <c r="C435" s="253" t="s">
        <v>724</v>
      </c>
      <c r="D435" s="253" t="s">
        <v>938</v>
      </c>
      <c r="E435" s="253" t="s">
        <v>1225</v>
      </c>
      <c r="F435" s="256">
        <v>1.0</v>
      </c>
      <c r="G435" s="256">
        <v>1.0</v>
      </c>
      <c r="H435" s="256">
        <v>0.0</v>
      </c>
      <c r="I435" s="256">
        <v>1.0</v>
      </c>
      <c r="J435" s="256">
        <v>1.0</v>
      </c>
      <c r="K435" s="256">
        <v>0.0</v>
      </c>
      <c r="L435" s="256">
        <v>1.0</v>
      </c>
      <c r="M435" s="256">
        <v>1.0</v>
      </c>
    </row>
    <row r="436">
      <c r="A436" s="254">
        <v>302.0</v>
      </c>
      <c r="B436" s="255" t="s">
        <v>492</v>
      </c>
      <c r="C436" s="255" t="s">
        <v>1479</v>
      </c>
      <c r="D436" s="255" t="s">
        <v>1056</v>
      </c>
      <c r="E436" s="255" t="s">
        <v>993</v>
      </c>
      <c r="F436" s="254">
        <v>17.0</v>
      </c>
      <c r="G436" s="254">
        <v>13.0</v>
      </c>
      <c r="H436" s="254">
        <v>4.0</v>
      </c>
      <c r="I436" s="254">
        <v>18.0</v>
      </c>
      <c r="J436" s="254">
        <v>14.0</v>
      </c>
      <c r="K436" s="254">
        <v>4.0</v>
      </c>
      <c r="L436" s="254">
        <v>57.0</v>
      </c>
      <c r="M436" s="254">
        <v>62.0</v>
      </c>
    </row>
    <row r="437">
      <c r="A437" s="256">
        <v>5677.0</v>
      </c>
      <c r="B437" s="253" t="s">
        <v>480</v>
      </c>
      <c r="C437" s="253" t="s">
        <v>1480</v>
      </c>
      <c r="D437" s="253" t="s">
        <v>481</v>
      </c>
      <c r="E437" s="253" t="s">
        <v>993</v>
      </c>
      <c r="F437" s="256">
        <v>9.0</v>
      </c>
      <c r="G437" s="256">
        <v>9.0</v>
      </c>
      <c r="H437" s="256">
        <v>0.0</v>
      </c>
      <c r="I437" s="256">
        <v>9.0</v>
      </c>
      <c r="J437" s="256">
        <v>9.0</v>
      </c>
      <c r="K437" s="256">
        <v>0.0</v>
      </c>
      <c r="L437" s="256">
        <v>12.0</v>
      </c>
      <c r="M437" s="256">
        <v>12.0</v>
      </c>
    </row>
    <row r="438">
      <c r="A438" s="256">
        <v>511.0</v>
      </c>
      <c r="B438" s="253" t="s">
        <v>477</v>
      </c>
      <c r="C438" s="253" t="s">
        <v>1148</v>
      </c>
      <c r="D438" s="253" t="s">
        <v>478</v>
      </c>
      <c r="E438" s="253" t="s">
        <v>983</v>
      </c>
      <c r="F438" s="256">
        <v>1.0</v>
      </c>
      <c r="G438" s="256">
        <v>1.0</v>
      </c>
      <c r="H438" s="256">
        <v>0.0</v>
      </c>
      <c r="I438" s="256">
        <v>1.0</v>
      </c>
      <c r="J438" s="256">
        <v>1.0</v>
      </c>
      <c r="K438" s="256">
        <v>0.0</v>
      </c>
      <c r="L438" s="256">
        <v>1.0</v>
      </c>
      <c r="M438" s="256">
        <v>1.0</v>
      </c>
    </row>
    <row r="439">
      <c r="A439" s="256">
        <v>218.0</v>
      </c>
      <c r="B439" s="253" t="s">
        <v>477</v>
      </c>
      <c r="C439" s="253" t="s">
        <v>804</v>
      </c>
      <c r="D439" s="253" t="s">
        <v>478</v>
      </c>
      <c r="E439" s="253" t="s">
        <v>976</v>
      </c>
      <c r="F439" s="256">
        <v>3.0</v>
      </c>
      <c r="G439" s="256">
        <v>1.0</v>
      </c>
      <c r="H439" s="256">
        <v>2.0</v>
      </c>
      <c r="I439" s="256">
        <v>3.0</v>
      </c>
      <c r="J439" s="256">
        <v>1.0</v>
      </c>
      <c r="K439" s="256">
        <v>2.0</v>
      </c>
      <c r="L439" s="256">
        <v>5.0</v>
      </c>
      <c r="M439" s="256">
        <v>5.0</v>
      </c>
    </row>
    <row r="440">
      <c r="A440" s="256">
        <v>673.0</v>
      </c>
      <c r="B440" s="253" t="s">
        <v>477</v>
      </c>
      <c r="C440" s="253" t="s">
        <v>1235</v>
      </c>
      <c r="D440" s="253" t="s">
        <v>478</v>
      </c>
      <c r="E440" s="253" t="s">
        <v>1222</v>
      </c>
      <c r="F440" s="256">
        <v>1.0</v>
      </c>
      <c r="G440" s="256">
        <v>2.0</v>
      </c>
      <c r="H440" s="256">
        <v>-1.0</v>
      </c>
      <c r="I440" s="256">
        <v>1.0</v>
      </c>
      <c r="J440" s="256">
        <v>2.0</v>
      </c>
      <c r="K440" s="256">
        <v>-1.0</v>
      </c>
      <c r="L440" s="256">
        <v>1.0</v>
      </c>
      <c r="M440" s="256">
        <v>1.0</v>
      </c>
    </row>
    <row r="441">
      <c r="A441" s="256">
        <v>2741.0</v>
      </c>
      <c r="B441" s="253" t="s">
        <v>492</v>
      </c>
      <c r="C441" s="253" t="s">
        <v>819</v>
      </c>
      <c r="D441" s="253" t="s">
        <v>934</v>
      </c>
      <c r="E441" s="253" t="s">
        <v>1225</v>
      </c>
      <c r="F441" s="256">
        <v>13.0</v>
      </c>
      <c r="G441" s="256">
        <v>14.0</v>
      </c>
      <c r="H441" s="256">
        <v>-1.0</v>
      </c>
      <c r="I441" s="256">
        <v>13.0</v>
      </c>
      <c r="J441" s="256">
        <v>14.0</v>
      </c>
      <c r="K441" s="256">
        <v>-1.0</v>
      </c>
      <c r="L441" s="256">
        <v>40.0</v>
      </c>
      <c r="M441" s="256">
        <v>40.0</v>
      </c>
    </row>
    <row r="442">
      <c r="A442" s="256">
        <v>383.0</v>
      </c>
      <c r="B442" s="253" t="s">
        <v>507</v>
      </c>
      <c r="C442" s="253" t="s">
        <v>1229</v>
      </c>
      <c r="D442" s="253" t="s">
        <v>512</v>
      </c>
      <c r="E442" s="253" t="s">
        <v>975</v>
      </c>
      <c r="F442" s="256">
        <v>12.0</v>
      </c>
      <c r="G442" s="256">
        <v>13.0</v>
      </c>
      <c r="H442" s="256">
        <v>-1.0</v>
      </c>
      <c r="I442" s="256">
        <v>12.0</v>
      </c>
      <c r="J442" s="256">
        <v>13.0</v>
      </c>
      <c r="K442" s="256">
        <v>-1.0</v>
      </c>
      <c r="L442" s="256">
        <v>32.0</v>
      </c>
      <c r="M442" s="256">
        <v>27.0</v>
      </c>
    </row>
    <row r="443">
      <c r="A443" s="256">
        <v>770.0</v>
      </c>
      <c r="B443" s="253" t="s">
        <v>480</v>
      </c>
      <c r="C443" s="253" t="s">
        <v>801</v>
      </c>
      <c r="D443" s="253" t="s">
        <v>931</v>
      </c>
      <c r="E443" s="253" t="s">
        <v>1222</v>
      </c>
      <c r="F443" s="256">
        <v>5.0</v>
      </c>
      <c r="G443" s="256">
        <v>5.0</v>
      </c>
      <c r="H443" s="256">
        <v>0.0</v>
      </c>
      <c r="I443" s="256">
        <v>5.0</v>
      </c>
      <c r="J443" s="256">
        <v>5.0</v>
      </c>
      <c r="K443" s="256">
        <v>0.0</v>
      </c>
      <c r="L443" s="256">
        <v>5.0</v>
      </c>
      <c r="M443" s="256">
        <v>5.0</v>
      </c>
    </row>
    <row r="444">
      <c r="A444" s="256">
        <v>4359.0</v>
      </c>
      <c r="B444" s="253" t="s">
        <v>507</v>
      </c>
      <c r="C444" s="253" t="s">
        <v>767</v>
      </c>
      <c r="D444" s="253" t="s">
        <v>512</v>
      </c>
      <c r="E444" s="253" t="s">
        <v>998</v>
      </c>
      <c r="F444" s="256">
        <v>7.0</v>
      </c>
      <c r="G444" s="256">
        <v>7.0</v>
      </c>
      <c r="H444" s="256">
        <v>0.0</v>
      </c>
      <c r="I444" s="256">
        <v>6.0</v>
      </c>
      <c r="J444" s="256">
        <v>6.0</v>
      </c>
      <c r="K444" s="256">
        <v>0.0</v>
      </c>
      <c r="L444" s="256">
        <v>8.0</v>
      </c>
      <c r="M444" s="256">
        <v>7.0</v>
      </c>
    </row>
    <row r="445">
      <c r="A445" s="254">
        <v>6549.0</v>
      </c>
      <c r="B445" s="255" t="s">
        <v>507</v>
      </c>
      <c r="C445" s="255" t="s">
        <v>764</v>
      </c>
      <c r="D445" s="255" t="s">
        <v>507</v>
      </c>
      <c r="E445" s="255" t="s">
        <v>998</v>
      </c>
      <c r="F445" s="254">
        <v>2.0</v>
      </c>
      <c r="G445" s="254">
        <v>2.0</v>
      </c>
      <c r="H445" s="254">
        <v>0.0</v>
      </c>
      <c r="I445" s="254">
        <v>2.0</v>
      </c>
      <c r="J445" s="254">
        <v>2.0</v>
      </c>
      <c r="K445" s="254">
        <v>0.0</v>
      </c>
      <c r="L445" s="254">
        <v>7.0</v>
      </c>
      <c r="M445" s="254">
        <v>7.0</v>
      </c>
    </row>
    <row r="446">
      <c r="A446" s="256">
        <v>6432.0</v>
      </c>
      <c r="B446" s="253" t="s">
        <v>480</v>
      </c>
      <c r="C446" s="253" t="s">
        <v>1481</v>
      </c>
      <c r="D446" s="253" t="s">
        <v>944</v>
      </c>
      <c r="E446" s="253" t="s">
        <v>1033</v>
      </c>
      <c r="F446" s="256">
        <v>1.0</v>
      </c>
      <c r="G446" s="256">
        <v>1.0</v>
      </c>
      <c r="H446" s="256">
        <v>0.0</v>
      </c>
      <c r="I446" s="256">
        <v>1.0</v>
      </c>
      <c r="J446" s="256">
        <v>2.0</v>
      </c>
      <c r="K446" s="256">
        <v>-1.0</v>
      </c>
      <c r="L446" s="256">
        <v>2.0</v>
      </c>
      <c r="M446" s="256">
        <v>3.0</v>
      </c>
    </row>
    <row r="447">
      <c r="A447" s="256">
        <v>2038.0</v>
      </c>
      <c r="B447" s="253" t="s">
        <v>507</v>
      </c>
      <c r="C447" s="253" t="s">
        <v>740</v>
      </c>
      <c r="D447" s="253" t="s">
        <v>512</v>
      </c>
      <c r="E447" s="253" t="s">
        <v>1005</v>
      </c>
      <c r="F447" s="256">
        <v>13.0</v>
      </c>
      <c r="G447" s="256">
        <v>13.0</v>
      </c>
      <c r="H447" s="256">
        <v>0.0</v>
      </c>
      <c r="I447" s="256">
        <v>12.0</v>
      </c>
      <c r="J447" s="256">
        <v>12.0</v>
      </c>
      <c r="K447" s="256">
        <v>0.0</v>
      </c>
      <c r="L447" s="256">
        <v>57.0</v>
      </c>
      <c r="M447" s="256">
        <v>55.0</v>
      </c>
    </row>
    <row r="448">
      <c r="A448" s="256">
        <v>1930.0</v>
      </c>
      <c r="B448" s="253" t="s">
        <v>477</v>
      </c>
      <c r="C448" s="253" t="s">
        <v>805</v>
      </c>
      <c r="D448" s="253" t="s">
        <v>478</v>
      </c>
      <c r="E448" s="253" t="s">
        <v>976</v>
      </c>
      <c r="F448" s="256">
        <v>1.0</v>
      </c>
      <c r="G448" s="256">
        <v>1.0</v>
      </c>
      <c r="H448" s="256">
        <v>0.0</v>
      </c>
      <c r="I448" s="256">
        <v>1.0</v>
      </c>
      <c r="J448" s="256">
        <v>1.0</v>
      </c>
      <c r="K448" s="256">
        <v>0.0</v>
      </c>
      <c r="L448" s="256">
        <v>1.0</v>
      </c>
      <c r="M448" s="256">
        <v>1.0</v>
      </c>
    </row>
    <row r="449">
      <c r="A449" s="256">
        <v>4897.0</v>
      </c>
      <c r="B449" s="253" t="s">
        <v>480</v>
      </c>
      <c r="C449" s="253" t="s">
        <v>1482</v>
      </c>
      <c r="D449" s="253" t="s">
        <v>481</v>
      </c>
      <c r="E449" s="253" t="s">
        <v>1355</v>
      </c>
      <c r="F449" s="256">
        <v>5.0</v>
      </c>
      <c r="G449" s="256">
        <v>5.0</v>
      </c>
      <c r="H449" s="256">
        <v>0.0</v>
      </c>
      <c r="I449" s="256">
        <v>5.0</v>
      </c>
      <c r="J449" s="256">
        <v>5.0</v>
      </c>
      <c r="K449" s="256">
        <v>0.0</v>
      </c>
      <c r="L449" s="256">
        <v>10.0</v>
      </c>
      <c r="M449" s="256">
        <v>10.0</v>
      </c>
    </row>
    <row r="450">
      <c r="A450" s="254">
        <v>6190.0</v>
      </c>
      <c r="B450" s="255" t="s">
        <v>492</v>
      </c>
      <c r="C450" s="255" t="s">
        <v>189</v>
      </c>
      <c r="D450" s="255" t="s">
        <v>492</v>
      </c>
      <c r="E450" s="255" t="s">
        <v>988</v>
      </c>
      <c r="F450" s="254">
        <v>1.0</v>
      </c>
      <c r="G450" s="254">
        <v>1.0</v>
      </c>
      <c r="H450" s="254">
        <v>0.0</v>
      </c>
      <c r="I450" s="254">
        <v>1.0</v>
      </c>
      <c r="J450" s="254">
        <v>1.0</v>
      </c>
      <c r="K450" s="254">
        <v>0.0</v>
      </c>
      <c r="L450" s="254">
        <v>1.0</v>
      </c>
      <c r="M450" s="254">
        <v>1.0</v>
      </c>
    </row>
    <row r="451">
      <c r="A451" s="256">
        <v>5298.0</v>
      </c>
      <c r="B451" s="253" t="s">
        <v>492</v>
      </c>
      <c r="C451" s="253" t="s">
        <v>829</v>
      </c>
      <c r="D451" s="253" t="s">
        <v>492</v>
      </c>
      <c r="E451" s="253" t="s">
        <v>991</v>
      </c>
      <c r="F451" s="256">
        <v>6.0</v>
      </c>
      <c r="G451" s="256">
        <v>5.0</v>
      </c>
      <c r="H451" s="256">
        <v>1.0</v>
      </c>
      <c r="I451" s="256">
        <v>5.0</v>
      </c>
      <c r="J451" s="256">
        <v>4.0</v>
      </c>
      <c r="K451" s="256">
        <v>1.0</v>
      </c>
      <c r="L451" s="256">
        <v>8.0</v>
      </c>
      <c r="M451" s="256">
        <v>8.0</v>
      </c>
    </row>
    <row r="452">
      <c r="A452" s="256">
        <v>303.0</v>
      </c>
      <c r="B452" s="253" t="s">
        <v>492</v>
      </c>
      <c r="C452" s="253" t="s">
        <v>1483</v>
      </c>
      <c r="D452" s="253" t="s">
        <v>934</v>
      </c>
      <c r="E452" s="253" t="s">
        <v>976</v>
      </c>
      <c r="F452" s="256">
        <v>12.0</v>
      </c>
      <c r="G452" s="256">
        <v>12.0</v>
      </c>
      <c r="H452" s="256">
        <v>0.0</v>
      </c>
      <c r="I452" s="256">
        <v>12.0</v>
      </c>
      <c r="J452" s="256">
        <v>12.0</v>
      </c>
      <c r="K452" s="256">
        <v>0.0</v>
      </c>
      <c r="L452" s="256">
        <v>28.0</v>
      </c>
      <c r="M452" s="256">
        <v>28.0</v>
      </c>
    </row>
    <row r="453">
      <c r="A453" s="256">
        <v>536.0</v>
      </c>
      <c r="B453" s="253" t="s">
        <v>492</v>
      </c>
      <c r="C453" s="253" t="s">
        <v>887</v>
      </c>
      <c r="D453" s="253" t="s">
        <v>563</v>
      </c>
      <c r="E453" s="253" t="s">
        <v>987</v>
      </c>
      <c r="F453" s="256">
        <v>15.0</v>
      </c>
      <c r="G453" s="256">
        <v>14.0</v>
      </c>
      <c r="H453" s="256">
        <v>1.0</v>
      </c>
      <c r="I453" s="256">
        <v>14.0</v>
      </c>
      <c r="J453" s="256">
        <v>13.0</v>
      </c>
      <c r="K453" s="256">
        <v>1.0</v>
      </c>
      <c r="L453" s="256">
        <v>66.0</v>
      </c>
      <c r="M453" s="256">
        <v>60.0</v>
      </c>
    </row>
    <row r="454">
      <c r="A454" s="256">
        <v>5603.0</v>
      </c>
      <c r="B454" s="253" t="s">
        <v>480</v>
      </c>
      <c r="C454" s="253" t="s">
        <v>706</v>
      </c>
      <c r="D454" s="253" t="s">
        <v>481</v>
      </c>
      <c r="E454" s="253" t="s">
        <v>998</v>
      </c>
      <c r="F454" s="256">
        <v>5.0</v>
      </c>
      <c r="G454" s="256">
        <v>5.0</v>
      </c>
      <c r="H454" s="256">
        <v>0.0</v>
      </c>
      <c r="I454" s="256">
        <v>5.0</v>
      </c>
      <c r="J454" s="256">
        <v>5.0</v>
      </c>
      <c r="K454" s="256">
        <v>0.0</v>
      </c>
      <c r="L454" s="256">
        <v>6.0</v>
      </c>
      <c r="M454" s="256">
        <v>6.0</v>
      </c>
    </row>
    <row r="455">
      <c r="A455" s="256">
        <v>6210.0</v>
      </c>
      <c r="B455" s="253" t="s">
        <v>477</v>
      </c>
      <c r="C455" s="253" t="s">
        <v>1156</v>
      </c>
      <c r="D455" s="253" t="s">
        <v>478</v>
      </c>
      <c r="E455" s="253" t="s">
        <v>972</v>
      </c>
      <c r="F455" s="256">
        <v>1.0</v>
      </c>
      <c r="G455" s="256">
        <v>1.0</v>
      </c>
      <c r="H455" s="256">
        <v>0.0</v>
      </c>
      <c r="I455" s="256">
        <v>1.0</v>
      </c>
      <c r="J455" s="256">
        <v>1.0</v>
      </c>
      <c r="K455" s="256">
        <v>0.0</v>
      </c>
      <c r="L455" s="256">
        <v>1.0</v>
      </c>
      <c r="M455" s="256">
        <v>1.0</v>
      </c>
    </row>
    <row r="456">
      <c r="A456" s="254">
        <v>6563.0</v>
      </c>
      <c r="B456" s="255" t="s">
        <v>492</v>
      </c>
      <c r="C456" s="255" t="s">
        <v>1484</v>
      </c>
      <c r="D456" s="255" t="s">
        <v>543</v>
      </c>
      <c r="E456" s="255" t="s">
        <v>1225</v>
      </c>
      <c r="F456" s="254">
        <v>1.0</v>
      </c>
      <c r="G456" s="254">
        <v>1.0</v>
      </c>
      <c r="H456" s="254">
        <v>0.0</v>
      </c>
      <c r="I456" s="254">
        <v>1.0</v>
      </c>
      <c r="J456" s="254">
        <v>1.0</v>
      </c>
      <c r="K456" s="254">
        <v>0.0</v>
      </c>
      <c r="L456" s="254">
        <v>5.0</v>
      </c>
      <c r="M456" s="254">
        <v>5.0</v>
      </c>
    </row>
    <row r="457">
      <c r="A457" s="256">
        <v>6066.0</v>
      </c>
      <c r="B457" s="253" t="s">
        <v>480</v>
      </c>
      <c r="C457" s="253" t="s">
        <v>346</v>
      </c>
      <c r="D457" s="253" t="s">
        <v>937</v>
      </c>
      <c r="E457" s="253" t="s">
        <v>1009</v>
      </c>
      <c r="F457" s="256">
        <v>15.0</v>
      </c>
      <c r="G457" s="256">
        <v>16.0</v>
      </c>
      <c r="H457" s="256">
        <v>-1.0</v>
      </c>
      <c r="I457" s="256">
        <v>17.0</v>
      </c>
      <c r="J457" s="256">
        <v>18.0</v>
      </c>
      <c r="K457" s="256">
        <v>-1.0</v>
      </c>
      <c r="L457" s="256">
        <v>46.0</v>
      </c>
      <c r="M457" s="256">
        <v>50.0</v>
      </c>
    </row>
    <row r="458">
      <c r="A458" s="256">
        <v>6424.0</v>
      </c>
      <c r="B458" s="253" t="s">
        <v>492</v>
      </c>
      <c r="C458" s="253" t="s">
        <v>643</v>
      </c>
      <c r="D458" s="253" t="s">
        <v>930</v>
      </c>
      <c r="E458" s="253" t="s">
        <v>975</v>
      </c>
      <c r="F458" s="256">
        <v>1.0</v>
      </c>
      <c r="G458" s="256">
        <v>2.0</v>
      </c>
      <c r="H458" s="256">
        <v>-1.0</v>
      </c>
      <c r="I458" s="256">
        <v>2.0</v>
      </c>
      <c r="J458" s="256">
        <v>3.0</v>
      </c>
      <c r="K458" s="256">
        <v>-1.0</v>
      </c>
      <c r="L458" s="256">
        <v>4.0</v>
      </c>
      <c r="M458" s="256">
        <v>5.0</v>
      </c>
    </row>
    <row r="459">
      <c r="A459" s="256">
        <v>2814.0</v>
      </c>
      <c r="B459" s="253" t="s">
        <v>477</v>
      </c>
      <c r="C459" s="253" t="s">
        <v>347</v>
      </c>
      <c r="D459" s="253" t="s">
        <v>478</v>
      </c>
      <c r="E459" s="253" t="s">
        <v>1000</v>
      </c>
      <c r="F459" s="256">
        <v>15.0</v>
      </c>
      <c r="G459" s="256">
        <v>16.0</v>
      </c>
      <c r="H459" s="256">
        <v>-1.0</v>
      </c>
      <c r="I459" s="256">
        <v>15.0</v>
      </c>
      <c r="J459" s="256">
        <v>16.0</v>
      </c>
      <c r="K459" s="256">
        <v>-1.0</v>
      </c>
      <c r="L459" s="256">
        <v>60.0</v>
      </c>
      <c r="M459" s="256">
        <v>60.0</v>
      </c>
    </row>
    <row r="460">
      <c r="A460" s="256">
        <v>2423.0</v>
      </c>
      <c r="B460" s="253" t="s">
        <v>492</v>
      </c>
      <c r="C460" s="253" t="s">
        <v>125</v>
      </c>
      <c r="D460" s="253" t="s">
        <v>947</v>
      </c>
      <c r="E460" s="253" t="s">
        <v>991</v>
      </c>
      <c r="F460" s="256">
        <v>20.0</v>
      </c>
      <c r="G460" s="256">
        <v>18.0</v>
      </c>
      <c r="H460" s="256">
        <v>2.0</v>
      </c>
      <c r="I460" s="256">
        <v>19.0</v>
      </c>
      <c r="J460" s="256">
        <v>17.0</v>
      </c>
      <c r="K460" s="256">
        <v>2.0</v>
      </c>
      <c r="L460" s="256">
        <v>126.0</v>
      </c>
      <c r="M460" s="256">
        <v>120.0</v>
      </c>
    </row>
    <row r="461">
      <c r="A461" s="256">
        <v>281.0</v>
      </c>
      <c r="B461" s="253" t="s">
        <v>507</v>
      </c>
      <c r="C461" s="253" t="s">
        <v>1485</v>
      </c>
      <c r="D461" s="253" t="s">
        <v>512</v>
      </c>
      <c r="E461" s="253" t="s">
        <v>1026</v>
      </c>
      <c r="F461" s="256">
        <v>1.0</v>
      </c>
      <c r="G461" s="256">
        <v>2.0</v>
      </c>
      <c r="H461" s="256">
        <v>-1.0</v>
      </c>
      <c r="I461" s="256">
        <v>1.0</v>
      </c>
      <c r="J461" s="256">
        <v>1.0</v>
      </c>
      <c r="K461" s="256">
        <v>0.0</v>
      </c>
      <c r="L461" s="256">
        <v>2.0</v>
      </c>
      <c r="M461" s="256">
        <v>1.0</v>
      </c>
    </row>
    <row r="462">
      <c r="A462" s="256">
        <v>4787.0</v>
      </c>
      <c r="B462" s="253" t="s">
        <v>492</v>
      </c>
      <c r="C462" s="253" t="s">
        <v>1486</v>
      </c>
      <c r="D462" s="253" t="s">
        <v>1038</v>
      </c>
      <c r="E462" s="253" t="s">
        <v>993</v>
      </c>
      <c r="F462" s="256">
        <v>3.0</v>
      </c>
      <c r="G462" s="256">
        <v>4.0</v>
      </c>
      <c r="H462" s="256">
        <v>-1.0</v>
      </c>
      <c r="I462" s="256">
        <v>4.0</v>
      </c>
      <c r="J462" s="256">
        <v>5.0</v>
      </c>
      <c r="K462" s="256">
        <v>-1.0</v>
      </c>
      <c r="L462" s="256">
        <v>4.0</v>
      </c>
      <c r="M462" s="256">
        <v>6.0</v>
      </c>
    </row>
    <row r="463">
      <c r="A463" s="256">
        <v>2379.0</v>
      </c>
      <c r="B463" s="253" t="s">
        <v>492</v>
      </c>
      <c r="C463" s="253" t="s">
        <v>945</v>
      </c>
      <c r="D463" s="253" t="s">
        <v>492</v>
      </c>
      <c r="E463" s="253" t="s">
        <v>976</v>
      </c>
      <c r="F463" s="256">
        <v>22.0</v>
      </c>
      <c r="G463" s="256">
        <v>22.0</v>
      </c>
      <c r="H463" s="256">
        <v>0.0</v>
      </c>
      <c r="I463" s="256">
        <v>22.0</v>
      </c>
      <c r="J463" s="256">
        <v>22.0</v>
      </c>
      <c r="K463" s="256">
        <v>0.0</v>
      </c>
      <c r="L463" s="256">
        <v>96.0</v>
      </c>
      <c r="M463" s="256">
        <v>96.0</v>
      </c>
    </row>
    <row r="464">
      <c r="A464" s="256">
        <v>5267.0</v>
      </c>
      <c r="B464" s="253" t="s">
        <v>492</v>
      </c>
      <c r="C464" s="253" t="s">
        <v>1487</v>
      </c>
      <c r="D464" s="253" t="s">
        <v>930</v>
      </c>
      <c r="E464" s="253" t="s">
        <v>1005</v>
      </c>
      <c r="F464" s="256">
        <v>4.0</v>
      </c>
      <c r="G464" s="256">
        <v>4.0</v>
      </c>
      <c r="H464" s="256">
        <v>0.0</v>
      </c>
      <c r="I464" s="256">
        <v>5.0</v>
      </c>
      <c r="J464" s="256">
        <v>5.0</v>
      </c>
      <c r="K464" s="256">
        <v>0.0</v>
      </c>
      <c r="L464" s="256">
        <v>8.0</v>
      </c>
      <c r="M464" s="256">
        <v>10.0</v>
      </c>
    </row>
    <row r="465">
      <c r="A465" s="256">
        <v>5063.0</v>
      </c>
      <c r="B465" s="253" t="s">
        <v>492</v>
      </c>
      <c r="C465" s="253" t="s">
        <v>1488</v>
      </c>
      <c r="D465" s="253" t="s">
        <v>563</v>
      </c>
      <c r="E465" s="253" t="s">
        <v>972</v>
      </c>
      <c r="F465" s="256">
        <v>12.0</v>
      </c>
      <c r="G465" s="256">
        <v>11.0</v>
      </c>
      <c r="H465" s="256">
        <v>1.0</v>
      </c>
      <c r="I465" s="256">
        <v>11.0</v>
      </c>
      <c r="J465" s="256">
        <v>10.0</v>
      </c>
      <c r="K465" s="256">
        <v>1.0</v>
      </c>
      <c r="L465" s="256">
        <v>27.0</v>
      </c>
      <c r="M465" s="256">
        <v>25.0</v>
      </c>
    </row>
    <row r="466">
      <c r="A466" s="256">
        <v>3.0</v>
      </c>
      <c r="B466" s="253" t="s">
        <v>477</v>
      </c>
      <c r="C466" s="253" t="s">
        <v>1157</v>
      </c>
      <c r="D466" s="253" t="s">
        <v>478</v>
      </c>
      <c r="E466" s="253" t="s">
        <v>975</v>
      </c>
      <c r="F466" s="256">
        <v>8.0</v>
      </c>
      <c r="G466" s="256">
        <v>8.0</v>
      </c>
      <c r="H466" s="256">
        <v>0.0</v>
      </c>
      <c r="I466" s="256">
        <v>8.0</v>
      </c>
      <c r="J466" s="256">
        <v>8.0</v>
      </c>
      <c r="K466" s="256">
        <v>0.0</v>
      </c>
      <c r="L466" s="256">
        <v>13.0</v>
      </c>
      <c r="M466" s="256">
        <v>13.0</v>
      </c>
    </row>
    <row r="467">
      <c r="A467" s="256">
        <v>4510.0</v>
      </c>
      <c r="B467" s="253" t="s">
        <v>507</v>
      </c>
      <c r="C467" s="253" t="s">
        <v>306</v>
      </c>
      <c r="D467" s="253" t="s">
        <v>507</v>
      </c>
      <c r="E467" s="253" t="s">
        <v>991</v>
      </c>
      <c r="F467" s="256">
        <v>32.0</v>
      </c>
      <c r="G467" s="256">
        <v>31.0</v>
      </c>
      <c r="H467" s="256">
        <v>1.0</v>
      </c>
      <c r="I467" s="256">
        <v>32.0</v>
      </c>
      <c r="J467" s="256">
        <v>31.0</v>
      </c>
      <c r="K467" s="256">
        <v>1.0</v>
      </c>
      <c r="L467" s="256">
        <v>282.0</v>
      </c>
      <c r="M467" s="256">
        <v>282.0</v>
      </c>
    </row>
    <row r="468">
      <c r="A468" s="256">
        <v>6222.0</v>
      </c>
      <c r="B468" s="253" t="s">
        <v>492</v>
      </c>
      <c r="C468" s="253" t="s">
        <v>1158</v>
      </c>
      <c r="D468" s="253" t="s">
        <v>934</v>
      </c>
      <c r="E468" s="253" t="s">
        <v>998</v>
      </c>
      <c r="F468" s="256">
        <v>6.0</v>
      </c>
      <c r="G468" s="256">
        <v>3.0</v>
      </c>
      <c r="H468" s="256">
        <v>3.0</v>
      </c>
      <c r="I468" s="256">
        <v>6.0</v>
      </c>
      <c r="J468" s="256">
        <v>3.0</v>
      </c>
      <c r="K468" s="256">
        <v>3.0</v>
      </c>
      <c r="L468" s="256">
        <v>16.0</v>
      </c>
      <c r="M468" s="256">
        <v>16.0</v>
      </c>
    </row>
    <row r="469">
      <c r="A469" s="256">
        <v>6394.0</v>
      </c>
      <c r="B469" s="253" t="s">
        <v>492</v>
      </c>
      <c r="C469" s="253" t="s">
        <v>673</v>
      </c>
      <c r="D469" s="253" t="s">
        <v>930</v>
      </c>
      <c r="E469" s="253" t="s">
        <v>998</v>
      </c>
      <c r="F469" s="256">
        <v>7.0</v>
      </c>
      <c r="G469" s="256">
        <v>6.0</v>
      </c>
      <c r="H469" s="256">
        <v>1.0</v>
      </c>
      <c r="I469" s="256">
        <v>8.0</v>
      </c>
      <c r="J469" s="256">
        <v>7.0</v>
      </c>
      <c r="K469" s="256">
        <v>1.0</v>
      </c>
      <c r="L469" s="256">
        <v>11.0</v>
      </c>
      <c r="M469" s="256">
        <v>13.0</v>
      </c>
    </row>
    <row r="470">
      <c r="A470" s="256">
        <v>4378.0</v>
      </c>
      <c r="B470" s="253" t="s">
        <v>480</v>
      </c>
      <c r="C470" s="253" t="s">
        <v>853</v>
      </c>
      <c r="D470" s="253" t="s">
        <v>1022</v>
      </c>
      <c r="E470" s="253" t="s">
        <v>1033</v>
      </c>
      <c r="F470" s="256">
        <v>5.0</v>
      </c>
      <c r="G470" s="256">
        <v>5.0</v>
      </c>
      <c r="H470" s="256">
        <v>0.0</v>
      </c>
      <c r="I470" s="256">
        <v>5.0</v>
      </c>
      <c r="J470" s="256">
        <v>6.0</v>
      </c>
      <c r="K470" s="256">
        <v>-1.0</v>
      </c>
      <c r="L470" s="256">
        <v>12.0</v>
      </c>
      <c r="M470" s="256">
        <v>12.0</v>
      </c>
    </row>
    <row r="471">
      <c r="A471" s="256">
        <v>5884.0</v>
      </c>
      <c r="B471" s="253" t="s">
        <v>492</v>
      </c>
      <c r="C471" s="253" t="s">
        <v>1489</v>
      </c>
      <c r="D471" s="253" t="s">
        <v>492</v>
      </c>
      <c r="E471" s="253" t="s">
        <v>1222</v>
      </c>
      <c r="F471" s="256">
        <v>4.0</v>
      </c>
      <c r="G471" s="256">
        <v>5.0</v>
      </c>
      <c r="H471" s="256">
        <v>-1.0</v>
      </c>
      <c r="I471" s="256">
        <v>3.0</v>
      </c>
      <c r="J471" s="256">
        <v>4.0</v>
      </c>
      <c r="K471" s="256">
        <v>-1.0</v>
      </c>
      <c r="L471" s="256">
        <v>6.0</v>
      </c>
      <c r="M471" s="256">
        <v>6.0</v>
      </c>
    </row>
    <row r="472">
      <c r="A472" s="256">
        <v>4371.0</v>
      </c>
      <c r="B472" s="253" t="s">
        <v>507</v>
      </c>
      <c r="C472" s="253" t="s">
        <v>423</v>
      </c>
      <c r="D472" s="253" t="s">
        <v>507</v>
      </c>
      <c r="E472" s="253" t="s">
        <v>987</v>
      </c>
      <c r="F472" s="256">
        <v>9.0</v>
      </c>
      <c r="G472" s="256">
        <v>10.0</v>
      </c>
      <c r="H472" s="256">
        <v>-1.0</v>
      </c>
      <c r="I472" s="256">
        <v>9.0</v>
      </c>
      <c r="J472" s="256">
        <v>10.0</v>
      </c>
      <c r="K472" s="256">
        <v>-1.0</v>
      </c>
      <c r="L472" s="256">
        <v>35.0</v>
      </c>
      <c r="M472" s="256">
        <v>37.0</v>
      </c>
    </row>
    <row r="473">
      <c r="A473" s="256">
        <v>2722.0</v>
      </c>
      <c r="B473" s="253" t="s">
        <v>477</v>
      </c>
      <c r="C473" s="253" t="s">
        <v>628</v>
      </c>
      <c r="D473" s="253" t="s">
        <v>478</v>
      </c>
      <c r="E473" s="253" t="s">
        <v>1009</v>
      </c>
      <c r="F473" s="256">
        <v>1.0</v>
      </c>
      <c r="G473" s="256">
        <v>1.0</v>
      </c>
      <c r="H473" s="256">
        <v>0.0</v>
      </c>
      <c r="I473" s="256">
        <v>1.0</v>
      </c>
      <c r="J473" s="256">
        <v>1.0</v>
      </c>
      <c r="K473" s="256">
        <v>0.0</v>
      </c>
      <c r="L473" s="256">
        <v>1.0</v>
      </c>
      <c r="M473" s="256">
        <v>1.0</v>
      </c>
    </row>
    <row r="474">
      <c r="A474" s="256">
        <v>6224.0</v>
      </c>
      <c r="B474" s="253" t="s">
        <v>492</v>
      </c>
      <c r="C474" s="253" t="s">
        <v>636</v>
      </c>
      <c r="D474" s="253" t="s">
        <v>930</v>
      </c>
      <c r="E474" s="253" t="s">
        <v>991</v>
      </c>
      <c r="F474" s="256">
        <v>13.0</v>
      </c>
      <c r="G474" s="256">
        <v>12.0</v>
      </c>
      <c r="H474" s="256">
        <v>1.0</v>
      </c>
      <c r="I474" s="256">
        <v>14.0</v>
      </c>
      <c r="J474" s="256">
        <v>13.0</v>
      </c>
      <c r="K474" s="256">
        <v>1.0</v>
      </c>
      <c r="L474" s="256">
        <v>40.0</v>
      </c>
      <c r="M474" s="256">
        <v>50.0</v>
      </c>
    </row>
    <row r="475">
      <c r="A475" s="256">
        <v>5093.0</v>
      </c>
      <c r="B475" s="253" t="s">
        <v>492</v>
      </c>
      <c r="C475" s="253" t="s">
        <v>1490</v>
      </c>
      <c r="D475" s="253" t="s">
        <v>1057</v>
      </c>
      <c r="E475" s="253" t="s">
        <v>1342</v>
      </c>
      <c r="F475" s="256">
        <v>8.0</v>
      </c>
      <c r="G475" s="256">
        <v>8.0</v>
      </c>
      <c r="H475" s="256">
        <v>0.0</v>
      </c>
      <c r="I475" s="256">
        <v>8.0</v>
      </c>
      <c r="J475" s="256">
        <v>8.0</v>
      </c>
      <c r="K475" s="256">
        <v>0.0</v>
      </c>
      <c r="L475" s="256">
        <v>18.0</v>
      </c>
      <c r="M475" s="256">
        <v>18.0</v>
      </c>
    </row>
    <row r="476">
      <c r="A476" s="256">
        <v>2543.0</v>
      </c>
      <c r="B476" s="253" t="s">
        <v>492</v>
      </c>
      <c r="C476" s="253" t="s">
        <v>1491</v>
      </c>
      <c r="D476" s="253" t="s">
        <v>492</v>
      </c>
      <c r="E476" s="253" t="s">
        <v>988</v>
      </c>
      <c r="F476" s="256">
        <v>12.0</v>
      </c>
      <c r="G476" s="256">
        <v>13.0</v>
      </c>
      <c r="H476" s="256">
        <v>-1.0</v>
      </c>
      <c r="I476" s="256">
        <v>12.0</v>
      </c>
      <c r="J476" s="256">
        <v>13.0</v>
      </c>
      <c r="K476" s="256">
        <v>-1.0</v>
      </c>
      <c r="L476" s="256">
        <v>32.0</v>
      </c>
      <c r="M476" s="256">
        <v>30.0</v>
      </c>
    </row>
    <row r="477">
      <c r="A477" s="256">
        <v>6228.0</v>
      </c>
      <c r="B477" s="253" t="s">
        <v>507</v>
      </c>
      <c r="C477" s="253" t="s">
        <v>686</v>
      </c>
      <c r="D477" s="253" t="s">
        <v>512</v>
      </c>
      <c r="E477" s="253" t="s">
        <v>1026</v>
      </c>
      <c r="F477" s="256">
        <v>23.0</v>
      </c>
      <c r="G477" s="256">
        <v>23.0</v>
      </c>
      <c r="H477" s="256">
        <v>0.0</v>
      </c>
      <c r="I477" s="256">
        <v>23.0</v>
      </c>
      <c r="J477" s="256">
        <v>23.0</v>
      </c>
      <c r="K477" s="256">
        <v>0.0</v>
      </c>
      <c r="L477" s="256">
        <v>128.0</v>
      </c>
      <c r="M477" s="256">
        <v>128.0</v>
      </c>
    </row>
    <row r="478">
      <c r="A478" s="256">
        <v>5453.0</v>
      </c>
      <c r="B478" s="253" t="s">
        <v>492</v>
      </c>
      <c r="C478" s="253" t="s">
        <v>79</v>
      </c>
      <c r="D478" s="253" t="s">
        <v>930</v>
      </c>
      <c r="E478" s="253" t="s">
        <v>972</v>
      </c>
      <c r="F478" s="256">
        <v>13.0</v>
      </c>
      <c r="G478" s="256">
        <v>13.0</v>
      </c>
      <c r="H478" s="256">
        <v>0.0</v>
      </c>
      <c r="I478" s="256">
        <v>14.0</v>
      </c>
      <c r="J478" s="256">
        <v>14.0</v>
      </c>
      <c r="K478" s="256">
        <v>0.0</v>
      </c>
      <c r="L478" s="256">
        <v>23.0</v>
      </c>
      <c r="M478" s="256">
        <v>28.0</v>
      </c>
    </row>
    <row r="479">
      <c r="A479" s="256">
        <v>2169.0</v>
      </c>
      <c r="B479" s="253" t="s">
        <v>480</v>
      </c>
      <c r="C479" s="253" t="s">
        <v>1492</v>
      </c>
      <c r="D479" s="253" t="s">
        <v>1022</v>
      </c>
      <c r="E479" s="253" t="s">
        <v>972</v>
      </c>
      <c r="F479" s="256">
        <v>8.0</v>
      </c>
      <c r="G479" s="256">
        <v>8.0</v>
      </c>
      <c r="H479" s="256">
        <v>0.0</v>
      </c>
      <c r="I479" s="256">
        <v>9.0</v>
      </c>
      <c r="J479" s="256">
        <v>9.0</v>
      </c>
      <c r="K479" s="256">
        <v>0.0</v>
      </c>
      <c r="L479" s="256">
        <v>10.0</v>
      </c>
      <c r="M479" s="256">
        <v>12.0</v>
      </c>
    </row>
    <row r="480">
      <c r="A480" s="256">
        <v>2076.0</v>
      </c>
      <c r="B480" s="253" t="s">
        <v>492</v>
      </c>
      <c r="C480" s="253" t="s">
        <v>1163</v>
      </c>
      <c r="D480" s="253" t="s">
        <v>930</v>
      </c>
      <c r="E480" s="253" t="s">
        <v>975</v>
      </c>
      <c r="F480" s="256">
        <v>1.0</v>
      </c>
      <c r="G480" s="256">
        <v>1.0</v>
      </c>
      <c r="H480" s="256">
        <v>0.0</v>
      </c>
      <c r="I480" s="256">
        <v>1.0</v>
      </c>
      <c r="J480" s="256">
        <v>1.0</v>
      </c>
      <c r="K480" s="256">
        <v>0.0</v>
      </c>
      <c r="L480" s="256">
        <v>1.0</v>
      </c>
      <c r="M480" s="256">
        <v>1.0</v>
      </c>
    </row>
    <row r="481">
      <c r="A481" s="256">
        <v>460.0</v>
      </c>
      <c r="B481" s="253" t="s">
        <v>480</v>
      </c>
      <c r="C481" s="253" t="s">
        <v>868</v>
      </c>
      <c r="D481" s="253" t="s">
        <v>481</v>
      </c>
      <c r="E481" s="253" t="s">
        <v>1000</v>
      </c>
      <c r="F481" s="256">
        <v>13.0</v>
      </c>
      <c r="G481" s="256">
        <v>13.0</v>
      </c>
      <c r="H481" s="256">
        <v>0.0</v>
      </c>
      <c r="I481" s="256">
        <v>13.0</v>
      </c>
      <c r="J481" s="256">
        <v>13.0</v>
      </c>
      <c r="K481" s="256">
        <v>0.0</v>
      </c>
      <c r="L481" s="256">
        <v>36.0</v>
      </c>
      <c r="M481" s="256">
        <v>36.0</v>
      </c>
    </row>
    <row r="482">
      <c r="A482" s="256">
        <v>76.0</v>
      </c>
      <c r="B482" s="253" t="s">
        <v>480</v>
      </c>
      <c r="C482" s="253" t="s">
        <v>1493</v>
      </c>
      <c r="D482" s="253" t="s">
        <v>481</v>
      </c>
      <c r="E482" s="253" t="s">
        <v>1342</v>
      </c>
      <c r="F482" s="256">
        <v>6.0</v>
      </c>
      <c r="G482" s="256">
        <v>5.0</v>
      </c>
      <c r="H482" s="256">
        <v>1.0</v>
      </c>
      <c r="I482" s="256">
        <v>6.0</v>
      </c>
      <c r="J482" s="256">
        <v>5.0</v>
      </c>
      <c r="K482" s="256">
        <v>1.0</v>
      </c>
      <c r="L482" s="256">
        <v>6.0</v>
      </c>
      <c r="M482" s="256">
        <v>6.0</v>
      </c>
    </row>
    <row r="483">
      <c r="A483" s="256">
        <v>5510.0</v>
      </c>
      <c r="B483" s="253" t="s">
        <v>492</v>
      </c>
      <c r="C483" s="253" t="s">
        <v>1494</v>
      </c>
      <c r="D483" s="253" t="s">
        <v>563</v>
      </c>
      <c r="E483" s="253" t="s">
        <v>991</v>
      </c>
      <c r="F483" s="256">
        <v>3.0</v>
      </c>
      <c r="G483" s="256">
        <v>4.0</v>
      </c>
      <c r="H483" s="256">
        <v>-1.0</v>
      </c>
      <c r="I483" s="256">
        <v>3.0</v>
      </c>
      <c r="J483" s="256">
        <v>4.0</v>
      </c>
      <c r="K483" s="256">
        <v>-1.0</v>
      </c>
      <c r="L483" s="256">
        <v>8.0</v>
      </c>
      <c r="M483" s="256">
        <v>8.0</v>
      </c>
    </row>
    <row r="484">
      <c r="A484" s="256">
        <v>2297.0</v>
      </c>
      <c r="B484" s="253" t="s">
        <v>477</v>
      </c>
      <c r="C484" s="253" t="s">
        <v>418</v>
      </c>
      <c r="D484" s="253" t="s">
        <v>478</v>
      </c>
      <c r="E484" s="253" t="s">
        <v>980</v>
      </c>
      <c r="F484" s="256">
        <v>1.0</v>
      </c>
      <c r="G484" s="256">
        <v>1.0</v>
      </c>
      <c r="H484" s="256">
        <v>0.0</v>
      </c>
      <c r="I484" s="256">
        <v>1.0</v>
      </c>
      <c r="J484" s="256">
        <v>1.0</v>
      </c>
      <c r="K484" s="256">
        <v>0.0</v>
      </c>
      <c r="L484" s="256">
        <v>1.0</v>
      </c>
      <c r="M484" s="256">
        <v>1.0</v>
      </c>
    </row>
    <row r="485">
      <c r="A485" s="256">
        <v>4459.0</v>
      </c>
      <c r="B485" s="253" t="s">
        <v>492</v>
      </c>
      <c r="C485" s="253" t="s">
        <v>637</v>
      </c>
      <c r="D485" s="253" t="s">
        <v>930</v>
      </c>
      <c r="E485" s="253" t="s">
        <v>1000</v>
      </c>
      <c r="F485" s="256">
        <v>4.0</v>
      </c>
      <c r="G485" s="256">
        <v>5.0</v>
      </c>
      <c r="H485" s="256">
        <v>-1.0</v>
      </c>
      <c r="I485" s="256">
        <v>5.0</v>
      </c>
      <c r="J485" s="256">
        <v>6.0</v>
      </c>
      <c r="K485" s="256">
        <v>-1.0</v>
      </c>
      <c r="L485" s="256">
        <v>10.0</v>
      </c>
      <c r="M485" s="256">
        <v>12.0</v>
      </c>
    </row>
    <row r="486">
      <c r="A486" s="256">
        <v>4409.0</v>
      </c>
      <c r="B486" s="253" t="s">
        <v>480</v>
      </c>
      <c r="C486" s="253" t="s">
        <v>816</v>
      </c>
      <c r="D486" s="253" t="s">
        <v>481</v>
      </c>
      <c r="E486" s="253" t="s">
        <v>987</v>
      </c>
      <c r="F486" s="256">
        <v>14.0</v>
      </c>
      <c r="G486" s="256">
        <v>14.0</v>
      </c>
      <c r="H486" s="256">
        <v>0.0</v>
      </c>
      <c r="I486" s="256">
        <v>14.0</v>
      </c>
      <c r="J486" s="256">
        <v>14.0</v>
      </c>
      <c r="K486" s="256">
        <v>0.0</v>
      </c>
      <c r="L486" s="256">
        <v>44.0</v>
      </c>
      <c r="M486" s="256">
        <v>44.0</v>
      </c>
    </row>
    <row r="487">
      <c r="A487" s="256">
        <v>294.0</v>
      </c>
      <c r="B487" s="253" t="s">
        <v>480</v>
      </c>
      <c r="C487" s="253" t="s">
        <v>1166</v>
      </c>
      <c r="D487" s="253" t="s">
        <v>481</v>
      </c>
      <c r="E487" s="253" t="s">
        <v>976</v>
      </c>
      <c r="F487" s="256">
        <v>2.0</v>
      </c>
      <c r="G487" s="256">
        <v>3.0</v>
      </c>
      <c r="H487" s="256">
        <v>-1.0</v>
      </c>
      <c r="I487" s="256">
        <v>2.0</v>
      </c>
      <c r="J487" s="256">
        <v>3.0</v>
      </c>
      <c r="K487" s="256">
        <v>-1.0</v>
      </c>
      <c r="L487" s="256">
        <v>6.0</v>
      </c>
      <c r="M487" s="256">
        <v>6.0</v>
      </c>
    </row>
    <row r="488">
      <c r="A488" s="256">
        <v>5354.0</v>
      </c>
      <c r="B488" s="253" t="s">
        <v>480</v>
      </c>
      <c r="C488" s="253" t="s">
        <v>815</v>
      </c>
      <c r="D488" s="253" t="s">
        <v>931</v>
      </c>
      <c r="E488" s="253" t="s">
        <v>980</v>
      </c>
      <c r="F488" s="256">
        <v>5.0</v>
      </c>
      <c r="G488" s="256">
        <v>3.0</v>
      </c>
      <c r="H488" s="256">
        <v>2.0</v>
      </c>
      <c r="I488" s="256">
        <v>6.0</v>
      </c>
      <c r="J488" s="256">
        <v>4.0</v>
      </c>
      <c r="K488" s="256">
        <v>2.0</v>
      </c>
      <c r="L488" s="256">
        <v>10.0</v>
      </c>
      <c r="M488" s="256">
        <v>8.0</v>
      </c>
    </row>
    <row r="489">
      <c r="A489" s="256">
        <v>4270.0</v>
      </c>
      <c r="B489" s="253" t="s">
        <v>477</v>
      </c>
      <c r="C489" s="253" t="s">
        <v>867</v>
      </c>
      <c r="D489" s="253" t="s">
        <v>478</v>
      </c>
      <c r="E489" s="253" t="s">
        <v>988</v>
      </c>
      <c r="F489" s="256">
        <v>12.0</v>
      </c>
      <c r="G489" s="256">
        <v>14.0</v>
      </c>
      <c r="H489" s="256">
        <v>-2.0</v>
      </c>
      <c r="I489" s="256">
        <v>12.0</v>
      </c>
      <c r="J489" s="256">
        <v>14.0</v>
      </c>
      <c r="K489" s="256">
        <v>-2.0</v>
      </c>
      <c r="L489" s="256">
        <v>47.0</v>
      </c>
      <c r="M489" s="256">
        <v>47.0</v>
      </c>
    </row>
    <row r="490">
      <c r="A490" s="256">
        <v>791.0</v>
      </c>
      <c r="B490" s="253" t="s">
        <v>480</v>
      </c>
      <c r="C490" s="253" t="s">
        <v>806</v>
      </c>
      <c r="D490" s="253" t="s">
        <v>944</v>
      </c>
      <c r="E490" s="253" t="s">
        <v>1026</v>
      </c>
      <c r="F490" s="256">
        <v>5.0</v>
      </c>
      <c r="G490" s="256">
        <v>4.0</v>
      </c>
      <c r="H490" s="256">
        <v>1.0</v>
      </c>
      <c r="I490" s="256">
        <v>6.0</v>
      </c>
      <c r="J490" s="256">
        <v>5.0</v>
      </c>
      <c r="K490" s="256">
        <v>1.0</v>
      </c>
      <c r="L490" s="256">
        <v>12.0</v>
      </c>
      <c r="M490" s="256">
        <v>12.0</v>
      </c>
    </row>
    <row r="491">
      <c r="A491" s="256">
        <v>5788.0</v>
      </c>
      <c r="B491" s="253" t="s">
        <v>492</v>
      </c>
      <c r="C491" s="253" t="s">
        <v>1168</v>
      </c>
      <c r="D491" s="253" t="s">
        <v>947</v>
      </c>
      <c r="E491" s="253" t="s">
        <v>1033</v>
      </c>
      <c r="F491" s="256">
        <v>8.0</v>
      </c>
      <c r="G491" s="256">
        <v>9.0</v>
      </c>
      <c r="H491" s="256">
        <v>-1.0</v>
      </c>
      <c r="I491" s="256">
        <v>8.0</v>
      </c>
      <c r="J491" s="256">
        <v>9.0</v>
      </c>
      <c r="K491" s="256">
        <v>-1.0</v>
      </c>
      <c r="L491" s="256">
        <v>7.0</v>
      </c>
      <c r="M491" s="256">
        <v>5.0</v>
      </c>
    </row>
    <row r="492">
      <c r="A492" s="256">
        <v>4892.0</v>
      </c>
      <c r="B492" s="253" t="s">
        <v>492</v>
      </c>
      <c r="C492" s="253" t="s">
        <v>869</v>
      </c>
      <c r="D492" s="253" t="s">
        <v>563</v>
      </c>
      <c r="E492" s="253" t="s">
        <v>1009</v>
      </c>
      <c r="F492" s="256">
        <v>4.0</v>
      </c>
      <c r="G492" s="256">
        <v>5.0</v>
      </c>
      <c r="H492" s="256">
        <v>-1.0</v>
      </c>
      <c r="I492" s="256">
        <v>4.0</v>
      </c>
      <c r="J492" s="256">
        <v>5.0</v>
      </c>
      <c r="K492" s="256">
        <v>-1.0</v>
      </c>
      <c r="L492" s="256">
        <v>7.0</v>
      </c>
      <c r="M492" s="256">
        <v>7.0</v>
      </c>
    </row>
    <row r="493">
      <c r="A493" s="256">
        <v>5119.0</v>
      </c>
      <c r="B493" s="253" t="s">
        <v>492</v>
      </c>
      <c r="C493" s="253" t="s">
        <v>387</v>
      </c>
      <c r="D493" s="253" t="s">
        <v>934</v>
      </c>
      <c r="E493" s="253" t="s">
        <v>993</v>
      </c>
      <c r="F493" s="256">
        <v>17.0</v>
      </c>
      <c r="G493" s="256">
        <v>16.0</v>
      </c>
      <c r="H493" s="256">
        <v>1.0</v>
      </c>
      <c r="I493" s="256">
        <v>17.0</v>
      </c>
      <c r="J493" s="256">
        <v>16.0</v>
      </c>
      <c r="K493" s="256">
        <v>1.0</v>
      </c>
      <c r="L493" s="256">
        <v>50.0</v>
      </c>
      <c r="M493" s="256">
        <v>50.0</v>
      </c>
    </row>
    <row r="494">
      <c r="A494" s="256">
        <v>5856.0</v>
      </c>
      <c r="B494" s="253" t="s">
        <v>480</v>
      </c>
      <c r="C494" s="253" t="s">
        <v>1284</v>
      </c>
      <c r="D494" s="253" t="s">
        <v>938</v>
      </c>
      <c r="E494" s="253" t="s">
        <v>1355</v>
      </c>
      <c r="F494" s="256">
        <v>3.0</v>
      </c>
      <c r="G494" s="256">
        <v>4.0</v>
      </c>
      <c r="H494" s="256">
        <v>-1.0</v>
      </c>
      <c r="I494" s="256">
        <v>3.0</v>
      </c>
      <c r="J494" s="256">
        <v>4.0</v>
      </c>
      <c r="K494" s="256">
        <v>-1.0</v>
      </c>
      <c r="L494" s="256">
        <v>5.0</v>
      </c>
      <c r="M494" s="256">
        <v>5.0</v>
      </c>
    </row>
    <row r="495">
      <c r="A495" s="254">
        <v>6523.0</v>
      </c>
      <c r="B495" s="255" t="s">
        <v>477</v>
      </c>
      <c r="C495" s="255" t="s">
        <v>81</v>
      </c>
      <c r="D495" s="255" t="s">
        <v>478</v>
      </c>
      <c r="E495" s="255" t="s">
        <v>998</v>
      </c>
      <c r="F495" s="254">
        <v>1.0</v>
      </c>
      <c r="G495" s="254">
        <v>1.0</v>
      </c>
      <c r="H495" s="254">
        <v>0.0</v>
      </c>
      <c r="I495" s="254">
        <v>1.0</v>
      </c>
      <c r="J495" s="254">
        <v>1.0</v>
      </c>
      <c r="K495" s="254">
        <v>0.0</v>
      </c>
      <c r="L495" s="254">
        <v>1.0</v>
      </c>
      <c r="M495" s="254">
        <v>1.0</v>
      </c>
    </row>
    <row r="496">
      <c r="A496" s="256">
        <v>479.0</v>
      </c>
      <c r="B496" s="253" t="s">
        <v>507</v>
      </c>
      <c r="C496" s="253" t="s">
        <v>889</v>
      </c>
      <c r="D496" s="253" t="s">
        <v>512</v>
      </c>
      <c r="E496" s="253" t="s">
        <v>972</v>
      </c>
      <c r="F496" s="256">
        <v>23.0</v>
      </c>
      <c r="G496" s="256">
        <v>24.0</v>
      </c>
      <c r="H496" s="256">
        <v>-1.0</v>
      </c>
      <c r="I496" s="256">
        <v>23.0</v>
      </c>
      <c r="J496" s="256">
        <v>24.0</v>
      </c>
      <c r="K496" s="256">
        <v>-1.0</v>
      </c>
      <c r="L496" s="256">
        <v>71.0</v>
      </c>
      <c r="M496" s="256">
        <v>60.0</v>
      </c>
    </row>
    <row r="497">
      <c r="A497" s="256">
        <v>2475.0</v>
      </c>
      <c r="B497" s="253" t="s">
        <v>507</v>
      </c>
      <c r="C497" s="253" t="s">
        <v>1252</v>
      </c>
      <c r="D497" s="253" t="s">
        <v>507</v>
      </c>
      <c r="E497" s="253" t="s">
        <v>973</v>
      </c>
      <c r="F497" s="256">
        <v>14.0</v>
      </c>
      <c r="G497" s="256">
        <v>15.0</v>
      </c>
      <c r="H497" s="256">
        <v>-1.0</v>
      </c>
      <c r="I497" s="256">
        <v>14.0</v>
      </c>
      <c r="J497" s="256">
        <v>15.0</v>
      </c>
      <c r="K497" s="256">
        <v>-1.0</v>
      </c>
      <c r="L497" s="256">
        <v>44.0</v>
      </c>
      <c r="M497" s="256">
        <v>44.0</v>
      </c>
    </row>
    <row r="498">
      <c r="A498" s="254">
        <v>537.0</v>
      </c>
      <c r="B498" s="255" t="s">
        <v>507</v>
      </c>
      <c r="C498" s="255" t="s">
        <v>1495</v>
      </c>
      <c r="D498" s="255" t="s">
        <v>507</v>
      </c>
      <c r="E498" s="255" t="s">
        <v>998</v>
      </c>
      <c r="F498" s="254">
        <v>12.0</v>
      </c>
      <c r="G498" s="254">
        <v>7.0</v>
      </c>
      <c r="H498" s="254">
        <v>5.0</v>
      </c>
      <c r="I498" s="254">
        <v>12.0</v>
      </c>
      <c r="J498" s="254">
        <v>7.0</v>
      </c>
      <c r="K498" s="254">
        <v>5.0</v>
      </c>
      <c r="L498" s="254">
        <v>22.0</v>
      </c>
      <c r="M498" s="254">
        <v>22.0</v>
      </c>
    </row>
    <row r="499">
      <c r="A499" s="256">
        <v>150.0</v>
      </c>
      <c r="B499" s="253" t="s">
        <v>492</v>
      </c>
      <c r="C499" s="253" t="s">
        <v>1496</v>
      </c>
      <c r="D499" s="253" t="s">
        <v>1057</v>
      </c>
      <c r="E499" s="253" t="s">
        <v>983</v>
      </c>
      <c r="F499" s="256">
        <v>10.0</v>
      </c>
      <c r="G499" s="256">
        <v>11.0</v>
      </c>
      <c r="H499" s="256">
        <v>-1.0</v>
      </c>
      <c r="I499" s="256">
        <v>10.0</v>
      </c>
      <c r="J499" s="256">
        <v>11.0</v>
      </c>
      <c r="K499" s="256">
        <v>-1.0</v>
      </c>
      <c r="L499" s="256">
        <v>29.0</v>
      </c>
      <c r="M499" s="256">
        <v>33.0</v>
      </c>
    </row>
    <row r="500">
      <c r="A500" s="256">
        <v>6474.0</v>
      </c>
      <c r="B500" s="253" t="s">
        <v>480</v>
      </c>
      <c r="C500" s="253" t="s">
        <v>1300</v>
      </c>
      <c r="D500" s="253" t="s">
        <v>481</v>
      </c>
      <c r="E500" s="253" t="s">
        <v>972</v>
      </c>
      <c r="F500" s="256">
        <v>3.0</v>
      </c>
      <c r="G500" s="256">
        <v>3.0</v>
      </c>
      <c r="H500" s="256">
        <v>0.0</v>
      </c>
      <c r="I500" s="256">
        <v>3.0</v>
      </c>
      <c r="J500" s="256">
        <v>3.0</v>
      </c>
      <c r="K500" s="256">
        <v>0.0</v>
      </c>
      <c r="L500" s="256">
        <v>4.0</v>
      </c>
      <c r="M500" s="256">
        <v>4.0</v>
      </c>
    </row>
    <row r="501">
      <c r="A501" s="256">
        <v>5526.0</v>
      </c>
      <c r="B501" s="253" t="s">
        <v>480</v>
      </c>
      <c r="C501" s="253" t="s">
        <v>269</v>
      </c>
      <c r="D501" s="253" t="s">
        <v>481</v>
      </c>
      <c r="E501" s="253" t="s">
        <v>980</v>
      </c>
      <c r="F501" s="256">
        <v>10.0</v>
      </c>
      <c r="G501" s="256">
        <v>9.0</v>
      </c>
      <c r="H501" s="256">
        <v>1.0</v>
      </c>
      <c r="I501" s="256">
        <v>10.0</v>
      </c>
      <c r="J501" s="256">
        <v>9.0</v>
      </c>
      <c r="K501" s="256">
        <v>1.0</v>
      </c>
      <c r="L501" s="256">
        <v>30.0</v>
      </c>
      <c r="M501" s="256">
        <v>30.0</v>
      </c>
    </row>
    <row r="502">
      <c r="A502" s="256">
        <v>2137.0</v>
      </c>
      <c r="B502" s="253" t="s">
        <v>507</v>
      </c>
      <c r="C502" s="253" t="s">
        <v>452</v>
      </c>
      <c r="D502" s="253" t="s">
        <v>512</v>
      </c>
      <c r="E502" s="253" t="s">
        <v>980</v>
      </c>
      <c r="F502" s="256">
        <v>27.0</v>
      </c>
      <c r="G502" s="256">
        <v>25.0</v>
      </c>
      <c r="H502" s="256">
        <v>2.0</v>
      </c>
      <c r="I502" s="256">
        <v>27.0</v>
      </c>
      <c r="J502" s="256">
        <v>25.0</v>
      </c>
      <c r="K502" s="256">
        <v>2.0</v>
      </c>
      <c r="L502" s="256">
        <v>220.0</v>
      </c>
      <c r="M502" s="256">
        <v>195.0</v>
      </c>
    </row>
    <row r="503">
      <c r="A503" s="256">
        <v>6041.0</v>
      </c>
      <c r="B503" s="253" t="s">
        <v>480</v>
      </c>
      <c r="C503" s="253" t="s">
        <v>1174</v>
      </c>
      <c r="D503" s="253" t="s">
        <v>481</v>
      </c>
      <c r="E503" s="253" t="s">
        <v>972</v>
      </c>
      <c r="F503" s="256">
        <v>15.0</v>
      </c>
      <c r="G503" s="256">
        <v>14.0</v>
      </c>
      <c r="H503" s="256">
        <v>1.0</v>
      </c>
      <c r="I503" s="256">
        <v>15.0</v>
      </c>
      <c r="J503" s="256">
        <v>14.0</v>
      </c>
      <c r="K503" s="256">
        <v>1.0</v>
      </c>
      <c r="L503" s="256">
        <v>46.0</v>
      </c>
      <c r="M503" s="256">
        <v>46.0</v>
      </c>
    </row>
    <row r="504">
      <c r="A504" s="256">
        <v>574.0</v>
      </c>
      <c r="B504" s="253" t="s">
        <v>477</v>
      </c>
      <c r="C504" s="253" t="s">
        <v>651</v>
      </c>
      <c r="D504" s="253" t="s">
        <v>478</v>
      </c>
      <c r="E504" s="253" t="s">
        <v>975</v>
      </c>
      <c r="F504" s="256">
        <v>1.0</v>
      </c>
      <c r="G504" s="256">
        <v>1.0</v>
      </c>
      <c r="H504" s="256">
        <v>0.0</v>
      </c>
      <c r="I504" s="256">
        <v>1.0</v>
      </c>
      <c r="J504" s="256">
        <v>1.0</v>
      </c>
      <c r="K504" s="256">
        <v>0.0</v>
      </c>
      <c r="L504" s="256">
        <v>1.0</v>
      </c>
      <c r="M504" s="256">
        <v>1.0</v>
      </c>
    </row>
    <row r="505">
      <c r="A505" s="256">
        <v>5806.0</v>
      </c>
      <c r="B505" s="253" t="s">
        <v>507</v>
      </c>
      <c r="C505" s="253" t="s">
        <v>1497</v>
      </c>
      <c r="D505" s="253" t="s">
        <v>507</v>
      </c>
      <c r="E505" s="253" t="s">
        <v>972</v>
      </c>
      <c r="F505" s="256">
        <v>3.0</v>
      </c>
      <c r="G505" s="256">
        <v>3.0</v>
      </c>
      <c r="H505" s="256">
        <v>0.0</v>
      </c>
      <c r="I505" s="256">
        <v>3.0</v>
      </c>
      <c r="J505" s="256">
        <v>3.0</v>
      </c>
      <c r="K505" s="256">
        <v>0.0</v>
      </c>
      <c r="L505" s="256">
        <v>3.0</v>
      </c>
      <c r="M505" s="256">
        <v>3.0</v>
      </c>
    </row>
    <row r="506">
      <c r="A506" s="256">
        <v>1978.0</v>
      </c>
      <c r="B506" s="253" t="s">
        <v>492</v>
      </c>
      <c r="C506" s="253" t="s">
        <v>1240</v>
      </c>
      <c r="D506" s="253" t="s">
        <v>934</v>
      </c>
      <c r="E506" s="253" t="s">
        <v>973</v>
      </c>
      <c r="F506" s="256">
        <v>6.0</v>
      </c>
      <c r="G506" s="256">
        <v>7.0</v>
      </c>
      <c r="H506" s="256">
        <v>-1.0</v>
      </c>
      <c r="I506" s="256">
        <v>6.0</v>
      </c>
      <c r="J506" s="256">
        <v>7.0</v>
      </c>
      <c r="K506" s="256">
        <v>-1.0</v>
      </c>
      <c r="L506" s="256">
        <v>10.0</v>
      </c>
      <c r="M506" s="256">
        <v>10.0</v>
      </c>
    </row>
    <row r="507">
      <c r="A507" s="256">
        <v>159.0</v>
      </c>
      <c r="B507" s="253" t="s">
        <v>477</v>
      </c>
      <c r="C507" s="253" t="s">
        <v>1498</v>
      </c>
      <c r="D507" s="253" t="s">
        <v>478</v>
      </c>
      <c r="E507" s="253" t="s">
        <v>1000</v>
      </c>
      <c r="F507" s="256">
        <v>1.0</v>
      </c>
      <c r="G507" s="256">
        <v>1.0</v>
      </c>
      <c r="H507" s="256">
        <v>0.0</v>
      </c>
      <c r="I507" s="256">
        <v>1.0</v>
      </c>
      <c r="J507" s="256">
        <v>1.0</v>
      </c>
      <c r="K507" s="256">
        <v>0.0</v>
      </c>
      <c r="L507" s="256">
        <v>1.0</v>
      </c>
      <c r="M507" s="256">
        <v>1.0</v>
      </c>
    </row>
    <row r="508">
      <c r="A508" s="256">
        <v>6458.0</v>
      </c>
      <c r="B508" s="253" t="s">
        <v>492</v>
      </c>
      <c r="C508" s="253" t="s">
        <v>851</v>
      </c>
      <c r="D508" s="253" t="s">
        <v>934</v>
      </c>
      <c r="E508" s="253" t="s">
        <v>983</v>
      </c>
      <c r="F508" s="256">
        <v>5.0</v>
      </c>
      <c r="G508" s="256">
        <v>5.0</v>
      </c>
      <c r="H508" s="256">
        <v>0.0</v>
      </c>
      <c r="I508" s="256">
        <v>5.0</v>
      </c>
      <c r="J508" s="256">
        <v>5.0</v>
      </c>
      <c r="K508" s="256">
        <v>0.0</v>
      </c>
      <c r="L508" s="256">
        <v>7.0</v>
      </c>
      <c r="M508" s="256">
        <v>7.0</v>
      </c>
    </row>
    <row r="509">
      <c r="A509" s="256">
        <v>5311.0</v>
      </c>
      <c r="B509" s="253" t="s">
        <v>507</v>
      </c>
      <c r="C509" s="253" t="s">
        <v>1267</v>
      </c>
      <c r="D509" s="253" t="s">
        <v>512</v>
      </c>
      <c r="E509" s="253" t="s">
        <v>975</v>
      </c>
      <c r="F509" s="256">
        <v>12.0</v>
      </c>
      <c r="G509" s="256">
        <v>13.0</v>
      </c>
      <c r="H509" s="256">
        <v>-1.0</v>
      </c>
      <c r="I509" s="256">
        <v>12.0</v>
      </c>
      <c r="J509" s="256">
        <v>13.0</v>
      </c>
      <c r="K509" s="256">
        <v>-1.0</v>
      </c>
      <c r="L509" s="256">
        <v>22.0</v>
      </c>
      <c r="M509" s="256">
        <v>20.0</v>
      </c>
    </row>
    <row r="510">
      <c r="A510" s="256">
        <v>6395.0</v>
      </c>
      <c r="B510" s="253" t="s">
        <v>507</v>
      </c>
      <c r="C510" s="253" t="s">
        <v>1499</v>
      </c>
      <c r="D510" s="253" t="s">
        <v>512</v>
      </c>
      <c r="E510" s="253" t="s">
        <v>1222</v>
      </c>
      <c r="F510" s="256">
        <v>2.0</v>
      </c>
      <c r="G510" s="256">
        <v>1.0</v>
      </c>
      <c r="H510" s="256">
        <v>1.0</v>
      </c>
      <c r="I510" s="256">
        <v>2.0</v>
      </c>
      <c r="J510" s="256">
        <v>1.0</v>
      </c>
      <c r="K510" s="256">
        <v>1.0</v>
      </c>
      <c r="L510" s="256">
        <v>1.0</v>
      </c>
      <c r="M510" s="256">
        <v>1.0</v>
      </c>
    </row>
    <row r="511">
      <c r="A511" s="256">
        <v>2211.0</v>
      </c>
      <c r="B511" s="253" t="s">
        <v>477</v>
      </c>
      <c r="C511" s="253" t="s">
        <v>1179</v>
      </c>
      <c r="D511" s="253" t="s">
        <v>478</v>
      </c>
      <c r="E511" s="253" t="s">
        <v>993</v>
      </c>
      <c r="F511" s="256">
        <v>9.0</v>
      </c>
      <c r="G511" s="256">
        <v>9.0</v>
      </c>
      <c r="H511" s="256">
        <v>0.0</v>
      </c>
      <c r="I511" s="256">
        <v>9.0</v>
      </c>
      <c r="J511" s="256">
        <v>9.0</v>
      </c>
      <c r="K511" s="256">
        <v>0.0</v>
      </c>
      <c r="L511" s="256">
        <v>31.0</v>
      </c>
      <c r="M511" s="256">
        <v>31.0</v>
      </c>
    </row>
    <row r="512">
      <c r="A512" s="256">
        <v>2061.0</v>
      </c>
      <c r="B512" s="253" t="s">
        <v>507</v>
      </c>
      <c r="C512" s="253" t="s">
        <v>1180</v>
      </c>
      <c r="D512" s="253" t="s">
        <v>512</v>
      </c>
      <c r="E512" s="253" t="s">
        <v>987</v>
      </c>
      <c r="F512" s="256">
        <v>12.0</v>
      </c>
      <c r="G512" s="256">
        <v>13.0</v>
      </c>
      <c r="H512" s="256">
        <v>-1.0</v>
      </c>
      <c r="I512" s="256">
        <v>11.0</v>
      </c>
      <c r="J512" s="256">
        <v>12.0</v>
      </c>
      <c r="K512" s="256">
        <v>-1.0</v>
      </c>
      <c r="L512" s="256">
        <v>30.0</v>
      </c>
      <c r="M512" s="256">
        <v>23.0</v>
      </c>
    </row>
    <row r="513">
      <c r="A513" s="254">
        <v>6521.0</v>
      </c>
      <c r="B513" s="255" t="s">
        <v>480</v>
      </c>
      <c r="C513" s="255" t="s">
        <v>1500</v>
      </c>
      <c r="D513" s="255" t="s">
        <v>481</v>
      </c>
      <c r="E513" s="255" t="s">
        <v>991</v>
      </c>
      <c r="F513" s="254">
        <v>3.0</v>
      </c>
      <c r="G513" s="254">
        <v>1.0</v>
      </c>
      <c r="H513" s="254">
        <v>2.0</v>
      </c>
      <c r="I513" s="254">
        <v>3.0</v>
      </c>
      <c r="J513" s="254">
        <v>1.0</v>
      </c>
      <c r="K513" s="254">
        <v>2.0</v>
      </c>
      <c r="L513" s="254">
        <v>1.0</v>
      </c>
      <c r="M513" s="254">
        <v>1.0</v>
      </c>
    </row>
    <row r="514">
      <c r="A514" s="254">
        <v>1997.0</v>
      </c>
      <c r="B514" s="255" t="s">
        <v>507</v>
      </c>
      <c r="C514" s="255" t="s">
        <v>1501</v>
      </c>
      <c r="D514" s="255" t="s">
        <v>512</v>
      </c>
      <c r="E514" s="255" t="s">
        <v>1355</v>
      </c>
      <c r="F514" s="254">
        <v>4.0</v>
      </c>
      <c r="G514" s="254">
        <v>1.0</v>
      </c>
      <c r="H514" s="254">
        <v>3.0</v>
      </c>
      <c r="I514" s="254">
        <v>4.0</v>
      </c>
      <c r="J514" s="254">
        <v>1.0</v>
      </c>
      <c r="K514" s="254">
        <v>3.0</v>
      </c>
      <c r="L514" s="254">
        <v>23.0</v>
      </c>
      <c r="M514" s="254">
        <v>13.0</v>
      </c>
    </row>
    <row r="515">
      <c r="A515" s="256">
        <v>133.0</v>
      </c>
      <c r="B515" s="253" t="s">
        <v>477</v>
      </c>
      <c r="C515" s="253" t="s">
        <v>604</v>
      </c>
      <c r="D515" s="253" t="s">
        <v>478</v>
      </c>
      <c r="E515" s="253" t="s">
        <v>1009</v>
      </c>
      <c r="F515" s="256">
        <v>10.0</v>
      </c>
      <c r="G515" s="256">
        <v>10.0</v>
      </c>
      <c r="H515" s="256">
        <v>0.0</v>
      </c>
      <c r="I515" s="256">
        <v>10.0</v>
      </c>
      <c r="J515" s="256">
        <v>10.0</v>
      </c>
      <c r="K515" s="256">
        <v>0.0</v>
      </c>
      <c r="L515" s="256">
        <v>32.0</v>
      </c>
      <c r="M515" s="256">
        <v>32.0</v>
      </c>
    </row>
    <row r="516">
      <c r="A516" s="256">
        <v>6223.0</v>
      </c>
      <c r="B516" s="253" t="s">
        <v>480</v>
      </c>
      <c r="C516" s="253" t="s">
        <v>1502</v>
      </c>
      <c r="D516" s="253" t="s">
        <v>481</v>
      </c>
      <c r="E516" s="253" t="s">
        <v>998</v>
      </c>
      <c r="F516" s="256">
        <v>1.0</v>
      </c>
      <c r="G516" s="256">
        <v>1.0</v>
      </c>
      <c r="H516" s="256">
        <v>0.0</v>
      </c>
      <c r="I516" s="256">
        <v>1.0</v>
      </c>
      <c r="J516" s="256">
        <v>1.0</v>
      </c>
      <c r="K516" s="256">
        <v>0.0</v>
      </c>
      <c r="L516" s="256">
        <v>1.0</v>
      </c>
      <c r="M516" s="256">
        <v>1.0</v>
      </c>
    </row>
    <row r="517">
      <c r="A517" s="256">
        <v>4245.0</v>
      </c>
      <c r="B517" s="253" t="s">
        <v>480</v>
      </c>
      <c r="C517" s="253" t="s">
        <v>1255</v>
      </c>
      <c r="D517" s="253" t="s">
        <v>481</v>
      </c>
      <c r="E517" s="253" t="s">
        <v>988</v>
      </c>
      <c r="F517" s="256">
        <v>14.0</v>
      </c>
      <c r="G517" s="256">
        <v>15.0</v>
      </c>
      <c r="H517" s="256">
        <v>-1.0</v>
      </c>
      <c r="I517" s="256">
        <v>14.0</v>
      </c>
      <c r="J517" s="256">
        <v>15.0</v>
      </c>
      <c r="K517" s="256">
        <v>-1.0</v>
      </c>
      <c r="L517" s="256">
        <v>46.0</v>
      </c>
      <c r="M517" s="256">
        <v>50.0</v>
      </c>
    </row>
    <row r="518">
      <c r="A518" s="256">
        <v>219.0</v>
      </c>
      <c r="B518" s="253" t="s">
        <v>477</v>
      </c>
      <c r="C518" s="253" t="s">
        <v>1183</v>
      </c>
      <c r="D518" s="253" t="s">
        <v>478</v>
      </c>
      <c r="E518" s="253" t="s">
        <v>1026</v>
      </c>
      <c r="F518" s="256">
        <v>1.0</v>
      </c>
      <c r="G518" s="256">
        <v>1.0</v>
      </c>
      <c r="H518" s="256">
        <v>0.0</v>
      </c>
      <c r="I518" s="256">
        <v>1.0</v>
      </c>
      <c r="J518" s="256">
        <v>1.0</v>
      </c>
      <c r="K518" s="256">
        <v>0.0</v>
      </c>
      <c r="L518" s="256">
        <v>1.0</v>
      </c>
      <c r="M518" s="256">
        <v>1.0</v>
      </c>
    </row>
    <row r="519">
      <c r="A519" s="256">
        <v>2428.0</v>
      </c>
      <c r="B519" s="253" t="s">
        <v>477</v>
      </c>
      <c r="C519" s="253" t="s">
        <v>382</v>
      </c>
      <c r="D519" s="253" t="s">
        <v>478</v>
      </c>
      <c r="E519" s="253" t="s">
        <v>973</v>
      </c>
      <c r="F519" s="256">
        <v>16.0</v>
      </c>
      <c r="G519" s="256">
        <v>15.0</v>
      </c>
      <c r="H519" s="256">
        <v>1.0</v>
      </c>
      <c r="I519" s="256">
        <v>16.0</v>
      </c>
      <c r="J519" s="256">
        <v>15.0</v>
      </c>
      <c r="K519" s="256">
        <v>1.0</v>
      </c>
      <c r="L519" s="256">
        <v>67.0</v>
      </c>
      <c r="M519" s="256">
        <v>67.0</v>
      </c>
    </row>
    <row r="520">
      <c r="A520" s="256">
        <v>5686.0</v>
      </c>
      <c r="B520" s="253" t="s">
        <v>480</v>
      </c>
      <c r="C520" s="253" t="s">
        <v>1503</v>
      </c>
      <c r="D520" s="253" t="s">
        <v>521</v>
      </c>
      <c r="E520" s="253" t="s">
        <v>972</v>
      </c>
      <c r="F520" s="256">
        <v>1.0</v>
      </c>
      <c r="G520" s="256">
        <v>2.0</v>
      </c>
      <c r="H520" s="256">
        <v>-1.0</v>
      </c>
      <c r="I520" s="256">
        <v>1.0</v>
      </c>
      <c r="J520" s="256">
        <v>2.0</v>
      </c>
      <c r="K520" s="256">
        <v>-1.0</v>
      </c>
      <c r="L520" s="256">
        <v>3.0</v>
      </c>
      <c r="M520" s="256">
        <v>3.0</v>
      </c>
    </row>
    <row r="521">
      <c r="A521" s="256">
        <v>5853.0</v>
      </c>
      <c r="B521" s="253" t="s">
        <v>477</v>
      </c>
      <c r="C521" s="253" t="s">
        <v>1504</v>
      </c>
      <c r="D521" s="253" t="s">
        <v>478</v>
      </c>
      <c r="E521" s="253" t="s">
        <v>1225</v>
      </c>
      <c r="F521" s="256">
        <v>1.0</v>
      </c>
      <c r="G521" s="256">
        <v>1.0</v>
      </c>
      <c r="H521" s="256">
        <v>0.0</v>
      </c>
      <c r="I521" s="256">
        <v>1.0</v>
      </c>
      <c r="J521" s="256">
        <v>1.0</v>
      </c>
      <c r="K521" s="256">
        <v>0.0</v>
      </c>
      <c r="L521" s="256">
        <v>1.0</v>
      </c>
      <c r="M521" s="256">
        <v>1.0</v>
      </c>
    </row>
    <row r="522">
      <c r="A522" s="256">
        <v>6043.0</v>
      </c>
      <c r="B522" s="253" t="s">
        <v>480</v>
      </c>
      <c r="C522" s="253" t="s">
        <v>1505</v>
      </c>
      <c r="D522" s="253" t="s">
        <v>481</v>
      </c>
      <c r="E522" s="253" t="s">
        <v>1009</v>
      </c>
      <c r="F522" s="256">
        <v>1.0</v>
      </c>
      <c r="G522" s="256">
        <v>2.0</v>
      </c>
      <c r="H522" s="256">
        <v>-1.0</v>
      </c>
      <c r="I522" s="256">
        <v>1.0</v>
      </c>
      <c r="J522" s="256">
        <v>2.0</v>
      </c>
      <c r="K522" s="256">
        <v>-1.0</v>
      </c>
      <c r="L522" s="256">
        <v>2.0</v>
      </c>
      <c r="M522" s="256">
        <v>2.0</v>
      </c>
    </row>
    <row r="523">
      <c r="A523" s="256">
        <v>2839.0</v>
      </c>
      <c r="B523" s="253" t="s">
        <v>492</v>
      </c>
      <c r="C523" s="253" t="s">
        <v>1185</v>
      </c>
      <c r="D523" s="253" t="s">
        <v>563</v>
      </c>
      <c r="E523" s="253" t="s">
        <v>1033</v>
      </c>
      <c r="F523" s="256">
        <v>8.0</v>
      </c>
      <c r="G523" s="256">
        <v>8.0</v>
      </c>
      <c r="H523" s="256">
        <v>0.0</v>
      </c>
      <c r="I523" s="256">
        <v>8.0</v>
      </c>
      <c r="J523" s="256">
        <v>8.0</v>
      </c>
      <c r="K523" s="256">
        <v>0.0</v>
      </c>
      <c r="L523" s="256">
        <v>12.0</v>
      </c>
      <c r="M523" s="256">
        <v>12.0</v>
      </c>
    </row>
    <row r="524">
      <c r="A524" s="256">
        <v>5734.0</v>
      </c>
      <c r="B524" s="253" t="s">
        <v>507</v>
      </c>
      <c r="C524" s="253" t="s">
        <v>818</v>
      </c>
      <c r="D524" s="253" t="s">
        <v>935</v>
      </c>
      <c r="E524" s="253" t="s">
        <v>1342</v>
      </c>
      <c r="F524" s="256">
        <v>4.0</v>
      </c>
      <c r="G524" s="256">
        <v>4.0</v>
      </c>
      <c r="H524" s="256">
        <v>0.0</v>
      </c>
      <c r="I524" s="256">
        <v>5.0</v>
      </c>
      <c r="J524" s="256">
        <v>5.0</v>
      </c>
      <c r="K524" s="256">
        <v>0.0</v>
      </c>
      <c r="L524" s="256">
        <v>14.0</v>
      </c>
      <c r="M524" s="256">
        <v>14.0</v>
      </c>
    </row>
    <row r="525">
      <c r="A525" s="256">
        <v>4891.0</v>
      </c>
      <c r="B525" s="253" t="s">
        <v>480</v>
      </c>
      <c r="C525" s="253" t="s">
        <v>1506</v>
      </c>
      <c r="D525" s="253" t="s">
        <v>481</v>
      </c>
      <c r="E525" s="253" t="s">
        <v>1009</v>
      </c>
      <c r="F525" s="256">
        <v>3.0</v>
      </c>
      <c r="G525" s="256">
        <v>4.0</v>
      </c>
      <c r="H525" s="256">
        <v>-1.0</v>
      </c>
      <c r="I525" s="256">
        <v>3.0</v>
      </c>
      <c r="J525" s="256">
        <v>4.0</v>
      </c>
      <c r="K525" s="256">
        <v>-1.0</v>
      </c>
      <c r="L525" s="256">
        <v>5.0</v>
      </c>
      <c r="M525" s="256">
        <v>5.0</v>
      </c>
    </row>
    <row r="526">
      <c r="A526" s="254">
        <v>5982.0</v>
      </c>
      <c r="B526" s="255" t="s">
        <v>480</v>
      </c>
      <c r="C526" s="255" t="s">
        <v>1507</v>
      </c>
      <c r="D526" s="255" t="s">
        <v>938</v>
      </c>
      <c r="E526" s="255" t="s">
        <v>1026</v>
      </c>
      <c r="F526" s="254">
        <v>6.0</v>
      </c>
      <c r="G526" s="254">
        <v>5.0</v>
      </c>
      <c r="H526" s="254">
        <v>1.0</v>
      </c>
      <c r="I526" s="254">
        <v>6.0</v>
      </c>
      <c r="J526" s="254">
        <v>5.0</v>
      </c>
      <c r="K526" s="254">
        <v>1.0</v>
      </c>
      <c r="L526" s="254">
        <v>15.0</v>
      </c>
      <c r="M526" s="254">
        <v>15.0</v>
      </c>
    </row>
    <row r="527">
      <c r="A527" s="256">
        <v>1852.0</v>
      </c>
      <c r="B527" s="253" t="s">
        <v>480</v>
      </c>
      <c r="C527" s="253" t="s">
        <v>678</v>
      </c>
      <c r="D527" s="253" t="s">
        <v>521</v>
      </c>
      <c r="E527" s="253" t="s">
        <v>988</v>
      </c>
      <c r="F527" s="256">
        <v>12.0</v>
      </c>
      <c r="G527" s="256">
        <v>10.0</v>
      </c>
      <c r="H527" s="256">
        <v>2.0</v>
      </c>
      <c r="I527" s="256">
        <v>11.0</v>
      </c>
      <c r="J527" s="256">
        <v>9.0</v>
      </c>
      <c r="K527" s="256">
        <v>2.0</v>
      </c>
      <c r="L527" s="256">
        <v>26.0</v>
      </c>
      <c r="M527" s="256">
        <v>22.0</v>
      </c>
    </row>
    <row r="528">
      <c r="A528" s="256">
        <v>4.0</v>
      </c>
      <c r="B528" s="253" t="s">
        <v>477</v>
      </c>
      <c r="C528" s="253" t="s">
        <v>760</v>
      </c>
      <c r="D528" s="253" t="s">
        <v>478</v>
      </c>
      <c r="E528" s="253" t="s">
        <v>991</v>
      </c>
      <c r="F528" s="256">
        <v>1.0</v>
      </c>
      <c r="G528" s="256">
        <v>1.0</v>
      </c>
      <c r="H528" s="256">
        <v>0.0</v>
      </c>
      <c r="I528" s="256">
        <v>1.0</v>
      </c>
      <c r="J528" s="256">
        <v>1.0</v>
      </c>
      <c r="K528" s="256">
        <v>0.0</v>
      </c>
      <c r="L528" s="256">
        <v>1.0</v>
      </c>
      <c r="M528" s="256">
        <v>1.0</v>
      </c>
    </row>
    <row r="529">
      <c r="A529" s="256">
        <v>6427.0</v>
      </c>
      <c r="B529" s="253" t="s">
        <v>507</v>
      </c>
      <c r="C529" s="253" t="s">
        <v>1508</v>
      </c>
      <c r="D529" s="253" t="s">
        <v>512</v>
      </c>
      <c r="E529" s="253" t="s">
        <v>1355</v>
      </c>
      <c r="F529" s="256">
        <v>1.0</v>
      </c>
      <c r="G529" s="256">
        <v>1.0</v>
      </c>
      <c r="H529" s="256">
        <v>0.0</v>
      </c>
      <c r="I529" s="256">
        <v>1.0</v>
      </c>
      <c r="J529" s="256">
        <v>1.0</v>
      </c>
      <c r="K529" s="256">
        <v>0.0</v>
      </c>
      <c r="L529" s="256">
        <v>1.0</v>
      </c>
      <c r="M529" s="256">
        <v>1.0</v>
      </c>
    </row>
    <row r="530">
      <c r="A530" s="254">
        <v>6569.0</v>
      </c>
      <c r="B530" s="255" t="s">
        <v>477</v>
      </c>
      <c r="C530" s="255" t="s">
        <v>1509</v>
      </c>
      <c r="D530" s="255" t="s">
        <v>478</v>
      </c>
      <c r="E530" s="255" t="s">
        <v>1026</v>
      </c>
      <c r="F530" s="254">
        <v>1.0</v>
      </c>
      <c r="G530" s="254">
        <v>1.0</v>
      </c>
      <c r="H530" s="254">
        <v>0.0</v>
      </c>
      <c r="I530" s="254">
        <v>1.0</v>
      </c>
      <c r="J530" s="254">
        <v>1.0</v>
      </c>
      <c r="K530" s="254">
        <v>0.0</v>
      </c>
      <c r="L530" s="254">
        <v>1.0</v>
      </c>
      <c r="M530" s="254">
        <v>1.0</v>
      </c>
    </row>
    <row r="531">
      <c r="A531" s="256">
        <v>4486.0</v>
      </c>
      <c r="B531" s="253" t="s">
        <v>492</v>
      </c>
      <c r="C531" s="253" t="s">
        <v>629</v>
      </c>
      <c r="D531" s="253" t="s">
        <v>563</v>
      </c>
      <c r="E531" s="253" t="s">
        <v>998</v>
      </c>
      <c r="F531" s="256">
        <v>18.0</v>
      </c>
      <c r="G531" s="256">
        <v>18.0</v>
      </c>
      <c r="H531" s="256">
        <v>0.0</v>
      </c>
      <c r="I531" s="256">
        <v>17.0</v>
      </c>
      <c r="J531" s="256">
        <v>17.0</v>
      </c>
      <c r="K531" s="256">
        <v>0.0</v>
      </c>
      <c r="L531" s="256">
        <v>77.0</v>
      </c>
      <c r="M531" s="256">
        <v>72.0</v>
      </c>
    </row>
    <row r="532">
      <c r="A532" s="256">
        <v>470.0</v>
      </c>
      <c r="B532" s="253" t="s">
        <v>492</v>
      </c>
      <c r="C532" s="253" t="s">
        <v>1510</v>
      </c>
      <c r="D532" s="253" t="s">
        <v>930</v>
      </c>
      <c r="E532" s="253" t="s">
        <v>1026</v>
      </c>
      <c r="F532" s="256">
        <v>6.0</v>
      </c>
      <c r="G532" s="256">
        <v>6.0</v>
      </c>
      <c r="H532" s="256">
        <v>0.0</v>
      </c>
      <c r="I532" s="256">
        <v>7.0</v>
      </c>
      <c r="J532" s="256">
        <v>7.0</v>
      </c>
      <c r="K532" s="256">
        <v>0.0</v>
      </c>
      <c r="L532" s="256">
        <v>8.0</v>
      </c>
      <c r="M532" s="256">
        <v>9.0</v>
      </c>
    </row>
    <row r="533">
      <c r="A533" s="256">
        <v>6234.0</v>
      </c>
      <c r="B533" s="253" t="s">
        <v>477</v>
      </c>
      <c r="C533" s="253" t="s">
        <v>1511</v>
      </c>
      <c r="D533" s="253" t="s">
        <v>478</v>
      </c>
      <c r="E533" s="253" t="s">
        <v>1222</v>
      </c>
      <c r="F533" s="256">
        <v>1.0</v>
      </c>
      <c r="G533" s="256">
        <v>1.0</v>
      </c>
      <c r="H533" s="256">
        <v>0.0</v>
      </c>
      <c r="I533" s="256">
        <v>1.0</v>
      </c>
      <c r="J533" s="256">
        <v>1.0</v>
      </c>
      <c r="K533" s="256">
        <v>0.0</v>
      </c>
      <c r="L533" s="256">
        <v>1.0</v>
      </c>
      <c r="M533" s="256">
        <v>1.0</v>
      </c>
    </row>
    <row r="534">
      <c r="A534" s="256">
        <v>5676.0</v>
      </c>
      <c r="B534" s="253" t="s">
        <v>507</v>
      </c>
      <c r="C534" s="253" t="s">
        <v>1512</v>
      </c>
      <c r="D534" s="253" t="s">
        <v>507</v>
      </c>
      <c r="E534" s="253" t="s">
        <v>993</v>
      </c>
      <c r="F534" s="256">
        <v>7.0</v>
      </c>
      <c r="G534" s="256">
        <v>7.0</v>
      </c>
      <c r="H534" s="256">
        <v>0.0</v>
      </c>
      <c r="I534" s="256">
        <v>7.0</v>
      </c>
      <c r="J534" s="256">
        <v>7.0</v>
      </c>
      <c r="K534" s="256">
        <v>0.0</v>
      </c>
      <c r="L534" s="256">
        <v>9.0</v>
      </c>
      <c r="M534" s="256">
        <v>9.0</v>
      </c>
    </row>
    <row r="535">
      <c r="A535" s="256">
        <v>6024.0</v>
      </c>
      <c r="B535" s="253" t="s">
        <v>492</v>
      </c>
      <c r="C535" s="253" t="s">
        <v>1191</v>
      </c>
      <c r="D535" s="253" t="s">
        <v>930</v>
      </c>
      <c r="E535" s="253" t="s">
        <v>975</v>
      </c>
      <c r="F535" s="256">
        <v>3.0</v>
      </c>
      <c r="G535" s="256">
        <v>3.0</v>
      </c>
      <c r="H535" s="256">
        <v>0.0</v>
      </c>
      <c r="I535" s="256">
        <v>2.0</v>
      </c>
      <c r="J535" s="256">
        <v>2.0</v>
      </c>
      <c r="K535" s="256">
        <v>0.0</v>
      </c>
      <c r="L535" s="256">
        <v>4.0</v>
      </c>
      <c r="M535" s="256">
        <v>5.0</v>
      </c>
    </row>
    <row r="536">
      <c r="A536" s="256">
        <v>6486.0</v>
      </c>
      <c r="B536" s="253" t="s">
        <v>492</v>
      </c>
      <c r="C536" s="253" t="s">
        <v>616</v>
      </c>
      <c r="D536" s="253" t="s">
        <v>1038</v>
      </c>
      <c r="E536" s="253" t="s">
        <v>983</v>
      </c>
      <c r="F536" s="256">
        <v>3.0</v>
      </c>
      <c r="G536" s="256">
        <v>3.0</v>
      </c>
      <c r="H536" s="256">
        <v>0.0</v>
      </c>
      <c r="I536" s="256">
        <v>5.0</v>
      </c>
      <c r="J536" s="256">
        <v>5.0</v>
      </c>
      <c r="K536" s="256">
        <v>0.0</v>
      </c>
      <c r="L536" s="256">
        <v>5.0</v>
      </c>
      <c r="M536" s="256">
        <v>7.0</v>
      </c>
    </row>
    <row r="537">
      <c r="A537" s="256">
        <v>5841.0</v>
      </c>
      <c r="B537" s="253" t="s">
        <v>477</v>
      </c>
      <c r="C537" s="253" t="s">
        <v>890</v>
      </c>
      <c r="D537" s="253" t="s">
        <v>478</v>
      </c>
      <c r="E537" s="253" t="s">
        <v>988</v>
      </c>
      <c r="F537" s="256">
        <v>1.0</v>
      </c>
      <c r="G537" s="256">
        <v>1.0</v>
      </c>
      <c r="H537" s="256">
        <v>0.0</v>
      </c>
      <c r="I537" s="256">
        <v>1.0</v>
      </c>
      <c r="J537" s="256">
        <v>1.0</v>
      </c>
      <c r="K537" s="256">
        <v>0.0</v>
      </c>
      <c r="L537" s="256">
        <v>1.0</v>
      </c>
      <c r="M537" s="256">
        <v>1.0</v>
      </c>
    </row>
    <row r="538">
      <c r="A538" s="254">
        <v>6580.0</v>
      </c>
      <c r="B538" s="255" t="s">
        <v>507</v>
      </c>
      <c r="C538" s="255" t="s">
        <v>1513</v>
      </c>
      <c r="D538" s="255" t="s">
        <v>512</v>
      </c>
      <c r="E538" s="255" t="s">
        <v>983</v>
      </c>
      <c r="F538" s="254">
        <v>8.0</v>
      </c>
      <c r="G538" s="254">
        <v>8.0</v>
      </c>
      <c r="H538" s="254">
        <v>0.0</v>
      </c>
      <c r="I538" s="254">
        <v>8.0</v>
      </c>
      <c r="J538" s="254">
        <v>8.0</v>
      </c>
      <c r="K538" s="254">
        <v>0.0</v>
      </c>
      <c r="L538" s="254">
        <v>20.0</v>
      </c>
      <c r="M538" s="254">
        <v>20.0</v>
      </c>
    </row>
    <row r="539">
      <c r="A539" s="256">
        <v>453.0</v>
      </c>
      <c r="B539" s="253" t="s">
        <v>477</v>
      </c>
      <c r="C539" s="253" t="s">
        <v>1514</v>
      </c>
      <c r="D539" s="253" t="s">
        <v>478</v>
      </c>
      <c r="E539" s="253" t="s">
        <v>976</v>
      </c>
      <c r="F539" s="256">
        <v>15.0</v>
      </c>
      <c r="G539" s="256">
        <v>15.0</v>
      </c>
      <c r="H539" s="256">
        <v>0.0</v>
      </c>
      <c r="I539" s="256">
        <v>15.0</v>
      </c>
      <c r="J539" s="256">
        <v>15.0</v>
      </c>
      <c r="K539" s="256">
        <v>0.0</v>
      </c>
      <c r="L539" s="256">
        <v>71.0</v>
      </c>
      <c r="M539" s="256">
        <v>71.0</v>
      </c>
    </row>
    <row r="540">
      <c r="A540" s="256">
        <v>4890.0</v>
      </c>
      <c r="B540" s="253" t="s">
        <v>492</v>
      </c>
      <c r="C540" s="253" t="s">
        <v>891</v>
      </c>
      <c r="D540" s="253" t="s">
        <v>930</v>
      </c>
      <c r="E540" s="253" t="s">
        <v>972</v>
      </c>
      <c r="F540" s="256">
        <v>8.0</v>
      </c>
      <c r="G540" s="256">
        <v>8.0</v>
      </c>
      <c r="H540" s="256">
        <v>0.0</v>
      </c>
      <c r="I540" s="256">
        <v>9.0</v>
      </c>
      <c r="J540" s="256">
        <v>9.0</v>
      </c>
      <c r="K540" s="256">
        <v>0.0</v>
      </c>
      <c r="L540" s="256">
        <v>10.0</v>
      </c>
      <c r="M540" s="256">
        <v>13.0</v>
      </c>
    </row>
    <row r="541">
      <c r="A541" s="254">
        <v>6558.0</v>
      </c>
      <c r="B541" s="255" t="s">
        <v>507</v>
      </c>
      <c r="C541" s="255" t="s">
        <v>1515</v>
      </c>
      <c r="D541" s="255" t="s">
        <v>507</v>
      </c>
      <c r="E541" s="255" t="s">
        <v>983</v>
      </c>
      <c r="F541" s="254">
        <v>3.0</v>
      </c>
      <c r="G541" s="254">
        <v>3.0</v>
      </c>
      <c r="H541" s="254">
        <v>0.0</v>
      </c>
      <c r="I541" s="254">
        <v>3.0</v>
      </c>
      <c r="J541" s="254">
        <v>3.0</v>
      </c>
      <c r="K541" s="254">
        <v>0.0</v>
      </c>
      <c r="L541" s="254">
        <v>10.0</v>
      </c>
      <c r="M541" s="254">
        <v>10.0</v>
      </c>
    </row>
    <row r="542">
      <c r="A542" s="256">
        <v>5919.0</v>
      </c>
      <c r="B542" s="253" t="s">
        <v>492</v>
      </c>
      <c r="C542" s="253" t="s">
        <v>741</v>
      </c>
      <c r="D542" s="253" t="s">
        <v>563</v>
      </c>
      <c r="E542" s="253" t="s">
        <v>1355</v>
      </c>
      <c r="F542" s="256">
        <v>3.0</v>
      </c>
      <c r="G542" s="256">
        <v>3.0</v>
      </c>
      <c r="H542" s="256">
        <v>0.0</v>
      </c>
      <c r="I542" s="256">
        <v>2.0</v>
      </c>
      <c r="J542" s="256">
        <v>2.0</v>
      </c>
      <c r="K542" s="256">
        <v>0.0</v>
      </c>
      <c r="L542" s="256">
        <v>5.0</v>
      </c>
      <c r="M542" s="256">
        <v>3.0</v>
      </c>
    </row>
    <row r="543">
      <c r="A543" s="256">
        <v>6480.0</v>
      </c>
      <c r="B543" s="253" t="s">
        <v>492</v>
      </c>
      <c r="C543" s="253" t="s">
        <v>845</v>
      </c>
      <c r="D543" s="253" t="s">
        <v>563</v>
      </c>
      <c r="E543" s="253" t="s">
        <v>983</v>
      </c>
      <c r="F543" s="256">
        <v>4.0</v>
      </c>
      <c r="G543" s="256">
        <v>4.0</v>
      </c>
      <c r="H543" s="256">
        <v>0.0</v>
      </c>
      <c r="I543" s="256">
        <v>3.0</v>
      </c>
      <c r="J543" s="256">
        <v>3.0</v>
      </c>
      <c r="K543" s="256">
        <v>0.0</v>
      </c>
      <c r="L543" s="256">
        <v>5.0</v>
      </c>
      <c r="M543" s="256">
        <v>4.0</v>
      </c>
    </row>
    <row r="544">
      <c r="A544" s="256">
        <v>2815.0</v>
      </c>
      <c r="B544" s="253" t="s">
        <v>477</v>
      </c>
      <c r="C544" s="253" t="s">
        <v>709</v>
      </c>
      <c r="D544" s="253" t="s">
        <v>478</v>
      </c>
      <c r="E544" s="253" t="s">
        <v>1033</v>
      </c>
      <c r="F544" s="256">
        <v>10.0</v>
      </c>
      <c r="G544" s="256">
        <v>10.0</v>
      </c>
      <c r="H544" s="256">
        <v>0.0</v>
      </c>
      <c r="I544" s="256">
        <v>10.0</v>
      </c>
      <c r="J544" s="256">
        <v>10.0</v>
      </c>
      <c r="K544" s="256">
        <v>0.0</v>
      </c>
      <c r="L544" s="256">
        <v>14.0</v>
      </c>
      <c r="M544" s="256">
        <v>14.0</v>
      </c>
    </row>
    <row r="545">
      <c r="A545" s="256">
        <v>5812.0</v>
      </c>
      <c r="B545" s="253" t="s">
        <v>480</v>
      </c>
      <c r="C545" s="253" t="s">
        <v>649</v>
      </c>
      <c r="D545" s="253" t="s">
        <v>938</v>
      </c>
      <c r="E545" s="253" t="s">
        <v>983</v>
      </c>
      <c r="F545" s="256">
        <v>4.0</v>
      </c>
      <c r="G545" s="256">
        <v>3.0</v>
      </c>
      <c r="H545" s="256">
        <v>1.0</v>
      </c>
      <c r="I545" s="256">
        <v>4.0</v>
      </c>
      <c r="J545" s="256">
        <v>3.0</v>
      </c>
      <c r="K545" s="256">
        <v>1.0</v>
      </c>
      <c r="L545" s="256">
        <v>7.0</v>
      </c>
      <c r="M545" s="256">
        <v>7.0</v>
      </c>
    </row>
    <row r="546">
      <c r="A546" s="256">
        <v>2369.0</v>
      </c>
      <c r="B546" s="253" t="s">
        <v>507</v>
      </c>
      <c r="C546" s="253" t="s">
        <v>857</v>
      </c>
      <c r="D546" s="253" t="s">
        <v>507</v>
      </c>
      <c r="E546" s="253" t="s">
        <v>993</v>
      </c>
      <c r="F546" s="256">
        <v>11.0</v>
      </c>
      <c r="G546" s="256">
        <v>11.0</v>
      </c>
      <c r="H546" s="256">
        <v>0.0</v>
      </c>
      <c r="I546" s="256">
        <v>11.0</v>
      </c>
      <c r="J546" s="256">
        <v>11.0</v>
      </c>
      <c r="K546" s="256">
        <v>0.0</v>
      </c>
      <c r="L546" s="256">
        <v>16.0</v>
      </c>
      <c r="M546" s="256">
        <v>18.0</v>
      </c>
    </row>
    <row r="547">
      <c r="A547" s="256">
        <v>6055.0</v>
      </c>
      <c r="B547" s="253" t="s">
        <v>480</v>
      </c>
      <c r="C547" s="253" t="s">
        <v>933</v>
      </c>
      <c r="D547" s="253" t="s">
        <v>481</v>
      </c>
      <c r="E547" s="253" t="s">
        <v>991</v>
      </c>
      <c r="F547" s="256">
        <v>11.0</v>
      </c>
      <c r="G547" s="256">
        <v>10.0</v>
      </c>
      <c r="H547" s="256">
        <v>1.0</v>
      </c>
      <c r="I547" s="256">
        <v>11.0</v>
      </c>
      <c r="J547" s="256">
        <v>10.0</v>
      </c>
      <c r="K547" s="256">
        <v>1.0</v>
      </c>
      <c r="L547" s="256">
        <v>27.0</v>
      </c>
      <c r="M547" s="256">
        <v>27.0</v>
      </c>
    </row>
    <row r="548">
      <c r="A548" s="256">
        <v>4404.0</v>
      </c>
      <c r="B548" s="253" t="s">
        <v>492</v>
      </c>
      <c r="C548" s="253" t="s">
        <v>1194</v>
      </c>
      <c r="D548" s="253" t="s">
        <v>930</v>
      </c>
      <c r="E548" s="253" t="s">
        <v>1026</v>
      </c>
      <c r="F548" s="256">
        <v>8.0</v>
      </c>
      <c r="G548" s="256">
        <v>9.0</v>
      </c>
      <c r="H548" s="256">
        <v>-1.0</v>
      </c>
      <c r="I548" s="256">
        <v>10.0</v>
      </c>
      <c r="J548" s="256">
        <v>11.0</v>
      </c>
      <c r="K548" s="256">
        <v>-1.0</v>
      </c>
      <c r="L548" s="256">
        <v>18.0</v>
      </c>
      <c r="M548" s="256">
        <v>21.0</v>
      </c>
    </row>
    <row r="549">
      <c r="A549" s="256">
        <v>5844.0</v>
      </c>
      <c r="B549" s="253" t="s">
        <v>492</v>
      </c>
      <c r="C549" s="253" t="s">
        <v>1195</v>
      </c>
      <c r="D549" s="253" t="s">
        <v>934</v>
      </c>
      <c r="E549" s="253" t="s">
        <v>1005</v>
      </c>
      <c r="F549" s="256">
        <v>6.0</v>
      </c>
      <c r="G549" s="256">
        <v>6.0</v>
      </c>
      <c r="H549" s="256">
        <v>0.0</v>
      </c>
      <c r="I549" s="256">
        <v>6.0</v>
      </c>
      <c r="J549" s="256">
        <v>6.0</v>
      </c>
      <c r="K549" s="256">
        <v>0.0</v>
      </c>
      <c r="L549" s="256">
        <v>7.0</v>
      </c>
      <c r="M549" s="256">
        <v>7.0</v>
      </c>
    </row>
    <row r="550">
      <c r="A550" s="256">
        <v>4871.0</v>
      </c>
      <c r="B550" s="253" t="s">
        <v>507</v>
      </c>
      <c r="C550" s="253" t="s">
        <v>273</v>
      </c>
      <c r="D550" s="253" t="s">
        <v>512</v>
      </c>
      <c r="E550" s="253" t="s">
        <v>973</v>
      </c>
      <c r="F550" s="256">
        <v>25.0</v>
      </c>
      <c r="G550" s="256">
        <v>23.0</v>
      </c>
      <c r="H550" s="256">
        <v>2.0</v>
      </c>
      <c r="I550" s="256">
        <v>25.0</v>
      </c>
      <c r="J550" s="256">
        <v>23.0</v>
      </c>
      <c r="K550" s="256">
        <v>2.0</v>
      </c>
      <c r="L550" s="256">
        <v>180.0</v>
      </c>
      <c r="M550" s="256">
        <v>185.0</v>
      </c>
    </row>
    <row r="551">
      <c r="A551" s="256">
        <v>4426.0</v>
      </c>
      <c r="B551" s="253" t="s">
        <v>480</v>
      </c>
      <c r="C551" s="253" t="s">
        <v>1516</v>
      </c>
      <c r="D551" s="253" t="s">
        <v>938</v>
      </c>
      <c r="E551" s="253" t="s">
        <v>1005</v>
      </c>
      <c r="F551" s="256">
        <v>6.0</v>
      </c>
      <c r="G551" s="256">
        <v>6.0</v>
      </c>
      <c r="H551" s="256">
        <v>0.0</v>
      </c>
      <c r="I551" s="256">
        <v>6.0</v>
      </c>
      <c r="J551" s="256">
        <v>6.0</v>
      </c>
      <c r="K551" s="256">
        <v>0.0</v>
      </c>
      <c r="L551" s="256">
        <v>9.0</v>
      </c>
      <c r="M551" s="256">
        <v>9.0</v>
      </c>
    </row>
    <row r="552">
      <c r="A552" s="256">
        <v>695.0</v>
      </c>
      <c r="B552" s="253" t="s">
        <v>480</v>
      </c>
      <c r="C552" s="253" t="s">
        <v>1236</v>
      </c>
      <c r="D552" s="253" t="s">
        <v>481</v>
      </c>
      <c r="E552" s="253" t="s">
        <v>980</v>
      </c>
      <c r="F552" s="256">
        <v>8.0</v>
      </c>
      <c r="G552" s="256">
        <v>9.0</v>
      </c>
      <c r="H552" s="256">
        <v>-1.0</v>
      </c>
      <c r="I552" s="256">
        <v>8.0</v>
      </c>
      <c r="J552" s="256">
        <v>9.0</v>
      </c>
      <c r="K552" s="256">
        <v>-1.0</v>
      </c>
      <c r="L552" s="256">
        <v>12.0</v>
      </c>
      <c r="M552" s="256">
        <v>12.0</v>
      </c>
    </row>
    <row r="553">
      <c r="A553" s="256">
        <v>4751.0</v>
      </c>
      <c r="B553" s="253" t="s">
        <v>480</v>
      </c>
      <c r="C553" s="253" t="s">
        <v>769</v>
      </c>
      <c r="D553" s="253" t="s">
        <v>481</v>
      </c>
      <c r="E553" s="253" t="s">
        <v>991</v>
      </c>
      <c r="F553" s="256">
        <v>13.0</v>
      </c>
      <c r="G553" s="256">
        <v>13.0</v>
      </c>
      <c r="H553" s="256">
        <v>0.0</v>
      </c>
      <c r="I553" s="256">
        <v>13.0</v>
      </c>
      <c r="J553" s="256">
        <v>13.0</v>
      </c>
      <c r="K553" s="256">
        <v>0.0</v>
      </c>
      <c r="L553" s="256">
        <v>43.0</v>
      </c>
      <c r="M553" s="256">
        <v>43.0</v>
      </c>
    </row>
    <row r="554">
      <c r="A554" s="256">
        <v>144.0</v>
      </c>
      <c r="B554" s="253" t="s">
        <v>480</v>
      </c>
      <c r="C554" s="253" t="s">
        <v>1517</v>
      </c>
      <c r="D554" s="253" t="s">
        <v>481</v>
      </c>
      <c r="E554" s="253" t="s">
        <v>1222</v>
      </c>
      <c r="F554" s="256">
        <v>1.0</v>
      </c>
      <c r="G554" s="256">
        <v>1.0</v>
      </c>
      <c r="H554" s="256">
        <v>0.0</v>
      </c>
      <c r="I554" s="256">
        <v>1.0</v>
      </c>
      <c r="J554" s="256">
        <v>1.0</v>
      </c>
      <c r="K554" s="256">
        <v>0.0</v>
      </c>
      <c r="L554" s="256">
        <v>2.0</v>
      </c>
      <c r="M554" s="256">
        <v>2.0</v>
      </c>
    </row>
    <row r="555">
      <c r="A555" s="256">
        <v>6465.0</v>
      </c>
      <c r="B555" s="253" t="s">
        <v>480</v>
      </c>
      <c r="C555" s="253" t="s">
        <v>1518</v>
      </c>
      <c r="D555" s="253" t="s">
        <v>1022</v>
      </c>
      <c r="E555" s="253" t="s">
        <v>998</v>
      </c>
      <c r="F555" s="256">
        <v>3.0</v>
      </c>
      <c r="G555" s="256">
        <v>3.0</v>
      </c>
      <c r="H555" s="256">
        <v>0.0</v>
      </c>
      <c r="I555" s="256">
        <v>3.0</v>
      </c>
      <c r="J555" s="256">
        <v>3.0</v>
      </c>
      <c r="K555" s="256">
        <v>0.0</v>
      </c>
      <c r="L555" s="256">
        <v>5.0</v>
      </c>
      <c r="M555" s="256">
        <v>5.0</v>
      </c>
    </row>
    <row r="556">
      <c r="A556" s="256">
        <v>6229.0</v>
      </c>
      <c r="B556" s="253" t="s">
        <v>507</v>
      </c>
      <c r="C556" s="253" t="s">
        <v>951</v>
      </c>
      <c r="D556" s="253" t="s">
        <v>512</v>
      </c>
      <c r="E556" s="253" t="s">
        <v>980</v>
      </c>
      <c r="F556" s="256">
        <v>15.0</v>
      </c>
      <c r="G556" s="256">
        <v>16.0</v>
      </c>
      <c r="H556" s="256">
        <v>-1.0</v>
      </c>
      <c r="I556" s="256">
        <v>14.0</v>
      </c>
      <c r="J556" s="256">
        <v>15.0</v>
      </c>
      <c r="K556" s="256">
        <v>-1.0</v>
      </c>
      <c r="L556" s="256">
        <v>45.0</v>
      </c>
      <c r="M556" s="256">
        <v>45.0</v>
      </c>
    </row>
    <row r="557">
      <c r="A557" s="254">
        <v>2857.0</v>
      </c>
      <c r="B557" s="255" t="s">
        <v>492</v>
      </c>
      <c r="C557" s="255" t="s">
        <v>1519</v>
      </c>
      <c r="D557" s="255" t="s">
        <v>1057</v>
      </c>
      <c r="E557" s="255" t="s">
        <v>987</v>
      </c>
      <c r="F557" s="254">
        <v>6.0</v>
      </c>
      <c r="G557" s="254">
        <v>7.0</v>
      </c>
      <c r="H557" s="254">
        <v>-1.0</v>
      </c>
      <c r="I557" s="254">
        <v>5.0</v>
      </c>
      <c r="J557" s="254">
        <v>6.0</v>
      </c>
      <c r="K557" s="254">
        <v>-1.0</v>
      </c>
      <c r="L557" s="254">
        <v>21.0</v>
      </c>
      <c r="M557" s="254">
        <v>19.0</v>
      </c>
    </row>
    <row r="558">
      <c r="A558" s="256">
        <v>5747.0</v>
      </c>
      <c r="B558" s="253" t="s">
        <v>480</v>
      </c>
      <c r="C558" s="253" t="s">
        <v>1520</v>
      </c>
      <c r="D558" s="253" t="s">
        <v>481</v>
      </c>
      <c r="E558" s="253" t="s">
        <v>1005</v>
      </c>
      <c r="F558" s="256">
        <v>5.0</v>
      </c>
      <c r="G558" s="256">
        <v>5.0</v>
      </c>
      <c r="H558" s="256">
        <v>0.0</v>
      </c>
      <c r="I558" s="256">
        <v>5.0</v>
      </c>
      <c r="J558" s="256">
        <v>5.0</v>
      </c>
      <c r="K558" s="256">
        <v>0.0</v>
      </c>
      <c r="L558" s="256">
        <v>7.0</v>
      </c>
      <c r="M558" s="256">
        <v>7.0</v>
      </c>
    </row>
    <row r="559">
      <c r="A559" s="256">
        <v>4867.0</v>
      </c>
      <c r="B559" s="253" t="s">
        <v>477</v>
      </c>
      <c r="C559" s="253" t="s">
        <v>830</v>
      </c>
      <c r="D559" s="253" t="s">
        <v>478</v>
      </c>
      <c r="E559" s="253" t="s">
        <v>1342</v>
      </c>
      <c r="F559" s="256">
        <v>5.0</v>
      </c>
      <c r="G559" s="256">
        <v>5.0</v>
      </c>
      <c r="H559" s="256">
        <v>0.0</v>
      </c>
      <c r="I559" s="256">
        <v>5.0</v>
      </c>
      <c r="J559" s="256">
        <v>5.0</v>
      </c>
      <c r="K559" s="256">
        <v>0.0</v>
      </c>
      <c r="L559" s="256">
        <v>8.0</v>
      </c>
      <c r="M559" s="256">
        <v>8.0</v>
      </c>
    </row>
    <row r="560">
      <c r="A560" s="256">
        <v>5425.0</v>
      </c>
      <c r="B560" s="253" t="s">
        <v>492</v>
      </c>
      <c r="C560" s="253" t="s">
        <v>827</v>
      </c>
      <c r="D560" s="253" t="s">
        <v>934</v>
      </c>
      <c r="E560" s="253" t="s">
        <v>1009</v>
      </c>
      <c r="F560" s="256">
        <v>2.0</v>
      </c>
      <c r="G560" s="256">
        <v>1.0</v>
      </c>
      <c r="H560" s="256">
        <v>1.0</v>
      </c>
      <c r="I560" s="256">
        <v>2.0</v>
      </c>
      <c r="J560" s="256">
        <v>1.0</v>
      </c>
      <c r="K560" s="256">
        <v>1.0</v>
      </c>
      <c r="L560" s="256">
        <v>2.0</v>
      </c>
      <c r="M560" s="256">
        <v>2.0</v>
      </c>
    </row>
    <row r="561">
      <c r="A561" s="256">
        <v>5843.0</v>
      </c>
      <c r="B561" s="253" t="s">
        <v>507</v>
      </c>
      <c r="C561" s="253" t="s">
        <v>1521</v>
      </c>
      <c r="D561" s="253" t="s">
        <v>507</v>
      </c>
      <c r="E561" s="253" t="s">
        <v>1355</v>
      </c>
      <c r="F561" s="256">
        <v>1.0</v>
      </c>
      <c r="G561" s="256">
        <v>1.0</v>
      </c>
      <c r="H561" s="256">
        <v>0.0</v>
      </c>
      <c r="I561" s="256">
        <v>1.0</v>
      </c>
      <c r="J561" s="256">
        <v>1.0</v>
      </c>
      <c r="K561" s="256">
        <v>0.0</v>
      </c>
      <c r="L561" s="256">
        <v>1.0</v>
      </c>
      <c r="M561" s="256">
        <v>1.0</v>
      </c>
    </row>
    <row r="562">
      <c r="A562" s="254">
        <v>5862.0</v>
      </c>
      <c r="B562" s="255" t="s">
        <v>480</v>
      </c>
      <c r="C562" s="255" t="s">
        <v>742</v>
      </c>
      <c r="D562" s="255" t="s">
        <v>931</v>
      </c>
      <c r="E562" s="255" t="s">
        <v>1342</v>
      </c>
      <c r="F562" s="254">
        <v>5.0</v>
      </c>
      <c r="G562" s="254">
        <v>6.0</v>
      </c>
      <c r="H562" s="254">
        <v>-1.0</v>
      </c>
      <c r="I562" s="254">
        <v>5.0</v>
      </c>
      <c r="J562" s="254">
        <v>6.0</v>
      </c>
      <c r="K562" s="254">
        <v>-1.0</v>
      </c>
      <c r="L562" s="254">
        <v>15.0</v>
      </c>
      <c r="M562" s="254">
        <v>15.0</v>
      </c>
    </row>
    <row r="563">
      <c r="A563" s="256">
        <v>5446.0</v>
      </c>
      <c r="B563" s="253" t="s">
        <v>507</v>
      </c>
      <c r="C563" s="253" t="s">
        <v>1522</v>
      </c>
      <c r="D563" s="253" t="s">
        <v>512</v>
      </c>
      <c r="E563" s="253" t="s">
        <v>1009</v>
      </c>
      <c r="F563" s="256">
        <v>2.0</v>
      </c>
      <c r="G563" s="256">
        <v>3.0</v>
      </c>
      <c r="H563" s="256">
        <v>-1.0</v>
      </c>
      <c r="I563" s="256">
        <v>2.0</v>
      </c>
      <c r="J563" s="256">
        <v>3.0</v>
      </c>
      <c r="K563" s="256">
        <v>-1.0</v>
      </c>
      <c r="L563" s="256">
        <v>5.0</v>
      </c>
      <c r="M563" s="256">
        <v>5.0</v>
      </c>
    </row>
    <row r="564">
      <c r="A564" s="256">
        <v>5514.0</v>
      </c>
      <c r="B564" s="253" t="s">
        <v>480</v>
      </c>
      <c r="C564" s="253" t="s">
        <v>770</v>
      </c>
      <c r="D564" s="253" t="s">
        <v>1022</v>
      </c>
      <c r="E564" s="253" t="s">
        <v>1026</v>
      </c>
      <c r="F564" s="256">
        <v>6.0</v>
      </c>
      <c r="G564" s="256">
        <v>4.0</v>
      </c>
      <c r="H564" s="256">
        <v>2.0</v>
      </c>
      <c r="I564" s="256">
        <v>7.0</v>
      </c>
      <c r="J564" s="256">
        <v>5.0</v>
      </c>
      <c r="K564" s="256">
        <v>2.0</v>
      </c>
      <c r="L564" s="256">
        <v>7.0</v>
      </c>
      <c r="M564" s="256">
        <v>7.0</v>
      </c>
    </row>
    <row r="565">
      <c r="A565" s="256">
        <v>181.0</v>
      </c>
      <c r="B565" s="253" t="s">
        <v>492</v>
      </c>
      <c r="C565" s="253" t="s">
        <v>771</v>
      </c>
      <c r="D565" s="253" t="s">
        <v>930</v>
      </c>
      <c r="E565" s="253" t="s">
        <v>1000</v>
      </c>
      <c r="F565" s="256">
        <v>6.0</v>
      </c>
      <c r="G565" s="256">
        <v>6.0</v>
      </c>
      <c r="H565" s="256">
        <v>0.0</v>
      </c>
      <c r="I565" s="256">
        <v>7.0</v>
      </c>
      <c r="J565" s="256">
        <v>7.0</v>
      </c>
      <c r="K565" s="256">
        <v>0.0</v>
      </c>
      <c r="L565" s="256">
        <v>7.0</v>
      </c>
      <c r="M565" s="256">
        <v>8.0</v>
      </c>
    </row>
    <row r="566">
      <c r="A566" s="256">
        <v>2174.0</v>
      </c>
      <c r="B566" s="253" t="s">
        <v>480</v>
      </c>
      <c r="C566" s="253" t="s">
        <v>1523</v>
      </c>
      <c r="D566" s="253" t="s">
        <v>944</v>
      </c>
      <c r="E566" s="253" t="s">
        <v>998</v>
      </c>
      <c r="F566" s="256">
        <v>3.0</v>
      </c>
      <c r="G566" s="256">
        <v>4.0</v>
      </c>
      <c r="H566" s="256">
        <v>-1.0</v>
      </c>
      <c r="I566" s="256">
        <v>4.0</v>
      </c>
      <c r="J566" s="256">
        <v>5.0</v>
      </c>
      <c r="K566" s="256">
        <v>-1.0</v>
      </c>
      <c r="L566" s="256">
        <v>5.0</v>
      </c>
      <c r="M566" s="256">
        <v>7.0</v>
      </c>
    </row>
    <row r="567">
      <c r="A567" s="254">
        <v>2154.0</v>
      </c>
      <c r="B567" s="255" t="s">
        <v>492</v>
      </c>
      <c r="C567" s="255" t="s">
        <v>1524</v>
      </c>
      <c r="D567" s="255" t="s">
        <v>1057</v>
      </c>
      <c r="E567" s="255" t="s">
        <v>1355</v>
      </c>
      <c r="F567" s="254">
        <v>1.0</v>
      </c>
      <c r="G567" s="254">
        <v>2.0</v>
      </c>
      <c r="H567" s="254">
        <v>-1.0</v>
      </c>
      <c r="I567" s="254">
        <v>1.0</v>
      </c>
      <c r="J567" s="254">
        <v>2.0</v>
      </c>
      <c r="K567" s="254">
        <v>-1.0</v>
      </c>
      <c r="L567" s="254">
        <v>3.0</v>
      </c>
      <c r="M567" s="254">
        <v>3.0</v>
      </c>
    </row>
    <row r="568">
      <c r="A568" s="256">
        <v>5879.0</v>
      </c>
      <c r="B568" s="253" t="s">
        <v>492</v>
      </c>
      <c r="C568" s="253" t="s">
        <v>1285</v>
      </c>
      <c r="D568" s="253" t="s">
        <v>947</v>
      </c>
      <c r="E568" s="253" t="s">
        <v>1225</v>
      </c>
      <c r="F568" s="256">
        <v>2.0</v>
      </c>
      <c r="G568" s="256">
        <v>1.0</v>
      </c>
      <c r="H568" s="256">
        <v>1.0</v>
      </c>
      <c r="I568" s="256">
        <v>2.0</v>
      </c>
      <c r="J568" s="256">
        <v>1.0</v>
      </c>
      <c r="K568" s="256">
        <v>1.0</v>
      </c>
      <c r="L568" s="256">
        <v>1.0</v>
      </c>
      <c r="M568" s="256">
        <v>1.0</v>
      </c>
    </row>
    <row r="569">
      <c r="A569" s="256">
        <v>5509.0</v>
      </c>
      <c r="B569" s="253" t="s">
        <v>480</v>
      </c>
      <c r="C569" s="253" t="s">
        <v>1525</v>
      </c>
      <c r="D569" s="253" t="s">
        <v>931</v>
      </c>
      <c r="E569" s="253" t="s">
        <v>1005</v>
      </c>
      <c r="F569" s="256">
        <v>4.0</v>
      </c>
      <c r="G569" s="256">
        <v>4.0</v>
      </c>
      <c r="H569" s="256">
        <v>0.0</v>
      </c>
      <c r="I569" s="256">
        <v>4.0</v>
      </c>
      <c r="J569" s="256">
        <v>4.0</v>
      </c>
      <c r="K569" s="256">
        <v>0.0</v>
      </c>
      <c r="L569" s="256">
        <v>6.0</v>
      </c>
      <c r="M569" s="256">
        <v>6.0</v>
      </c>
    </row>
    <row r="570">
      <c r="A570" s="254">
        <v>4802.0</v>
      </c>
      <c r="B570" s="255" t="s">
        <v>480</v>
      </c>
      <c r="C570" s="255" t="s">
        <v>1526</v>
      </c>
      <c r="D570" s="255" t="s">
        <v>931</v>
      </c>
      <c r="E570" s="255" t="s">
        <v>983</v>
      </c>
      <c r="F570" s="254">
        <v>4.0</v>
      </c>
      <c r="G570" s="254">
        <v>4.0</v>
      </c>
      <c r="H570" s="254">
        <v>0.0</v>
      </c>
      <c r="I570" s="254">
        <v>4.0</v>
      </c>
      <c r="J570" s="254">
        <v>4.0</v>
      </c>
      <c r="K570" s="254">
        <v>0.0</v>
      </c>
      <c r="L570" s="254">
        <v>10.0</v>
      </c>
      <c r="M570" s="254">
        <v>10.0</v>
      </c>
    </row>
    <row r="571">
      <c r="A571" s="256">
        <v>440.0</v>
      </c>
      <c r="B571" s="253" t="s">
        <v>492</v>
      </c>
      <c r="C571" s="253" t="s">
        <v>1230</v>
      </c>
      <c r="D571" s="253" t="s">
        <v>492</v>
      </c>
      <c r="E571" s="253" t="s">
        <v>975</v>
      </c>
      <c r="F571" s="256">
        <v>1.0</v>
      </c>
      <c r="G571" s="256">
        <v>2.0</v>
      </c>
      <c r="H571" s="256">
        <v>-1.0</v>
      </c>
      <c r="I571" s="256">
        <v>1.0</v>
      </c>
      <c r="J571" s="256">
        <v>2.0</v>
      </c>
      <c r="K571" s="256">
        <v>-1.0</v>
      </c>
      <c r="L571" s="256">
        <v>4.0</v>
      </c>
      <c r="M571" s="256">
        <v>4.0</v>
      </c>
    </row>
    <row r="572">
      <c r="A572" s="256">
        <v>5718.0</v>
      </c>
      <c r="B572" s="253" t="s">
        <v>480</v>
      </c>
      <c r="C572" s="253" t="s">
        <v>652</v>
      </c>
      <c r="D572" s="253" t="s">
        <v>481</v>
      </c>
      <c r="E572" s="253" t="s">
        <v>1005</v>
      </c>
      <c r="F572" s="256">
        <v>6.0</v>
      </c>
      <c r="G572" s="256">
        <v>6.0</v>
      </c>
      <c r="H572" s="256">
        <v>0.0</v>
      </c>
      <c r="I572" s="256">
        <v>6.0</v>
      </c>
      <c r="J572" s="256">
        <v>6.0</v>
      </c>
      <c r="K572" s="256">
        <v>0.0</v>
      </c>
      <c r="L572" s="256">
        <v>7.0</v>
      </c>
      <c r="M572" s="256">
        <v>7.0</v>
      </c>
    </row>
    <row r="573">
      <c r="A573" s="254">
        <v>6164.0</v>
      </c>
      <c r="B573" s="255" t="s">
        <v>507</v>
      </c>
      <c r="C573" s="255" t="s">
        <v>232</v>
      </c>
      <c r="D573" s="255" t="s">
        <v>512</v>
      </c>
      <c r="E573" s="255" t="s">
        <v>1026</v>
      </c>
      <c r="F573" s="254">
        <v>14.0</v>
      </c>
      <c r="G573" s="254">
        <v>14.0</v>
      </c>
      <c r="H573" s="254">
        <v>0.0</v>
      </c>
      <c r="I573" s="254">
        <v>14.0</v>
      </c>
      <c r="J573" s="254">
        <v>14.0</v>
      </c>
      <c r="K573" s="254">
        <v>0.0</v>
      </c>
      <c r="L573" s="254">
        <v>34.0</v>
      </c>
      <c r="M573" s="254">
        <v>24.0</v>
      </c>
    </row>
    <row r="574">
      <c r="A574" s="256">
        <v>6160.0</v>
      </c>
      <c r="B574" s="253" t="s">
        <v>507</v>
      </c>
      <c r="C574" s="253" t="s">
        <v>1527</v>
      </c>
      <c r="D574" s="253" t="s">
        <v>512</v>
      </c>
      <c r="E574" s="253" t="s">
        <v>993</v>
      </c>
      <c r="F574" s="256">
        <v>1.0</v>
      </c>
      <c r="G574" s="256">
        <v>1.0</v>
      </c>
      <c r="H574" s="256">
        <v>0.0</v>
      </c>
      <c r="I574" s="256">
        <v>1.0</v>
      </c>
      <c r="J574" s="256">
        <v>1.0</v>
      </c>
      <c r="K574" s="256">
        <v>0.0</v>
      </c>
      <c r="L574" s="256">
        <v>1.0</v>
      </c>
      <c r="M574" s="256">
        <v>1.0</v>
      </c>
    </row>
    <row r="575">
      <c r="A575" s="256">
        <v>2841.0</v>
      </c>
      <c r="B575" s="253" t="s">
        <v>507</v>
      </c>
      <c r="C575" s="253" t="s">
        <v>282</v>
      </c>
      <c r="D575" s="253" t="s">
        <v>512</v>
      </c>
      <c r="E575" s="253" t="s">
        <v>976</v>
      </c>
      <c r="F575" s="256">
        <v>28.0</v>
      </c>
      <c r="G575" s="256">
        <v>28.0</v>
      </c>
      <c r="H575" s="256">
        <v>0.0</v>
      </c>
      <c r="I575" s="256">
        <v>28.0</v>
      </c>
      <c r="J575" s="256">
        <v>28.0</v>
      </c>
      <c r="K575" s="256">
        <v>0.0</v>
      </c>
      <c r="L575" s="256">
        <v>342.0</v>
      </c>
      <c r="M575" s="256">
        <v>342.0</v>
      </c>
    </row>
    <row r="576">
      <c r="A576" s="256">
        <v>5687.0</v>
      </c>
      <c r="B576" s="253" t="s">
        <v>492</v>
      </c>
      <c r="C576" s="253" t="s">
        <v>905</v>
      </c>
      <c r="D576" s="253" t="s">
        <v>1057</v>
      </c>
      <c r="E576" s="253" t="s">
        <v>972</v>
      </c>
      <c r="F576" s="256">
        <v>17.0</v>
      </c>
      <c r="G576" s="256">
        <v>18.0</v>
      </c>
      <c r="H576" s="256">
        <v>-1.0</v>
      </c>
      <c r="I576" s="256">
        <v>18.0</v>
      </c>
      <c r="J576" s="256">
        <v>19.0</v>
      </c>
      <c r="K576" s="256">
        <v>-1.0</v>
      </c>
      <c r="L576" s="256">
        <v>68.0</v>
      </c>
      <c r="M576" s="256">
        <v>74.0</v>
      </c>
    </row>
    <row r="577">
      <c r="A577" s="256">
        <v>6245.0</v>
      </c>
      <c r="B577" s="253" t="s">
        <v>480</v>
      </c>
      <c r="C577" s="253" t="s">
        <v>896</v>
      </c>
      <c r="D577" s="253" t="s">
        <v>937</v>
      </c>
      <c r="E577" s="253" t="s">
        <v>1026</v>
      </c>
      <c r="F577" s="256">
        <v>4.0</v>
      </c>
      <c r="G577" s="256">
        <v>5.0</v>
      </c>
      <c r="H577" s="256">
        <v>-1.0</v>
      </c>
      <c r="I577" s="256">
        <v>5.0</v>
      </c>
      <c r="J577" s="256">
        <v>6.0</v>
      </c>
      <c r="K577" s="256">
        <v>-1.0</v>
      </c>
      <c r="L577" s="256">
        <v>4.0</v>
      </c>
      <c r="M577" s="256">
        <v>4.0</v>
      </c>
    </row>
    <row r="578">
      <c r="A578" s="256">
        <v>4994.0</v>
      </c>
      <c r="B578" s="253" t="s">
        <v>480</v>
      </c>
      <c r="C578" s="253" t="s">
        <v>875</v>
      </c>
      <c r="D578" s="253" t="s">
        <v>521</v>
      </c>
      <c r="E578" s="253" t="s">
        <v>972</v>
      </c>
      <c r="F578" s="256">
        <v>6.0</v>
      </c>
      <c r="G578" s="256">
        <v>6.0</v>
      </c>
      <c r="H578" s="256">
        <v>0.0</v>
      </c>
      <c r="I578" s="256">
        <v>6.0</v>
      </c>
      <c r="J578" s="256">
        <v>5.0</v>
      </c>
      <c r="K578" s="256">
        <v>1.0</v>
      </c>
      <c r="L578" s="256">
        <v>16.0</v>
      </c>
      <c r="M578" s="256">
        <v>12.0</v>
      </c>
    </row>
    <row r="579">
      <c r="A579" s="256">
        <v>5735.0</v>
      </c>
      <c r="B579" s="253" t="s">
        <v>492</v>
      </c>
      <c r="C579" s="253" t="s">
        <v>421</v>
      </c>
      <c r="D579" s="253" t="s">
        <v>543</v>
      </c>
      <c r="E579" s="253" t="s">
        <v>1005</v>
      </c>
      <c r="F579" s="256">
        <v>2.0</v>
      </c>
      <c r="G579" s="256">
        <v>3.0</v>
      </c>
      <c r="H579" s="256">
        <v>-1.0</v>
      </c>
      <c r="I579" s="256">
        <v>2.0</v>
      </c>
      <c r="J579" s="256">
        <v>3.0</v>
      </c>
      <c r="K579" s="256">
        <v>-1.0</v>
      </c>
      <c r="L579" s="256">
        <v>4.0</v>
      </c>
      <c r="M579" s="256">
        <v>4.0</v>
      </c>
    </row>
    <row r="580">
      <c r="A580" s="256">
        <v>2392.0</v>
      </c>
      <c r="B580" s="253" t="s">
        <v>492</v>
      </c>
      <c r="C580" s="253" t="s">
        <v>1528</v>
      </c>
      <c r="D580" s="253" t="s">
        <v>930</v>
      </c>
      <c r="E580" s="253" t="s">
        <v>993</v>
      </c>
      <c r="F580" s="256">
        <v>6.0</v>
      </c>
      <c r="G580" s="256">
        <v>7.0</v>
      </c>
      <c r="H580" s="256">
        <v>-1.0</v>
      </c>
      <c r="I580" s="256">
        <v>7.0</v>
      </c>
      <c r="J580" s="256">
        <v>8.0</v>
      </c>
      <c r="K580" s="256">
        <v>-1.0</v>
      </c>
      <c r="L580" s="256">
        <v>9.0</v>
      </c>
      <c r="M580" s="256">
        <v>10.0</v>
      </c>
    </row>
    <row r="581">
      <c r="A581" s="256">
        <v>4374.0</v>
      </c>
      <c r="B581" s="253" t="s">
        <v>480</v>
      </c>
      <c r="C581" s="253" t="s">
        <v>277</v>
      </c>
      <c r="D581" s="253" t="s">
        <v>481</v>
      </c>
      <c r="E581" s="253" t="s">
        <v>1222</v>
      </c>
      <c r="F581" s="256">
        <v>2.0</v>
      </c>
      <c r="G581" s="256">
        <v>3.0</v>
      </c>
      <c r="H581" s="256">
        <v>-1.0</v>
      </c>
      <c r="I581" s="256">
        <v>2.0</v>
      </c>
      <c r="J581" s="256">
        <v>3.0</v>
      </c>
      <c r="K581" s="256">
        <v>-1.0</v>
      </c>
      <c r="L581" s="256">
        <v>4.0</v>
      </c>
      <c r="M581" s="256">
        <v>4.0</v>
      </c>
    </row>
    <row r="582">
      <c r="A582" s="256">
        <v>4662.0</v>
      </c>
      <c r="B582" s="253" t="s">
        <v>492</v>
      </c>
      <c r="C582" s="253" t="s">
        <v>846</v>
      </c>
      <c r="D582" s="253" t="s">
        <v>1089</v>
      </c>
      <c r="E582" s="253" t="s">
        <v>976</v>
      </c>
      <c r="F582" s="256">
        <v>10.0</v>
      </c>
      <c r="G582" s="256">
        <v>10.0</v>
      </c>
      <c r="H582" s="256">
        <v>0.0</v>
      </c>
      <c r="I582" s="256">
        <v>10.0</v>
      </c>
      <c r="J582" s="256">
        <v>10.0</v>
      </c>
      <c r="K582" s="256">
        <v>0.0</v>
      </c>
      <c r="L582" s="256">
        <v>32.0</v>
      </c>
      <c r="M582" s="256">
        <v>38.0</v>
      </c>
    </row>
    <row r="583">
      <c r="A583" s="254">
        <v>6584.0</v>
      </c>
      <c r="B583" s="255" t="s">
        <v>507</v>
      </c>
      <c r="C583" s="255" t="s">
        <v>1529</v>
      </c>
      <c r="D583" s="255" t="s">
        <v>512</v>
      </c>
      <c r="E583" s="255" t="s">
        <v>1355</v>
      </c>
      <c r="F583" s="254">
        <v>6.0</v>
      </c>
      <c r="G583" s="254">
        <v>4.0</v>
      </c>
      <c r="H583" s="254">
        <v>2.0</v>
      </c>
      <c r="I583" s="254">
        <v>6.0</v>
      </c>
      <c r="J583" s="254">
        <v>4.0</v>
      </c>
      <c r="K583" s="254">
        <v>2.0</v>
      </c>
      <c r="L583" s="254">
        <v>12.0</v>
      </c>
      <c r="M583" s="254">
        <v>12.0</v>
      </c>
    </row>
    <row r="584">
      <c r="A584" s="256">
        <v>6464.0</v>
      </c>
      <c r="B584" s="253" t="s">
        <v>480</v>
      </c>
      <c r="C584" s="253" t="s">
        <v>1299</v>
      </c>
      <c r="D584" s="253" t="s">
        <v>481</v>
      </c>
      <c r="E584" s="253" t="s">
        <v>975</v>
      </c>
      <c r="F584" s="256">
        <v>6.0</v>
      </c>
      <c r="G584" s="256">
        <v>5.0</v>
      </c>
      <c r="H584" s="256">
        <v>1.0</v>
      </c>
      <c r="I584" s="256">
        <v>6.0</v>
      </c>
      <c r="J584" s="256">
        <v>5.0</v>
      </c>
      <c r="K584" s="256">
        <v>1.0</v>
      </c>
      <c r="L584" s="256">
        <v>7.0</v>
      </c>
      <c r="M584" s="256">
        <v>7.0</v>
      </c>
    </row>
    <row r="585">
      <c r="A585" s="256">
        <v>6247.0</v>
      </c>
      <c r="B585" s="253" t="s">
        <v>507</v>
      </c>
      <c r="C585" s="253" t="s">
        <v>1530</v>
      </c>
      <c r="D585" s="253" t="s">
        <v>512</v>
      </c>
      <c r="E585" s="253" t="s">
        <v>1026</v>
      </c>
      <c r="F585" s="256">
        <v>1.0</v>
      </c>
      <c r="G585" s="256">
        <v>1.0</v>
      </c>
      <c r="H585" s="256">
        <v>0.0</v>
      </c>
      <c r="I585" s="256">
        <v>1.0</v>
      </c>
      <c r="J585" s="256">
        <v>1.0</v>
      </c>
      <c r="K585" s="256">
        <v>0.0</v>
      </c>
      <c r="L585" s="256">
        <v>1.0</v>
      </c>
      <c r="M585" s="256">
        <v>1.0</v>
      </c>
    </row>
    <row r="586">
      <c r="A586" s="256">
        <v>6434.0</v>
      </c>
      <c r="B586" s="253" t="s">
        <v>507</v>
      </c>
      <c r="C586" s="253" t="s">
        <v>453</v>
      </c>
      <c r="D586" s="253" t="s">
        <v>507</v>
      </c>
      <c r="E586" s="253" t="s">
        <v>976</v>
      </c>
      <c r="F586" s="256">
        <v>1.0</v>
      </c>
      <c r="G586" s="256">
        <v>1.0</v>
      </c>
      <c r="H586" s="256">
        <v>0.0</v>
      </c>
      <c r="I586" s="256">
        <v>1.0</v>
      </c>
      <c r="J586" s="256">
        <v>1.0</v>
      </c>
      <c r="K586" s="256">
        <v>0.0</v>
      </c>
      <c r="L586" s="256">
        <v>1.0</v>
      </c>
      <c r="M586" s="256">
        <v>1.0</v>
      </c>
    </row>
    <row r="587">
      <c r="A587" s="256">
        <v>632.0</v>
      </c>
      <c r="B587" s="253" t="s">
        <v>492</v>
      </c>
      <c r="C587" s="253" t="s">
        <v>752</v>
      </c>
      <c r="D587" s="253" t="s">
        <v>935</v>
      </c>
      <c r="E587" s="253" t="s">
        <v>1000</v>
      </c>
      <c r="F587" s="256">
        <v>26.0</v>
      </c>
      <c r="G587" s="256">
        <v>28.0</v>
      </c>
      <c r="H587" s="256">
        <v>-2.0</v>
      </c>
      <c r="I587" s="256">
        <v>26.0</v>
      </c>
      <c r="J587" s="256">
        <v>28.0</v>
      </c>
      <c r="K587" s="256">
        <v>-2.0</v>
      </c>
      <c r="L587" s="256">
        <v>155.0</v>
      </c>
      <c r="M587" s="256">
        <v>155.0</v>
      </c>
    </row>
    <row r="588">
      <c r="A588" s="256">
        <v>5422.0</v>
      </c>
      <c r="B588" s="253" t="s">
        <v>492</v>
      </c>
      <c r="C588" s="253" t="s">
        <v>656</v>
      </c>
      <c r="D588" s="253" t="s">
        <v>521</v>
      </c>
      <c r="E588" s="253" t="s">
        <v>988</v>
      </c>
      <c r="F588" s="256">
        <v>8.0</v>
      </c>
      <c r="G588" s="256">
        <v>8.0</v>
      </c>
      <c r="H588" s="256">
        <v>0.0</v>
      </c>
      <c r="I588" s="256">
        <v>9.0</v>
      </c>
      <c r="J588" s="256">
        <v>9.0</v>
      </c>
      <c r="K588" s="256">
        <v>0.0</v>
      </c>
      <c r="L588" s="256">
        <v>10.0</v>
      </c>
      <c r="M588" s="256">
        <v>10.0</v>
      </c>
    </row>
    <row r="589">
      <c r="A589" s="256">
        <v>4220.0</v>
      </c>
      <c r="B589" s="253" t="s">
        <v>492</v>
      </c>
      <c r="C589" s="253" t="s">
        <v>866</v>
      </c>
      <c r="D589" s="253" t="s">
        <v>930</v>
      </c>
      <c r="E589" s="253" t="s">
        <v>987</v>
      </c>
      <c r="F589" s="256">
        <v>14.0</v>
      </c>
      <c r="G589" s="256">
        <v>14.0</v>
      </c>
      <c r="H589" s="256">
        <v>0.0</v>
      </c>
      <c r="I589" s="256">
        <v>15.0</v>
      </c>
      <c r="J589" s="256">
        <v>15.0</v>
      </c>
      <c r="K589" s="256">
        <v>0.0</v>
      </c>
      <c r="L589" s="256">
        <v>34.0</v>
      </c>
      <c r="M589" s="256">
        <v>40.0</v>
      </c>
    </row>
    <row r="590">
      <c r="A590" s="256">
        <v>5527.0</v>
      </c>
      <c r="B590" s="253" t="s">
        <v>480</v>
      </c>
      <c r="C590" s="253" t="s">
        <v>876</v>
      </c>
      <c r="D590" s="253" t="s">
        <v>938</v>
      </c>
      <c r="E590" s="253" t="s">
        <v>987</v>
      </c>
      <c r="F590" s="256">
        <v>3.0</v>
      </c>
      <c r="G590" s="256">
        <v>4.0</v>
      </c>
      <c r="H590" s="256">
        <v>-1.0</v>
      </c>
      <c r="I590" s="256">
        <v>3.0</v>
      </c>
      <c r="J590" s="256">
        <v>4.0</v>
      </c>
      <c r="K590" s="256">
        <v>-1.0</v>
      </c>
      <c r="L590" s="256">
        <v>6.0</v>
      </c>
      <c r="M590" s="256">
        <v>6.0</v>
      </c>
    </row>
    <row r="591">
      <c r="A591" s="256">
        <v>608.0</v>
      </c>
      <c r="B591" s="253" t="s">
        <v>507</v>
      </c>
      <c r="C591" s="253" t="s">
        <v>743</v>
      </c>
      <c r="D591" s="253" t="s">
        <v>512</v>
      </c>
      <c r="E591" s="253" t="s">
        <v>972</v>
      </c>
      <c r="F591" s="256">
        <v>19.0</v>
      </c>
      <c r="G591" s="256">
        <v>19.0</v>
      </c>
      <c r="H591" s="256">
        <v>0.0</v>
      </c>
      <c r="I591" s="256">
        <v>19.0</v>
      </c>
      <c r="J591" s="256">
        <v>19.0</v>
      </c>
      <c r="K591" s="256">
        <v>0.0</v>
      </c>
      <c r="L591" s="256">
        <v>180.0</v>
      </c>
      <c r="M591" s="256">
        <v>170.0</v>
      </c>
    </row>
    <row r="592">
      <c r="A592" s="256">
        <v>4461.0</v>
      </c>
      <c r="B592" s="253" t="s">
        <v>480</v>
      </c>
      <c r="C592" s="253" t="s">
        <v>897</v>
      </c>
      <c r="D592" s="253" t="s">
        <v>938</v>
      </c>
      <c r="E592" s="253" t="s">
        <v>975</v>
      </c>
      <c r="F592" s="256">
        <v>6.0</v>
      </c>
      <c r="G592" s="256">
        <v>6.0</v>
      </c>
      <c r="H592" s="256">
        <v>0.0</v>
      </c>
      <c r="I592" s="256">
        <v>6.0</v>
      </c>
      <c r="J592" s="256">
        <v>6.0</v>
      </c>
      <c r="K592" s="256">
        <v>0.0</v>
      </c>
      <c r="L592" s="256">
        <v>14.0</v>
      </c>
      <c r="M592" s="256">
        <v>14.0</v>
      </c>
    </row>
    <row r="593">
      <c r="A593" s="256">
        <v>554.0</v>
      </c>
      <c r="B593" s="253" t="s">
        <v>480</v>
      </c>
      <c r="C593" s="253" t="s">
        <v>138</v>
      </c>
      <c r="D593" s="253" t="s">
        <v>521</v>
      </c>
      <c r="E593" s="253" t="s">
        <v>980</v>
      </c>
      <c r="F593" s="256">
        <v>15.0</v>
      </c>
      <c r="G593" s="256">
        <v>15.0</v>
      </c>
      <c r="H593" s="256">
        <v>0.0</v>
      </c>
      <c r="I593" s="256">
        <v>14.0</v>
      </c>
      <c r="J593" s="256">
        <v>14.0</v>
      </c>
      <c r="K593" s="256">
        <v>0.0</v>
      </c>
      <c r="L593" s="256">
        <v>41.0</v>
      </c>
      <c r="M593" s="256">
        <v>38.0</v>
      </c>
    </row>
    <row r="594">
      <c r="A594" s="256">
        <v>6212.0</v>
      </c>
      <c r="B594" s="253" t="s">
        <v>492</v>
      </c>
      <c r="C594" s="253" t="s">
        <v>1216</v>
      </c>
      <c r="D594" s="253" t="s">
        <v>492</v>
      </c>
      <c r="E594" s="253" t="s">
        <v>993</v>
      </c>
      <c r="F594" s="256">
        <v>2.0</v>
      </c>
      <c r="G594" s="256">
        <v>3.0</v>
      </c>
      <c r="H594" s="256">
        <v>-1.0</v>
      </c>
      <c r="I594" s="256">
        <v>2.0</v>
      </c>
      <c r="J594" s="256">
        <v>3.0</v>
      </c>
      <c r="K594" s="256">
        <v>-1.0</v>
      </c>
      <c r="L594" s="256">
        <v>4.0</v>
      </c>
      <c r="M594" s="256">
        <v>3.0</v>
      </c>
    </row>
    <row r="595">
      <c r="A595" s="256">
        <v>6211.0</v>
      </c>
      <c r="B595" s="253" t="s">
        <v>480</v>
      </c>
      <c r="C595" s="253" t="s">
        <v>683</v>
      </c>
      <c r="D595" s="253" t="s">
        <v>931</v>
      </c>
      <c r="E595" s="253" t="s">
        <v>993</v>
      </c>
      <c r="F595" s="256">
        <v>6.0</v>
      </c>
      <c r="G595" s="256">
        <v>5.0</v>
      </c>
      <c r="H595" s="256">
        <v>1.0</v>
      </c>
      <c r="I595" s="256">
        <v>6.0</v>
      </c>
      <c r="J595" s="256">
        <v>5.0</v>
      </c>
      <c r="K595" s="256">
        <v>1.0</v>
      </c>
      <c r="L595" s="256">
        <v>7.0</v>
      </c>
      <c r="M595" s="256">
        <v>7.0</v>
      </c>
    </row>
    <row r="596">
      <c r="A596" s="256">
        <v>5998.0</v>
      </c>
      <c r="B596" s="253" t="s">
        <v>492</v>
      </c>
      <c r="C596" s="253" t="s">
        <v>460</v>
      </c>
      <c r="D596" s="253" t="s">
        <v>563</v>
      </c>
      <c r="E596" s="253" t="s">
        <v>987</v>
      </c>
      <c r="F596" s="256">
        <v>1.0</v>
      </c>
      <c r="G596" s="256">
        <v>1.0</v>
      </c>
      <c r="H596" s="256">
        <v>0.0</v>
      </c>
      <c r="I596" s="256">
        <v>1.0</v>
      </c>
      <c r="J596" s="256">
        <v>1.0</v>
      </c>
      <c r="K596" s="256">
        <v>0.0</v>
      </c>
      <c r="L596" s="256">
        <v>1.0</v>
      </c>
      <c r="M596" s="256">
        <v>1.0</v>
      </c>
    </row>
    <row r="597">
      <c r="A597" s="256">
        <v>152.0</v>
      </c>
      <c r="B597" s="253" t="s">
        <v>492</v>
      </c>
      <c r="C597" s="253" t="s">
        <v>225</v>
      </c>
      <c r="D597" s="253" t="s">
        <v>934</v>
      </c>
      <c r="E597" s="253" t="s">
        <v>987</v>
      </c>
      <c r="F597" s="256">
        <v>21.0</v>
      </c>
      <c r="G597" s="256">
        <v>20.0</v>
      </c>
      <c r="H597" s="256">
        <v>1.0</v>
      </c>
      <c r="I597" s="256">
        <v>21.0</v>
      </c>
      <c r="J597" s="256">
        <v>20.0</v>
      </c>
      <c r="K597" s="256">
        <v>1.0</v>
      </c>
      <c r="L597" s="256">
        <v>82.0</v>
      </c>
      <c r="M597" s="256">
        <v>78.0</v>
      </c>
    </row>
    <row r="598">
      <c r="A598" s="256">
        <v>5691.0</v>
      </c>
      <c r="B598" s="253" t="s">
        <v>480</v>
      </c>
      <c r="C598" s="253" t="s">
        <v>1531</v>
      </c>
      <c r="D598" s="253" t="s">
        <v>481</v>
      </c>
      <c r="E598" s="253" t="s">
        <v>972</v>
      </c>
      <c r="F598" s="256">
        <v>3.0</v>
      </c>
      <c r="G598" s="256">
        <v>3.0</v>
      </c>
      <c r="H598" s="256">
        <v>0.0</v>
      </c>
      <c r="I598" s="256">
        <v>3.0</v>
      </c>
      <c r="J598" s="256">
        <v>3.0</v>
      </c>
      <c r="K598" s="256">
        <v>0.0</v>
      </c>
      <c r="L598" s="256">
        <v>4.0</v>
      </c>
      <c r="M598" s="256">
        <v>4.0</v>
      </c>
    </row>
    <row r="599">
      <c r="A599" s="256">
        <v>5086.0</v>
      </c>
      <c r="B599" s="253" t="s">
        <v>507</v>
      </c>
      <c r="C599" s="253" t="s">
        <v>1532</v>
      </c>
      <c r="D599" s="253" t="s">
        <v>512</v>
      </c>
      <c r="E599" s="253" t="s">
        <v>1009</v>
      </c>
      <c r="F599" s="256">
        <v>13.0</v>
      </c>
      <c r="G599" s="256">
        <v>11.0</v>
      </c>
      <c r="H599" s="256">
        <v>2.0</v>
      </c>
      <c r="I599" s="256">
        <v>12.0</v>
      </c>
      <c r="J599" s="256">
        <v>10.0</v>
      </c>
      <c r="K599" s="256">
        <v>2.0</v>
      </c>
      <c r="L599" s="256">
        <v>71.0</v>
      </c>
      <c r="M599" s="256">
        <v>65.0</v>
      </c>
    </row>
    <row r="600">
      <c r="A600" s="256">
        <v>4433.0</v>
      </c>
      <c r="B600" s="253" t="s">
        <v>480</v>
      </c>
      <c r="C600" s="253" t="s">
        <v>631</v>
      </c>
      <c r="D600" s="253" t="s">
        <v>944</v>
      </c>
      <c r="E600" s="253" t="s">
        <v>980</v>
      </c>
      <c r="F600" s="256">
        <v>5.0</v>
      </c>
      <c r="G600" s="256">
        <v>3.0</v>
      </c>
      <c r="H600" s="256">
        <v>2.0</v>
      </c>
      <c r="I600" s="256">
        <v>6.0</v>
      </c>
      <c r="J600" s="256">
        <v>4.0</v>
      </c>
      <c r="K600" s="256">
        <v>2.0</v>
      </c>
      <c r="L600" s="256">
        <v>4.0</v>
      </c>
      <c r="M600" s="256">
        <v>5.0</v>
      </c>
    </row>
    <row r="601">
      <c r="A601" s="254">
        <v>4376.0</v>
      </c>
      <c r="B601" s="255" t="s">
        <v>492</v>
      </c>
      <c r="C601" s="255" t="s">
        <v>1258</v>
      </c>
      <c r="D601" s="255" t="s">
        <v>492</v>
      </c>
      <c r="E601" s="255" t="s">
        <v>1222</v>
      </c>
      <c r="F601" s="254">
        <v>11.0</v>
      </c>
      <c r="G601" s="254">
        <v>7.0</v>
      </c>
      <c r="H601" s="254">
        <v>4.0</v>
      </c>
      <c r="I601" s="254">
        <v>11.0</v>
      </c>
      <c r="J601" s="254">
        <v>7.0</v>
      </c>
      <c r="K601" s="254">
        <v>4.0</v>
      </c>
      <c r="L601" s="254">
        <v>50.0</v>
      </c>
      <c r="M601" s="254">
        <v>50.0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0"/>
    <col customWidth="1" min="3" max="3" width="19.5"/>
  </cols>
  <sheetData>
    <row r="1">
      <c r="A1" s="219" t="s">
        <v>1533</v>
      </c>
      <c r="B1" s="1" t="s">
        <v>1534</v>
      </c>
      <c r="C1" s="1" t="s">
        <v>1535</v>
      </c>
    </row>
    <row r="2">
      <c r="A2" s="219" t="s">
        <v>99</v>
      </c>
      <c r="B2" s="1" t="s">
        <v>45</v>
      </c>
      <c r="C2" s="1" t="s">
        <v>48</v>
      </c>
    </row>
    <row r="3">
      <c r="A3" s="219" t="s">
        <v>235</v>
      </c>
      <c r="B3" s="1" t="s">
        <v>92</v>
      </c>
      <c r="C3" s="1" t="s">
        <v>93</v>
      </c>
    </row>
    <row r="4">
      <c r="A4" s="219" t="s">
        <v>90</v>
      </c>
      <c r="B4" s="1" t="s">
        <v>55</v>
      </c>
      <c r="C4" s="1" t="s">
        <v>71</v>
      </c>
    </row>
    <row r="5">
      <c r="A5" s="219" t="s">
        <v>193</v>
      </c>
      <c r="B5" s="1" t="s">
        <v>67</v>
      </c>
      <c r="C5" s="1" t="s">
        <v>89</v>
      </c>
    </row>
    <row r="6">
      <c r="A6" s="219" t="s">
        <v>245</v>
      </c>
      <c r="B6" s="1" t="s">
        <v>59</v>
      </c>
      <c r="C6" s="1" t="s">
        <v>639</v>
      </c>
    </row>
    <row r="7">
      <c r="A7" s="219" t="s">
        <v>172</v>
      </c>
      <c r="B7" s="1" t="s">
        <v>141</v>
      </c>
      <c r="C7" s="1" t="s">
        <v>122</v>
      </c>
    </row>
    <row r="8">
      <c r="A8" s="219" t="s">
        <v>357</v>
      </c>
      <c r="B8" s="1" t="s">
        <v>74</v>
      </c>
      <c r="C8" s="1" t="s">
        <v>126</v>
      </c>
    </row>
    <row r="9">
      <c r="A9" s="219" t="s">
        <v>148</v>
      </c>
      <c r="B9" s="1" t="s">
        <v>97</v>
      </c>
      <c r="C9" s="1" t="s">
        <v>65</v>
      </c>
    </row>
    <row r="10">
      <c r="A10" s="219" t="s">
        <v>127</v>
      </c>
      <c r="B10" s="1" t="s">
        <v>43</v>
      </c>
      <c r="C10" s="1" t="s">
        <v>68</v>
      </c>
    </row>
    <row r="11">
      <c r="A11" s="219" t="s">
        <v>42</v>
      </c>
      <c r="C11" s="1" t="s">
        <v>46</v>
      </c>
    </row>
    <row r="12">
      <c r="C12" s="1" t="s">
        <v>605</v>
      </c>
    </row>
    <row r="13">
      <c r="C13" s="1" t="s">
        <v>43</v>
      </c>
    </row>
    <row r="14">
      <c r="C14" s="1" t="s">
        <v>665</v>
      </c>
    </row>
    <row r="15">
      <c r="C15" s="1" t="s">
        <v>51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7" t="s">
        <v>466</v>
      </c>
      <c r="B1" s="257" t="s">
        <v>960</v>
      </c>
      <c r="C1" s="257" t="s">
        <v>961</v>
      </c>
      <c r="D1" s="257" t="s">
        <v>962</v>
      </c>
      <c r="E1" s="257" t="s">
        <v>466</v>
      </c>
      <c r="F1" s="257" t="s">
        <v>467</v>
      </c>
      <c r="G1" s="257" t="s">
        <v>963</v>
      </c>
      <c r="H1" s="257" t="s">
        <v>964</v>
      </c>
      <c r="I1" s="257" t="s">
        <v>965</v>
      </c>
      <c r="J1" s="257" t="s">
        <v>966</v>
      </c>
      <c r="K1" s="257" t="s">
        <v>967</v>
      </c>
      <c r="L1" s="257" t="s">
        <v>968</v>
      </c>
      <c r="M1" s="257" t="s">
        <v>969</v>
      </c>
      <c r="N1" s="257" t="s">
        <v>970</v>
      </c>
      <c r="O1" s="257" t="s">
        <v>1536</v>
      </c>
    </row>
    <row r="2">
      <c r="A2" s="236" t="s">
        <v>634</v>
      </c>
      <c r="B2" s="237">
        <v>572.0</v>
      </c>
      <c r="C2" s="236" t="s">
        <v>477</v>
      </c>
      <c r="D2" s="236" t="s">
        <v>478</v>
      </c>
      <c r="E2" s="236" t="s">
        <v>634</v>
      </c>
      <c r="F2" s="236" t="s">
        <v>987</v>
      </c>
      <c r="G2" s="237">
        <v>19.0</v>
      </c>
      <c r="H2" s="237">
        <v>15.0</v>
      </c>
      <c r="I2" s="237">
        <v>4.0</v>
      </c>
      <c r="J2" s="237">
        <v>19.0</v>
      </c>
      <c r="K2" s="237">
        <v>15.0</v>
      </c>
      <c r="L2" s="237">
        <v>4.0</v>
      </c>
      <c r="M2" s="237">
        <v>95.0</v>
      </c>
      <c r="N2" s="237">
        <v>95.0</v>
      </c>
      <c r="O2" s="258">
        <v>45690.0</v>
      </c>
    </row>
    <row r="3">
      <c r="A3" s="236" t="s">
        <v>687</v>
      </c>
      <c r="B3" s="237">
        <v>2521.0</v>
      </c>
      <c r="C3" s="236" t="s">
        <v>477</v>
      </c>
      <c r="D3" s="236" t="s">
        <v>478</v>
      </c>
      <c r="E3" s="236" t="s">
        <v>687</v>
      </c>
      <c r="F3" s="236" t="s">
        <v>1033</v>
      </c>
      <c r="G3" s="237">
        <v>19.0</v>
      </c>
      <c r="H3" s="237">
        <v>11.0</v>
      </c>
      <c r="I3" s="237">
        <v>8.0</v>
      </c>
      <c r="J3" s="237">
        <v>19.0</v>
      </c>
      <c r="K3" s="237">
        <v>11.0</v>
      </c>
      <c r="L3" s="237">
        <v>8.0</v>
      </c>
      <c r="M3" s="237">
        <v>72.0</v>
      </c>
      <c r="N3" s="237">
        <v>72.0</v>
      </c>
    </row>
    <row r="4">
      <c r="A4" s="236" t="s">
        <v>734</v>
      </c>
      <c r="B4" s="237">
        <v>2170.0</v>
      </c>
      <c r="C4" s="236" t="s">
        <v>477</v>
      </c>
      <c r="D4" s="236" t="s">
        <v>478</v>
      </c>
      <c r="E4" s="236" t="s">
        <v>734</v>
      </c>
      <c r="F4" s="236" t="s">
        <v>972</v>
      </c>
      <c r="G4" s="237">
        <v>17.0</v>
      </c>
      <c r="H4" s="237">
        <v>10.0</v>
      </c>
      <c r="I4" s="237">
        <v>7.0</v>
      </c>
      <c r="J4" s="237">
        <v>17.0</v>
      </c>
      <c r="K4" s="237">
        <v>10.0</v>
      </c>
      <c r="L4" s="237">
        <v>7.0</v>
      </c>
      <c r="M4" s="237">
        <v>55.0</v>
      </c>
      <c r="N4" s="237">
        <v>55.0</v>
      </c>
    </row>
    <row r="5">
      <c r="A5" s="236" t="s">
        <v>382</v>
      </c>
      <c r="B5" s="237">
        <v>2428.0</v>
      </c>
      <c r="C5" s="236" t="s">
        <v>477</v>
      </c>
      <c r="D5" s="236" t="s">
        <v>478</v>
      </c>
      <c r="E5" s="236" t="s">
        <v>382</v>
      </c>
      <c r="F5" s="236" t="s">
        <v>973</v>
      </c>
      <c r="G5" s="237">
        <v>16.0</v>
      </c>
      <c r="H5" s="237">
        <v>18.0</v>
      </c>
      <c r="I5" s="237">
        <v>-2.0</v>
      </c>
      <c r="J5" s="237">
        <v>16.0</v>
      </c>
      <c r="K5" s="237">
        <v>18.0</v>
      </c>
      <c r="L5" s="237">
        <v>-2.0</v>
      </c>
      <c r="M5" s="237">
        <v>82.0</v>
      </c>
      <c r="N5" s="237">
        <v>82.0</v>
      </c>
    </row>
    <row r="6">
      <c r="A6" s="236" t="s">
        <v>765</v>
      </c>
      <c r="B6" s="237">
        <v>188.0</v>
      </c>
      <c r="C6" s="236" t="s">
        <v>477</v>
      </c>
      <c r="D6" s="236" t="s">
        <v>478</v>
      </c>
      <c r="E6" s="236" t="s">
        <v>765</v>
      </c>
      <c r="F6" s="236" t="s">
        <v>1026</v>
      </c>
      <c r="G6" s="237">
        <v>15.0</v>
      </c>
      <c r="H6" s="237">
        <v>1.0</v>
      </c>
      <c r="I6" s="237">
        <v>14.0</v>
      </c>
      <c r="J6" s="237">
        <v>15.0</v>
      </c>
      <c r="K6" s="237">
        <v>1.0</v>
      </c>
      <c r="L6" s="237">
        <v>14.0</v>
      </c>
      <c r="M6" s="237">
        <v>25.0</v>
      </c>
      <c r="N6" s="237">
        <v>25.0</v>
      </c>
    </row>
    <row r="7">
      <c r="A7" s="236" t="s">
        <v>261</v>
      </c>
      <c r="B7" s="237">
        <v>4312.0</v>
      </c>
      <c r="C7" s="236" t="s">
        <v>477</v>
      </c>
      <c r="D7" s="236" t="s">
        <v>478</v>
      </c>
      <c r="E7" s="236" t="s">
        <v>261</v>
      </c>
      <c r="F7" s="236" t="s">
        <v>991</v>
      </c>
      <c r="G7" s="237">
        <v>15.0</v>
      </c>
      <c r="H7" s="237">
        <v>15.0</v>
      </c>
      <c r="I7" s="237">
        <v>0.0</v>
      </c>
      <c r="J7" s="237">
        <v>15.0</v>
      </c>
      <c r="K7" s="237">
        <v>15.0</v>
      </c>
      <c r="L7" s="237">
        <v>0.0</v>
      </c>
      <c r="M7" s="237">
        <v>80.0</v>
      </c>
      <c r="N7" s="237">
        <v>80.0</v>
      </c>
    </row>
    <row r="8">
      <c r="A8" s="236" t="s">
        <v>1295</v>
      </c>
      <c r="B8" s="237">
        <v>6248.0</v>
      </c>
      <c r="C8" s="236" t="s">
        <v>477</v>
      </c>
      <c r="D8" s="236" t="s">
        <v>478</v>
      </c>
      <c r="E8" s="236" t="s">
        <v>1295</v>
      </c>
      <c r="F8" s="236" t="s">
        <v>1233</v>
      </c>
      <c r="G8" s="237">
        <v>15.0</v>
      </c>
      <c r="H8" s="237">
        <v>1.0</v>
      </c>
      <c r="I8" s="237">
        <v>14.0</v>
      </c>
      <c r="J8" s="237">
        <v>15.0</v>
      </c>
      <c r="K8" s="237">
        <v>1.0</v>
      </c>
      <c r="L8" s="237">
        <v>14.0</v>
      </c>
      <c r="M8" s="237">
        <v>22.0</v>
      </c>
      <c r="N8" s="237">
        <v>22.0</v>
      </c>
    </row>
    <row r="9">
      <c r="A9" s="236" t="s">
        <v>393</v>
      </c>
      <c r="B9" s="237">
        <v>4431.0</v>
      </c>
      <c r="C9" s="236" t="s">
        <v>477</v>
      </c>
      <c r="D9" s="236" t="s">
        <v>478</v>
      </c>
      <c r="E9" s="236" t="s">
        <v>393</v>
      </c>
      <c r="F9" s="236" t="s">
        <v>980</v>
      </c>
      <c r="G9" s="237">
        <v>14.0</v>
      </c>
      <c r="H9" s="237">
        <v>13.0</v>
      </c>
      <c r="I9" s="237">
        <v>1.0</v>
      </c>
      <c r="J9" s="237">
        <v>14.0</v>
      </c>
      <c r="K9" s="237">
        <v>13.0</v>
      </c>
      <c r="L9" s="237">
        <v>1.0</v>
      </c>
      <c r="M9" s="237">
        <v>77.0</v>
      </c>
      <c r="N9" s="237">
        <v>77.0</v>
      </c>
    </row>
    <row r="10">
      <c r="A10" s="236" t="s">
        <v>295</v>
      </c>
      <c r="B10" s="237">
        <v>5876.0</v>
      </c>
      <c r="C10" s="236" t="s">
        <v>477</v>
      </c>
      <c r="D10" s="236" t="s">
        <v>478</v>
      </c>
      <c r="E10" s="236" t="s">
        <v>295</v>
      </c>
      <c r="F10" s="236" t="s">
        <v>976</v>
      </c>
      <c r="G10" s="237">
        <v>14.0</v>
      </c>
      <c r="H10" s="237">
        <v>17.0</v>
      </c>
      <c r="I10" s="237">
        <v>-3.0</v>
      </c>
      <c r="J10" s="237">
        <v>14.0</v>
      </c>
      <c r="K10" s="237">
        <v>17.0</v>
      </c>
      <c r="L10" s="237">
        <v>-3.0</v>
      </c>
      <c r="M10" s="237">
        <v>83.0</v>
      </c>
      <c r="N10" s="237">
        <v>83.0</v>
      </c>
    </row>
    <row r="11">
      <c r="A11" s="236" t="s">
        <v>890</v>
      </c>
      <c r="B11" s="237">
        <v>5841.0</v>
      </c>
      <c r="C11" s="236" t="s">
        <v>477</v>
      </c>
      <c r="D11" s="236" t="s">
        <v>478</v>
      </c>
      <c r="E11" s="236" t="s">
        <v>890</v>
      </c>
      <c r="F11" s="236" t="s">
        <v>988</v>
      </c>
      <c r="G11" s="237">
        <v>13.0</v>
      </c>
      <c r="H11" s="237">
        <v>13.0</v>
      </c>
      <c r="I11" s="237">
        <v>0.0</v>
      </c>
      <c r="J11" s="237">
        <v>13.0</v>
      </c>
      <c r="K11" s="237">
        <v>13.0</v>
      </c>
      <c r="L11" s="237">
        <v>0.0</v>
      </c>
      <c r="M11" s="237">
        <v>66.0</v>
      </c>
      <c r="N11" s="237">
        <v>66.0</v>
      </c>
    </row>
    <row r="12">
      <c r="A12" s="236" t="s">
        <v>604</v>
      </c>
      <c r="B12" s="237">
        <v>133.0</v>
      </c>
      <c r="C12" s="236" t="s">
        <v>477</v>
      </c>
      <c r="D12" s="236" t="s">
        <v>478</v>
      </c>
      <c r="E12" s="236" t="s">
        <v>604</v>
      </c>
      <c r="F12" s="236" t="s">
        <v>1009</v>
      </c>
      <c r="G12" s="237">
        <v>12.0</v>
      </c>
      <c r="H12" s="237">
        <v>11.0</v>
      </c>
      <c r="I12" s="237">
        <v>1.0</v>
      </c>
      <c r="J12" s="237">
        <v>12.0</v>
      </c>
      <c r="K12" s="237">
        <v>11.0</v>
      </c>
      <c r="L12" s="237">
        <v>1.0</v>
      </c>
      <c r="M12" s="237">
        <v>33.0</v>
      </c>
      <c r="N12" s="237">
        <v>33.0</v>
      </c>
    </row>
    <row r="13">
      <c r="A13" s="236" t="s">
        <v>1208</v>
      </c>
      <c r="B13" s="237">
        <v>6125.0</v>
      </c>
      <c r="C13" s="236" t="s">
        <v>477</v>
      </c>
      <c r="D13" s="236" t="s">
        <v>478</v>
      </c>
      <c r="E13" s="236" t="s">
        <v>1208</v>
      </c>
      <c r="F13" s="236" t="s">
        <v>1222</v>
      </c>
      <c r="G13" s="237">
        <v>12.0</v>
      </c>
      <c r="H13" s="237">
        <v>5.0</v>
      </c>
      <c r="I13" s="237">
        <v>7.0</v>
      </c>
      <c r="J13" s="237">
        <v>12.0</v>
      </c>
      <c r="K13" s="237">
        <v>5.0</v>
      </c>
      <c r="L13" s="237">
        <v>7.0</v>
      </c>
      <c r="M13" s="237">
        <v>19.0</v>
      </c>
      <c r="N13" s="237">
        <v>19.0</v>
      </c>
    </row>
    <row r="14">
      <c r="A14" s="236" t="s">
        <v>830</v>
      </c>
      <c r="B14" s="237">
        <v>4867.0</v>
      </c>
      <c r="C14" s="236" t="s">
        <v>477</v>
      </c>
      <c r="D14" s="236" t="s">
        <v>478</v>
      </c>
      <c r="E14" s="236" t="s">
        <v>830</v>
      </c>
      <c r="F14" s="236" t="s">
        <v>1225</v>
      </c>
      <c r="G14" s="237">
        <v>12.0</v>
      </c>
      <c r="H14" s="237">
        <v>8.0</v>
      </c>
      <c r="I14" s="237">
        <v>4.0</v>
      </c>
      <c r="J14" s="237">
        <v>12.0</v>
      </c>
      <c r="K14" s="237">
        <v>8.0</v>
      </c>
      <c r="L14" s="237">
        <v>4.0</v>
      </c>
      <c r="M14" s="237">
        <v>19.0</v>
      </c>
      <c r="N14" s="237">
        <v>19.0</v>
      </c>
    </row>
    <row r="15">
      <c r="A15" s="236" t="s">
        <v>347</v>
      </c>
      <c r="B15" s="237">
        <v>2814.0</v>
      </c>
      <c r="C15" s="236" t="s">
        <v>477</v>
      </c>
      <c r="D15" s="236" t="s">
        <v>478</v>
      </c>
      <c r="E15" s="236" t="s">
        <v>347</v>
      </c>
      <c r="F15" s="236" t="s">
        <v>1000</v>
      </c>
      <c r="G15" s="237">
        <v>10.0</v>
      </c>
      <c r="H15" s="237">
        <v>12.0</v>
      </c>
      <c r="I15" s="237">
        <v>-2.0</v>
      </c>
      <c r="J15" s="237">
        <v>10.0</v>
      </c>
      <c r="K15" s="237">
        <v>12.0</v>
      </c>
      <c r="L15" s="237">
        <v>-2.0</v>
      </c>
      <c r="M15" s="237">
        <v>70.0</v>
      </c>
      <c r="N15" s="237">
        <v>70.0</v>
      </c>
    </row>
    <row r="16">
      <c r="A16" s="236" t="s">
        <v>183</v>
      </c>
      <c r="B16" s="237">
        <v>4360.0</v>
      </c>
      <c r="C16" s="236" t="s">
        <v>477</v>
      </c>
      <c r="D16" s="236" t="s">
        <v>478</v>
      </c>
      <c r="E16" s="236" t="s">
        <v>183</v>
      </c>
      <c r="F16" s="236" t="s">
        <v>975</v>
      </c>
      <c r="G16" s="237">
        <v>10.0</v>
      </c>
      <c r="H16" s="237">
        <v>2.0</v>
      </c>
      <c r="I16" s="237">
        <v>8.0</v>
      </c>
      <c r="J16" s="237">
        <v>10.0</v>
      </c>
      <c r="K16" s="237">
        <v>2.0</v>
      </c>
      <c r="L16" s="237">
        <v>8.0</v>
      </c>
      <c r="M16" s="237">
        <v>24.0</v>
      </c>
      <c r="N16" s="237">
        <v>24.0</v>
      </c>
    </row>
    <row r="17">
      <c r="A17" s="236" t="s">
        <v>204</v>
      </c>
      <c r="B17" s="237">
        <v>2134.0</v>
      </c>
      <c r="C17" s="236" t="s">
        <v>477</v>
      </c>
      <c r="D17" s="236" t="s">
        <v>478</v>
      </c>
      <c r="E17" s="236" t="s">
        <v>204</v>
      </c>
      <c r="F17" s="236" t="s">
        <v>998</v>
      </c>
      <c r="G17" s="237">
        <v>9.0</v>
      </c>
      <c r="H17" s="237">
        <v>9.0</v>
      </c>
      <c r="I17" s="237">
        <v>0.0</v>
      </c>
      <c r="J17" s="237">
        <v>9.0</v>
      </c>
      <c r="K17" s="237">
        <v>9.0</v>
      </c>
      <c r="L17" s="237">
        <v>0.0</v>
      </c>
      <c r="M17" s="237">
        <v>20.0</v>
      </c>
      <c r="N17" s="237">
        <v>20.0</v>
      </c>
    </row>
    <row r="18">
      <c r="A18" s="236" t="s">
        <v>708</v>
      </c>
      <c r="B18" s="237">
        <v>6641.0</v>
      </c>
      <c r="C18" s="236" t="s">
        <v>477</v>
      </c>
      <c r="D18" s="236" t="s">
        <v>478</v>
      </c>
      <c r="E18" s="236" t="s">
        <v>708</v>
      </c>
      <c r="F18" s="236" t="s">
        <v>985</v>
      </c>
      <c r="G18" s="237">
        <v>9.0</v>
      </c>
      <c r="H18" s="237">
        <v>7.0</v>
      </c>
      <c r="I18" s="237">
        <v>2.0</v>
      </c>
      <c r="J18" s="237">
        <v>9.0</v>
      </c>
      <c r="K18" s="237">
        <v>7.0</v>
      </c>
      <c r="L18" s="237">
        <v>2.0</v>
      </c>
      <c r="M18" s="237">
        <v>20.0</v>
      </c>
      <c r="N18" s="237">
        <v>20.0</v>
      </c>
    </row>
    <row r="19">
      <c r="A19" s="236" t="s">
        <v>888</v>
      </c>
      <c r="B19" s="237">
        <v>387.0</v>
      </c>
      <c r="C19" s="236" t="s">
        <v>477</v>
      </c>
      <c r="D19" s="236" t="s">
        <v>478</v>
      </c>
      <c r="E19" s="236" t="s">
        <v>888</v>
      </c>
      <c r="F19" s="236" t="s">
        <v>974</v>
      </c>
      <c r="G19" s="237">
        <v>8.0</v>
      </c>
      <c r="H19" s="237">
        <v>2.0</v>
      </c>
      <c r="I19" s="237">
        <v>6.0</v>
      </c>
      <c r="J19" s="237">
        <v>8.0</v>
      </c>
      <c r="K19" s="237">
        <v>2.0</v>
      </c>
      <c r="L19" s="237">
        <v>6.0</v>
      </c>
      <c r="M19" s="237">
        <v>1.0</v>
      </c>
      <c r="N19" s="237">
        <v>1.0</v>
      </c>
    </row>
    <row r="20">
      <c r="A20" s="236" t="s">
        <v>1173</v>
      </c>
      <c r="B20" s="237">
        <v>6842.0</v>
      </c>
      <c r="C20" s="236" t="s">
        <v>477</v>
      </c>
      <c r="D20" s="236" t="s">
        <v>478</v>
      </c>
      <c r="E20" s="236" t="s">
        <v>1173</v>
      </c>
      <c r="F20" s="236" t="s">
        <v>993</v>
      </c>
      <c r="G20" s="237">
        <v>8.0</v>
      </c>
      <c r="H20" s="237">
        <v>1.0</v>
      </c>
      <c r="I20" s="237">
        <v>7.0</v>
      </c>
      <c r="J20" s="237">
        <v>8.0</v>
      </c>
      <c r="K20" s="237">
        <v>1.0</v>
      </c>
      <c r="L20" s="237">
        <v>7.0</v>
      </c>
      <c r="M20" s="237">
        <v>10.0</v>
      </c>
      <c r="N20" s="237">
        <v>10.0</v>
      </c>
    </row>
    <row r="21">
      <c r="A21" s="236" t="s">
        <v>628</v>
      </c>
      <c r="B21" s="237">
        <v>2722.0</v>
      </c>
      <c r="C21" s="236" t="s">
        <v>477</v>
      </c>
      <c r="D21" s="236" t="s">
        <v>478</v>
      </c>
      <c r="E21" s="236" t="s">
        <v>628</v>
      </c>
      <c r="F21" s="236" t="s">
        <v>1009</v>
      </c>
      <c r="G21" s="237">
        <v>7.0</v>
      </c>
      <c r="H21" s="237">
        <v>1.0</v>
      </c>
      <c r="I21" s="237">
        <v>6.0</v>
      </c>
      <c r="J21" s="237">
        <v>7.0</v>
      </c>
      <c r="K21" s="237">
        <v>1.0</v>
      </c>
      <c r="L21" s="237">
        <v>6.0</v>
      </c>
      <c r="M21" s="237">
        <v>5.0</v>
      </c>
      <c r="N21" s="237">
        <v>5.0</v>
      </c>
    </row>
    <row r="22">
      <c r="A22" s="236" t="s">
        <v>804</v>
      </c>
      <c r="B22" s="237">
        <v>218.0</v>
      </c>
      <c r="C22" s="236" t="s">
        <v>477</v>
      </c>
      <c r="D22" s="236" t="s">
        <v>478</v>
      </c>
      <c r="E22" s="236" t="s">
        <v>804</v>
      </c>
      <c r="F22" s="236" t="s">
        <v>976</v>
      </c>
      <c r="G22" s="237">
        <v>6.0</v>
      </c>
      <c r="H22" s="237">
        <v>2.0</v>
      </c>
      <c r="I22" s="237">
        <v>4.0</v>
      </c>
      <c r="J22" s="237">
        <v>6.0</v>
      </c>
      <c r="K22" s="237">
        <v>2.0</v>
      </c>
      <c r="L22" s="237">
        <v>4.0</v>
      </c>
      <c r="M22" s="237">
        <v>14.0</v>
      </c>
      <c r="N22" s="237">
        <v>14.0</v>
      </c>
    </row>
    <row r="23">
      <c r="A23" s="236" t="s">
        <v>864</v>
      </c>
      <c r="B23" s="237">
        <v>6462.0</v>
      </c>
      <c r="C23" s="236" t="s">
        <v>477</v>
      </c>
      <c r="D23" s="236" t="s">
        <v>478</v>
      </c>
      <c r="E23" s="236" t="s">
        <v>864</v>
      </c>
      <c r="F23" s="236" t="s">
        <v>993</v>
      </c>
      <c r="G23" s="237">
        <v>6.0</v>
      </c>
      <c r="H23" s="237">
        <v>7.0</v>
      </c>
      <c r="I23" s="237">
        <v>-1.0</v>
      </c>
      <c r="J23" s="237">
        <v>6.0</v>
      </c>
      <c r="K23" s="237">
        <v>7.0</v>
      </c>
      <c r="L23" s="237">
        <v>-1.0</v>
      </c>
      <c r="M23" s="237">
        <v>3.0</v>
      </c>
      <c r="N23" s="237">
        <v>3.0</v>
      </c>
    </row>
    <row r="24">
      <c r="A24" s="236" t="s">
        <v>735</v>
      </c>
      <c r="B24" s="237">
        <v>4957.0</v>
      </c>
      <c r="C24" s="236" t="s">
        <v>477</v>
      </c>
      <c r="D24" s="236" t="s">
        <v>478</v>
      </c>
      <c r="E24" s="236" t="s">
        <v>735</v>
      </c>
      <c r="F24" s="236" t="s">
        <v>983</v>
      </c>
      <c r="G24" s="237">
        <v>5.0</v>
      </c>
      <c r="H24" s="237">
        <v>7.0</v>
      </c>
      <c r="I24" s="237">
        <v>-2.0</v>
      </c>
      <c r="J24" s="237">
        <v>5.0</v>
      </c>
      <c r="K24" s="237">
        <v>7.0</v>
      </c>
      <c r="L24" s="237">
        <v>-2.0</v>
      </c>
      <c r="M24" s="237">
        <v>11.0</v>
      </c>
      <c r="N24" s="237">
        <v>11.0</v>
      </c>
    </row>
    <row r="25">
      <c r="A25" s="236" t="s">
        <v>651</v>
      </c>
      <c r="B25" s="237">
        <v>574.0</v>
      </c>
      <c r="C25" s="236" t="s">
        <v>477</v>
      </c>
      <c r="D25" s="236" t="s">
        <v>478</v>
      </c>
      <c r="E25" s="236" t="s">
        <v>651</v>
      </c>
      <c r="F25" s="236" t="s">
        <v>987</v>
      </c>
      <c r="G25" s="237">
        <v>4.0</v>
      </c>
      <c r="H25" s="237">
        <v>7.0</v>
      </c>
      <c r="I25" s="237">
        <v>-3.0</v>
      </c>
      <c r="J25" s="237">
        <v>4.0</v>
      </c>
      <c r="K25" s="237">
        <v>7.0</v>
      </c>
      <c r="L25" s="237">
        <v>-3.0</v>
      </c>
      <c r="M25" s="237">
        <v>1.0</v>
      </c>
      <c r="N25" s="237">
        <v>1.0</v>
      </c>
    </row>
    <row r="26">
      <c r="A26" s="236" t="s">
        <v>1312</v>
      </c>
      <c r="B26" s="237">
        <v>6650.0</v>
      </c>
      <c r="C26" s="236" t="s">
        <v>477</v>
      </c>
      <c r="D26" s="236" t="s">
        <v>478</v>
      </c>
      <c r="E26" s="236" t="s">
        <v>1312</v>
      </c>
      <c r="F26" s="236" t="s">
        <v>975</v>
      </c>
      <c r="G26" s="237">
        <v>4.0</v>
      </c>
      <c r="H26" s="237">
        <v>1.0</v>
      </c>
      <c r="I26" s="237">
        <v>3.0</v>
      </c>
      <c r="J26" s="237">
        <v>4.0</v>
      </c>
      <c r="K26" s="237">
        <v>1.0</v>
      </c>
      <c r="L26" s="237">
        <v>3.0</v>
      </c>
      <c r="M26" s="237">
        <v>1.0</v>
      </c>
      <c r="N26" s="237">
        <v>1.0</v>
      </c>
    </row>
    <row r="27">
      <c r="A27" s="236" t="s">
        <v>723</v>
      </c>
      <c r="B27" s="237">
        <v>6966.0</v>
      </c>
      <c r="C27" s="236" t="s">
        <v>477</v>
      </c>
      <c r="D27" s="236" t="s">
        <v>478</v>
      </c>
      <c r="E27" s="236" t="s">
        <v>723</v>
      </c>
      <c r="F27" s="236" t="s">
        <v>974</v>
      </c>
      <c r="G27" s="237">
        <v>4.0</v>
      </c>
      <c r="H27" s="237">
        <v>2.0</v>
      </c>
      <c r="I27" s="237">
        <v>2.0</v>
      </c>
      <c r="J27" s="237">
        <v>4.0</v>
      </c>
      <c r="K27" s="237">
        <v>2.0</v>
      </c>
      <c r="L27" s="237">
        <v>2.0</v>
      </c>
      <c r="M27" s="237">
        <v>12.0</v>
      </c>
      <c r="N27" s="237">
        <v>12.0</v>
      </c>
    </row>
    <row r="28">
      <c r="A28" s="236" t="s">
        <v>709</v>
      </c>
      <c r="B28" s="237">
        <v>2815.0</v>
      </c>
      <c r="C28" s="236" t="s">
        <v>477</v>
      </c>
      <c r="D28" s="236" t="s">
        <v>478</v>
      </c>
      <c r="E28" s="236" t="s">
        <v>709</v>
      </c>
      <c r="F28" s="236" t="s">
        <v>1033</v>
      </c>
      <c r="G28" s="237">
        <v>3.0</v>
      </c>
      <c r="H28" s="237">
        <v>11.0</v>
      </c>
      <c r="I28" s="237">
        <v>-8.0</v>
      </c>
      <c r="J28" s="237">
        <v>3.0</v>
      </c>
      <c r="K28" s="237">
        <v>11.0</v>
      </c>
      <c r="L28" s="237">
        <v>-8.0</v>
      </c>
      <c r="M28" s="237">
        <v>1.0</v>
      </c>
      <c r="N28" s="237">
        <v>1.0</v>
      </c>
    </row>
    <row r="29">
      <c r="A29" s="236" t="s">
        <v>994</v>
      </c>
      <c r="B29" s="237">
        <v>761.0</v>
      </c>
      <c r="C29" s="236" t="s">
        <v>477</v>
      </c>
      <c r="D29" s="236" t="s">
        <v>478</v>
      </c>
      <c r="E29" s="236" t="s">
        <v>994</v>
      </c>
      <c r="F29" s="236" t="s">
        <v>974</v>
      </c>
      <c r="G29" s="237">
        <v>2.0</v>
      </c>
      <c r="H29" s="237">
        <v>9.0</v>
      </c>
      <c r="I29" s="237">
        <v>-7.0</v>
      </c>
      <c r="J29" s="237">
        <v>2.0</v>
      </c>
      <c r="K29" s="237">
        <v>9.0</v>
      </c>
      <c r="L29" s="237">
        <v>-7.0</v>
      </c>
      <c r="M29" s="237">
        <v>1.0</v>
      </c>
      <c r="N29" s="237">
        <v>1.0</v>
      </c>
    </row>
    <row r="30">
      <c r="A30" s="236" t="s">
        <v>135</v>
      </c>
      <c r="B30" s="237">
        <v>610.0</v>
      </c>
      <c r="C30" s="236" t="s">
        <v>477</v>
      </c>
      <c r="D30" s="236" t="s">
        <v>478</v>
      </c>
      <c r="E30" s="236" t="s">
        <v>135</v>
      </c>
      <c r="F30" s="236" t="s">
        <v>988</v>
      </c>
      <c r="G30" s="237">
        <v>2.0</v>
      </c>
      <c r="H30" s="237">
        <v>10.0</v>
      </c>
      <c r="I30" s="237">
        <v>-8.0</v>
      </c>
      <c r="J30" s="237">
        <v>2.0</v>
      </c>
      <c r="K30" s="237">
        <v>10.0</v>
      </c>
      <c r="L30" s="237">
        <v>-8.0</v>
      </c>
      <c r="M30" s="237">
        <v>1.0</v>
      </c>
      <c r="N30" s="237">
        <v>1.0</v>
      </c>
    </row>
    <row r="31">
      <c r="A31" s="236" t="s">
        <v>622</v>
      </c>
      <c r="B31" s="237">
        <v>4425.0</v>
      </c>
      <c r="C31" s="236" t="s">
        <v>477</v>
      </c>
      <c r="D31" s="236" t="s">
        <v>478</v>
      </c>
      <c r="E31" s="236" t="s">
        <v>622</v>
      </c>
      <c r="F31" s="236" t="s">
        <v>1233</v>
      </c>
      <c r="G31" s="237">
        <v>2.0</v>
      </c>
      <c r="H31" s="237">
        <v>6.0</v>
      </c>
      <c r="I31" s="237">
        <v>-4.0</v>
      </c>
      <c r="J31" s="237">
        <v>2.0</v>
      </c>
      <c r="K31" s="237">
        <v>6.0</v>
      </c>
      <c r="L31" s="237">
        <v>-4.0</v>
      </c>
      <c r="M31" s="237">
        <v>1.0</v>
      </c>
      <c r="N31" s="237">
        <v>1.0</v>
      </c>
    </row>
    <row r="32">
      <c r="A32" s="236" t="s">
        <v>418</v>
      </c>
      <c r="B32" s="237">
        <v>2297.0</v>
      </c>
      <c r="C32" s="236" t="s">
        <v>477</v>
      </c>
      <c r="D32" s="236" t="s">
        <v>478</v>
      </c>
      <c r="E32" s="236" t="s">
        <v>418</v>
      </c>
      <c r="F32" s="236" t="s">
        <v>980</v>
      </c>
      <c r="G32" s="237">
        <v>1.0</v>
      </c>
      <c r="H32" s="237">
        <v>1.0</v>
      </c>
      <c r="I32" s="237">
        <v>0.0</v>
      </c>
      <c r="J32" s="237">
        <v>1.0</v>
      </c>
      <c r="K32" s="237">
        <v>1.0</v>
      </c>
      <c r="L32" s="237">
        <v>0.0</v>
      </c>
      <c r="M32" s="237">
        <v>1.0</v>
      </c>
      <c r="N32" s="237">
        <v>1.0</v>
      </c>
    </row>
    <row r="33">
      <c r="A33" s="236" t="s">
        <v>390</v>
      </c>
      <c r="B33" s="237">
        <v>5822.0</v>
      </c>
      <c r="C33" s="236" t="s">
        <v>477</v>
      </c>
      <c r="D33" s="236" t="s">
        <v>478</v>
      </c>
      <c r="E33" s="236" t="s">
        <v>390</v>
      </c>
      <c r="F33" s="236" t="s">
        <v>1009</v>
      </c>
      <c r="G33" s="237">
        <v>1.0</v>
      </c>
      <c r="H33" s="237">
        <v>1.0</v>
      </c>
      <c r="I33" s="237">
        <v>0.0</v>
      </c>
      <c r="J33" s="237">
        <v>1.0</v>
      </c>
      <c r="K33" s="237">
        <v>1.0</v>
      </c>
      <c r="L33" s="237">
        <v>0.0</v>
      </c>
      <c r="M33" s="237">
        <v>1.0</v>
      </c>
      <c r="N33" s="237">
        <v>1.0</v>
      </c>
    </row>
    <row r="34">
      <c r="A34" s="236" t="s">
        <v>1211</v>
      </c>
      <c r="B34" s="237">
        <v>2809.0</v>
      </c>
      <c r="C34" s="236" t="s">
        <v>477</v>
      </c>
      <c r="D34" s="236" t="s">
        <v>478</v>
      </c>
      <c r="E34" s="236" t="s">
        <v>1211</v>
      </c>
      <c r="F34" s="236" t="s">
        <v>974</v>
      </c>
      <c r="G34" s="237">
        <v>1.0</v>
      </c>
      <c r="H34" s="237">
        <v>1.0</v>
      </c>
      <c r="I34" s="237">
        <v>0.0</v>
      </c>
      <c r="J34" s="237">
        <v>1.0</v>
      </c>
      <c r="K34" s="237">
        <v>1.0</v>
      </c>
      <c r="L34" s="237">
        <v>0.0</v>
      </c>
      <c r="M34" s="237">
        <v>1.0</v>
      </c>
      <c r="N34" s="237">
        <v>1.0</v>
      </c>
    </row>
    <row r="35">
      <c r="A35" s="236" t="s">
        <v>796</v>
      </c>
      <c r="B35" s="237">
        <v>6184.0</v>
      </c>
      <c r="C35" s="236" t="s">
        <v>477</v>
      </c>
      <c r="D35" s="236" t="s">
        <v>478</v>
      </c>
      <c r="E35" s="236" t="s">
        <v>796</v>
      </c>
      <c r="F35" s="236" t="s">
        <v>1033</v>
      </c>
      <c r="G35" s="237">
        <v>1.0</v>
      </c>
      <c r="H35" s="237">
        <v>1.0</v>
      </c>
      <c r="I35" s="237">
        <v>0.0</v>
      </c>
      <c r="J35" s="237">
        <v>1.0</v>
      </c>
      <c r="K35" s="237">
        <v>1.0</v>
      </c>
      <c r="L35" s="237">
        <v>0.0</v>
      </c>
      <c r="M35" s="237">
        <v>1.0</v>
      </c>
      <c r="N35" s="237">
        <v>1.0</v>
      </c>
    </row>
    <row r="36">
      <c r="A36" s="236" t="s">
        <v>1183</v>
      </c>
      <c r="B36" s="237">
        <v>219.0</v>
      </c>
      <c r="C36" s="236" t="s">
        <v>477</v>
      </c>
      <c r="D36" s="236" t="s">
        <v>478</v>
      </c>
      <c r="E36" s="236" t="s">
        <v>1183</v>
      </c>
      <c r="F36" s="236" t="s">
        <v>1026</v>
      </c>
      <c r="G36" s="237">
        <v>1.0</v>
      </c>
      <c r="H36" s="237">
        <v>1.0</v>
      </c>
      <c r="I36" s="237">
        <v>0.0</v>
      </c>
      <c r="J36" s="237">
        <v>1.0</v>
      </c>
      <c r="K36" s="237">
        <v>1.0</v>
      </c>
      <c r="L36" s="237">
        <v>0.0</v>
      </c>
      <c r="M36" s="237">
        <v>1.0</v>
      </c>
      <c r="N36" s="237">
        <v>1.0</v>
      </c>
    </row>
    <row r="37">
      <c r="A37" s="236" t="s">
        <v>834</v>
      </c>
      <c r="B37" s="237">
        <v>1926.0</v>
      </c>
      <c r="C37" s="236" t="s">
        <v>477</v>
      </c>
      <c r="D37" s="236" t="s">
        <v>478</v>
      </c>
      <c r="E37" s="236" t="s">
        <v>834</v>
      </c>
      <c r="F37" s="236" t="s">
        <v>973</v>
      </c>
      <c r="G37" s="237">
        <v>1.0</v>
      </c>
      <c r="H37" s="237">
        <v>1.0</v>
      </c>
      <c r="I37" s="237">
        <v>0.0</v>
      </c>
      <c r="J37" s="237">
        <v>1.0</v>
      </c>
      <c r="K37" s="237">
        <v>1.0</v>
      </c>
      <c r="L37" s="237">
        <v>0.0</v>
      </c>
      <c r="M37" s="237">
        <v>1.0</v>
      </c>
      <c r="N37" s="237">
        <v>1.0</v>
      </c>
    </row>
    <row r="38">
      <c r="A38" s="236" t="s">
        <v>374</v>
      </c>
      <c r="B38" s="237">
        <v>5116.0</v>
      </c>
      <c r="C38" s="236" t="s">
        <v>477</v>
      </c>
      <c r="D38" s="236" t="s">
        <v>478</v>
      </c>
      <c r="E38" s="236" t="s">
        <v>374</v>
      </c>
      <c r="F38" s="236" t="s">
        <v>973</v>
      </c>
      <c r="G38" s="237">
        <v>1.0</v>
      </c>
      <c r="H38" s="237">
        <v>2.0</v>
      </c>
      <c r="I38" s="237">
        <v>-1.0</v>
      </c>
      <c r="J38" s="237">
        <v>1.0</v>
      </c>
      <c r="K38" s="237">
        <v>2.0</v>
      </c>
      <c r="L38" s="237">
        <v>-1.0</v>
      </c>
      <c r="M38" s="237">
        <v>1.0</v>
      </c>
      <c r="N38" s="237">
        <v>1.0</v>
      </c>
    </row>
    <row r="39">
      <c r="A39" s="236" t="s">
        <v>805</v>
      </c>
      <c r="B39" s="237">
        <v>1930.0</v>
      </c>
      <c r="C39" s="236" t="s">
        <v>477</v>
      </c>
      <c r="D39" s="236" t="s">
        <v>478</v>
      </c>
      <c r="E39" s="236" t="s">
        <v>805</v>
      </c>
      <c r="F39" s="236" t="s">
        <v>976</v>
      </c>
      <c r="G39" s="237">
        <v>1.0</v>
      </c>
      <c r="H39" s="237">
        <v>1.0</v>
      </c>
      <c r="I39" s="237">
        <v>0.0</v>
      </c>
      <c r="J39" s="237">
        <v>1.0</v>
      </c>
      <c r="K39" s="237">
        <v>1.0</v>
      </c>
      <c r="L39" s="237">
        <v>0.0</v>
      </c>
      <c r="M39" s="237">
        <v>1.0</v>
      </c>
      <c r="N39" s="237">
        <v>1.0</v>
      </c>
    </row>
    <row r="40">
      <c r="A40" s="236" t="s">
        <v>355</v>
      </c>
      <c r="B40" s="237">
        <v>6417.0</v>
      </c>
      <c r="C40" s="236" t="s">
        <v>477</v>
      </c>
      <c r="D40" s="236" t="s">
        <v>478</v>
      </c>
      <c r="E40" s="236" t="s">
        <v>355</v>
      </c>
      <c r="F40" s="236" t="s">
        <v>1000</v>
      </c>
      <c r="G40" s="237">
        <v>1.0</v>
      </c>
      <c r="H40" s="237">
        <v>1.0</v>
      </c>
      <c r="I40" s="237">
        <v>0.0</v>
      </c>
      <c r="J40" s="237">
        <v>1.0</v>
      </c>
      <c r="K40" s="237">
        <v>1.0</v>
      </c>
      <c r="L40" s="237">
        <v>0.0</v>
      </c>
      <c r="M40" s="237">
        <v>1.0</v>
      </c>
      <c r="N40" s="237">
        <v>1.0</v>
      </c>
    </row>
    <row r="41">
      <c r="A41" s="236" t="s">
        <v>814</v>
      </c>
      <c r="B41" s="237">
        <v>6482.0</v>
      </c>
      <c r="C41" s="236" t="s">
        <v>477</v>
      </c>
      <c r="D41" s="236" t="s">
        <v>478</v>
      </c>
      <c r="E41" s="236" t="s">
        <v>814</v>
      </c>
      <c r="F41" s="236" t="s">
        <v>1000</v>
      </c>
      <c r="G41" s="237">
        <v>1.0</v>
      </c>
      <c r="H41" s="237">
        <v>1.0</v>
      </c>
      <c r="I41" s="237">
        <v>0.0</v>
      </c>
      <c r="J41" s="237">
        <v>1.0</v>
      </c>
      <c r="K41" s="237">
        <v>1.0</v>
      </c>
      <c r="L41" s="237">
        <v>0.0</v>
      </c>
      <c r="M41" s="237">
        <v>1.0</v>
      </c>
      <c r="N41" s="237">
        <v>1.0</v>
      </c>
    </row>
    <row r="42">
      <c r="A42" s="236" t="s">
        <v>1066</v>
      </c>
      <c r="B42" s="237">
        <v>2401.0</v>
      </c>
      <c r="C42" s="236" t="s">
        <v>477</v>
      </c>
      <c r="D42" s="236" t="s">
        <v>478</v>
      </c>
      <c r="E42" s="236" t="s">
        <v>1066</v>
      </c>
      <c r="F42" s="236" t="s">
        <v>998</v>
      </c>
      <c r="G42" s="237">
        <v>1.0</v>
      </c>
      <c r="H42" s="237">
        <v>1.0</v>
      </c>
      <c r="I42" s="237">
        <v>0.0</v>
      </c>
      <c r="J42" s="237">
        <v>1.0</v>
      </c>
      <c r="K42" s="237">
        <v>1.0</v>
      </c>
      <c r="L42" s="237">
        <v>0.0</v>
      </c>
      <c r="M42" s="237">
        <v>1.0</v>
      </c>
      <c r="N42" s="237">
        <v>1.0</v>
      </c>
    </row>
    <row r="43">
      <c r="A43" s="236" t="s">
        <v>81</v>
      </c>
      <c r="B43" s="237">
        <v>6523.0</v>
      </c>
      <c r="C43" s="236" t="s">
        <v>477</v>
      </c>
      <c r="D43" s="236" t="s">
        <v>478</v>
      </c>
      <c r="E43" s="236" t="s">
        <v>81</v>
      </c>
      <c r="F43" s="236" t="s">
        <v>998</v>
      </c>
      <c r="G43" s="237">
        <v>1.0</v>
      </c>
      <c r="H43" s="237">
        <v>1.0</v>
      </c>
      <c r="I43" s="237">
        <v>0.0</v>
      </c>
      <c r="J43" s="237">
        <v>1.0</v>
      </c>
      <c r="K43" s="237">
        <v>1.0</v>
      </c>
      <c r="L43" s="237">
        <v>0.0</v>
      </c>
      <c r="M43" s="237">
        <v>1.0</v>
      </c>
      <c r="N43" s="237">
        <v>1.0</v>
      </c>
    </row>
    <row r="44">
      <c r="A44" s="236" t="s">
        <v>1117</v>
      </c>
      <c r="B44" s="237">
        <v>6505.0</v>
      </c>
      <c r="C44" s="236" t="s">
        <v>477</v>
      </c>
      <c r="D44" s="236" t="s">
        <v>478</v>
      </c>
      <c r="E44" s="236" t="s">
        <v>1117</v>
      </c>
      <c r="F44" s="236" t="s">
        <v>991</v>
      </c>
      <c r="G44" s="237">
        <v>1.0</v>
      </c>
      <c r="H44" s="237">
        <v>1.0</v>
      </c>
      <c r="I44" s="237">
        <v>0.0</v>
      </c>
      <c r="J44" s="237">
        <v>1.0</v>
      </c>
      <c r="K44" s="237">
        <v>1.0</v>
      </c>
      <c r="L44" s="237">
        <v>0.0</v>
      </c>
      <c r="M44" s="237">
        <v>1.0</v>
      </c>
      <c r="N44" s="237">
        <v>1.0</v>
      </c>
    </row>
    <row r="45">
      <c r="A45" s="236" t="s">
        <v>760</v>
      </c>
      <c r="B45" s="237">
        <v>4.0</v>
      </c>
      <c r="C45" s="236" t="s">
        <v>477</v>
      </c>
      <c r="D45" s="236" t="s">
        <v>478</v>
      </c>
      <c r="E45" s="236" t="s">
        <v>760</v>
      </c>
      <c r="F45" s="236" t="s">
        <v>991</v>
      </c>
      <c r="G45" s="237">
        <v>1.0</v>
      </c>
      <c r="H45" s="237">
        <v>1.0</v>
      </c>
      <c r="I45" s="237">
        <v>0.0</v>
      </c>
      <c r="J45" s="237">
        <v>1.0</v>
      </c>
      <c r="K45" s="237">
        <v>1.0</v>
      </c>
      <c r="L45" s="237">
        <v>0.0</v>
      </c>
      <c r="M45" s="237">
        <v>1.0</v>
      </c>
      <c r="N45" s="237">
        <v>1.0</v>
      </c>
    </row>
    <row r="46">
      <c r="A46" s="236" t="s">
        <v>809</v>
      </c>
      <c r="B46" s="237">
        <v>2178.0</v>
      </c>
      <c r="C46" s="236" t="s">
        <v>477</v>
      </c>
      <c r="D46" s="236" t="s">
        <v>478</v>
      </c>
      <c r="E46" s="236" t="s">
        <v>809</v>
      </c>
      <c r="F46" s="236" t="s">
        <v>1225</v>
      </c>
      <c r="G46" s="237">
        <v>1.0</v>
      </c>
      <c r="H46" s="237">
        <v>1.0</v>
      </c>
      <c r="I46" s="237">
        <v>0.0</v>
      </c>
      <c r="J46" s="237">
        <v>1.0</v>
      </c>
      <c r="K46" s="237">
        <v>1.0</v>
      </c>
      <c r="L46" s="237">
        <v>0.0</v>
      </c>
      <c r="M46" s="237">
        <v>1.0</v>
      </c>
      <c r="N46" s="237">
        <v>1.0</v>
      </c>
    </row>
    <row r="47">
      <c r="A47" s="236" t="s">
        <v>456</v>
      </c>
      <c r="B47" s="237">
        <v>2845.0</v>
      </c>
      <c r="C47" s="236" t="s">
        <v>477</v>
      </c>
      <c r="D47" s="236" t="s">
        <v>478</v>
      </c>
      <c r="E47" s="236" t="s">
        <v>456</v>
      </c>
      <c r="F47" s="236" t="s">
        <v>987</v>
      </c>
      <c r="G47" s="237">
        <v>1.0</v>
      </c>
      <c r="H47" s="237">
        <v>1.0</v>
      </c>
      <c r="I47" s="237">
        <v>0.0</v>
      </c>
      <c r="J47" s="237">
        <v>1.0</v>
      </c>
      <c r="K47" s="237">
        <v>1.0</v>
      </c>
      <c r="L47" s="237">
        <v>0.0</v>
      </c>
      <c r="M47" s="237">
        <v>1.0</v>
      </c>
      <c r="N47" s="237">
        <v>1.0</v>
      </c>
    </row>
    <row r="48">
      <c r="A48" s="236" t="s">
        <v>1036</v>
      </c>
      <c r="B48" s="237">
        <v>6662.0</v>
      </c>
      <c r="C48" s="236" t="s">
        <v>477</v>
      </c>
      <c r="D48" s="236" t="s">
        <v>478</v>
      </c>
      <c r="E48" s="236" t="s">
        <v>1036</v>
      </c>
      <c r="F48" s="236" t="s">
        <v>985</v>
      </c>
      <c r="G48" s="237">
        <v>1.0</v>
      </c>
      <c r="H48" s="237">
        <v>1.0</v>
      </c>
      <c r="I48" s="237">
        <v>0.0</v>
      </c>
      <c r="J48" s="237">
        <v>1.0</v>
      </c>
      <c r="K48" s="237">
        <v>1.0</v>
      </c>
      <c r="L48" s="237">
        <v>0.0</v>
      </c>
      <c r="M48" s="237">
        <v>1.0</v>
      </c>
      <c r="N48" s="237">
        <v>1.0</v>
      </c>
    </row>
    <row r="49">
      <c r="A49" s="236" t="s">
        <v>191</v>
      </c>
      <c r="B49" s="237">
        <v>5320.0</v>
      </c>
      <c r="C49" s="236" t="s">
        <v>477</v>
      </c>
      <c r="D49" s="236" t="s">
        <v>478</v>
      </c>
      <c r="E49" s="236" t="s">
        <v>191</v>
      </c>
      <c r="F49" s="236" t="s">
        <v>972</v>
      </c>
      <c r="G49" s="237">
        <v>1.0</v>
      </c>
      <c r="H49" s="237">
        <v>1.0</v>
      </c>
      <c r="I49" s="237">
        <v>0.0</v>
      </c>
      <c r="J49" s="237">
        <v>1.0</v>
      </c>
      <c r="K49" s="237">
        <v>1.0</v>
      </c>
      <c r="L49" s="237">
        <v>0.0</v>
      </c>
      <c r="M49" s="237">
        <v>1.0</v>
      </c>
      <c r="N49" s="237">
        <v>1.0</v>
      </c>
    </row>
    <row r="50">
      <c r="A50" s="236" t="s">
        <v>1140</v>
      </c>
      <c r="B50" s="237">
        <v>543.0</v>
      </c>
      <c r="C50" s="236" t="s">
        <v>477</v>
      </c>
      <c r="D50" s="236" t="s">
        <v>478</v>
      </c>
      <c r="E50" s="236" t="s">
        <v>1140</v>
      </c>
      <c r="F50" s="236" t="s">
        <v>993</v>
      </c>
      <c r="G50" s="237">
        <v>1.0</v>
      </c>
      <c r="H50" s="237">
        <v>1.0</v>
      </c>
      <c r="I50" s="237">
        <v>0.0</v>
      </c>
      <c r="J50" s="237">
        <v>1.0</v>
      </c>
      <c r="K50" s="237">
        <v>1.0</v>
      </c>
      <c r="L50" s="237">
        <v>0.0</v>
      </c>
      <c r="M50" s="237">
        <v>1.0</v>
      </c>
      <c r="N50" s="237">
        <v>1.0</v>
      </c>
    </row>
    <row r="51">
      <c r="A51" s="236" t="s">
        <v>1317</v>
      </c>
      <c r="B51" s="237">
        <v>6671.0</v>
      </c>
      <c r="C51" s="236" t="s">
        <v>477</v>
      </c>
      <c r="D51" s="236" t="s">
        <v>478</v>
      </c>
      <c r="E51" s="236" t="s">
        <v>1317</v>
      </c>
      <c r="F51" s="236" t="s">
        <v>1233</v>
      </c>
      <c r="G51" s="237">
        <v>1.0</v>
      </c>
      <c r="H51" s="237">
        <v>1.0</v>
      </c>
      <c r="I51" s="237">
        <v>0.0</v>
      </c>
      <c r="J51" s="237">
        <v>1.0</v>
      </c>
      <c r="K51" s="237">
        <v>1.0</v>
      </c>
      <c r="L51" s="237">
        <v>0.0</v>
      </c>
      <c r="M51" s="237">
        <v>1.0</v>
      </c>
      <c r="N51" s="237">
        <v>1.0</v>
      </c>
    </row>
    <row r="52">
      <c r="A52" s="236" t="s">
        <v>1261</v>
      </c>
      <c r="B52" s="237">
        <v>4491.0</v>
      </c>
      <c r="C52" s="236" t="s">
        <v>477</v>
      </c>
      <c r="D52" s="236" t="s">
        <v>478</v>
      </c>
      <c r="E52" s="236" t="s">
        <v>1261</v>
      </c>
      <c r="F52" s="236" t="s">
        <v>983</v>
      </c>
      <c r="G52" s="237">
        <v>1.0</v>
      </c>
      <c r="H52" s="237">
        <v>1.0</v>
      </c>
      <c r="I52" s="237">
        <v>0.0</v>
      </c>
      <c r="J52" s="237">
        <v>1.0</v>
      </c>
      <c r="K52" s="237">
        <v>1.0</v>
      </c>
      <c r="L52" s="237">
        <v>0.0</v>
      </c>
      <c r="M52" s="237">
        <v>1.0</v>
      </c>
      <c r="N52" s="237">
        <v>1.0</v>
      </c>
    </row>
    <row r="53">
      <c r="A53" s="236" t="s">
        <v>1148</v>
      </c>
      <c r="B53" s="237">
        <v>511.0</v>
      </c>
      <c r="C53" s="236" t="s">
        <v>477</v>
      </c>
      <c r="D53" s="236" t="s">
        <v>478</v>
      </c>
      <c r="E53" s="236" t="s">
        <v>1148</v>
      </c>
      <c r="F53" s="236" t="s">
        <v>983</v>
      </c>
      <c r="G53" s="237">
        <v>1.0</v>
      </c>
      <c r="H53" s="237">
        <v>1.0</v>
      </c>
      <c r="I53" s="237">
        <v>0.0</v>
      </c>
      <c r="J53" s="237">
        <v>1.0</v>
      </c>
      <c r="K53" s="237">
        <v>1.0</v>
      </c>
      <c r="L53" s="237">
        <v>0.0</v>
      </c>
      <c r="M53" s="237">
        <v>1.0</v>
      </c>
      <c r="N53" s="237">
        <v>1.0</v>
      </c>
    </row>
    <row r="54">
      <c r="A54" s="236" t="s">
        <v>828</v>
      </c>
      <c r="B54" s="237">
        <v>6682.0</v>
      </c>
      <c r="C54" s="236" t="s">
        <v>477</v>
      </c>
      <c r="D54" s="236" t="s">
        <v>478</v>
      </c>
      <c r="E54" s="236" t="s">
        <v>828</v>
      </c>
      <c r="F54" s="236" t="s">
        <v>1225</v>
      </c>
      <c r="G54" s="237">
        <v>1.0</v>
      </c>
      <c r="H54" s="237">
        <v>1.0</v>
      </c>
      <c r="I54" s="237">
        <v>0.0</v>
      </c>
      <c r="J54" s="237">
        <v>1.0</v>
      </c>
      <c r="K54" s="237">
        <v>1.0</v>
      </c>
      <c r="L54" s="237">
        <v>0.0</v>
      </c>
      <c r="M54" s="237">
        <v>1.0</v>
      </c>
      <c r="N54" s="237">
        <v>1.0</v>
      </c>
    </row>
    <row r="55">
      <c r="A55" s="236" t="s">
        <v>1257</v>
      </c>
      <c r="B55" s="237">
        <v>4351.0</v>
      </c>
      <c r="C55" s="236" t="s">
        <v>477</v>
      </c>
      <c r="D55" s="236" t="s">
        <v>478</v>
      </c>
      <c r="E55" s="236" t="s">
        <v>1257</v>
      </c>
      <c r="F55" s="236" t="s">
        <v>1222</v>
      </c>
      <c r="G55" s="237">
        <v>1.0</v>
      </c>
      <c r="H55" s="237">
        <v>1.0</v>
      </c>
      <c r="I55" s="237">
        <v>0.0</v>
      </c>
      <c r="J55" s="237">
        <v>1.0</v>
      </c>
      <c r="K55" s="237">
        <v>1.0</v>
      </c>
      <c r="L55" s="237">
        <v>0.0</v>
      </c>
      <c r="M55" s="237">
        <v>1.0</v>
      </c>
      <c r="N55" s="237">
        <v>1.0</v>
      </c>
    </row>
    <row r="56">
      <c r="A56" s="236" t="s">
        <v>1031</v>
      </c>
      <c r="B56" s="237">
        <v>4929.0</v>
      </c>
      <c r="C56" s="236" t="s">
        <v>477</v>
      </c>
      <c r="D56" s="236" t="s">
        <v>478</v>
      </c>
      <c r="E56" s="236" t="s">
        <v>1031</v>
      </c>
      <c r="F56" s="236" t="s">
        <v>975</v>
      </c>
      <c r="G56" s="237">
        <v>1.0</v>
      </c>
      <c r="H56" s="237">
        <v>1.0</v>
      </c>
      <c r="I56" s="237">
        <v>0.0</v>
      </c>
      <c r="J56" s="237">
        <v>1.0</v>
      </c>
      <c r="K56" s="237">
        <v>1.0</v>
      </c>
      <c r="L56" s="237">
        <v>0.0</v>
      </c>
      <c r="M56" s="237">
        <v>1.0</v>
      </c>
      <c r="N56" s="237">
        <v>1.0</v>
      </c>
    </row>
    <row r="57">
      <c r="A57" s="236" t="s">
        <v>236</v>
      </c>
      <c r="B57" s="237">
        <v>6813.0</v>
      </c>
      <c r="C57" s="236" t="s">
        <v>477</v>
      </c>
      <c r="D57" s="236" t="s">
        <v>478</v>
      </c>
      <c r="E57" s="236" t="s">
        <v>236</v>
      </c>
      <c r="F57" s="236" t="s">
        <v>991</v>
      </c>
      <c r="G57" s="237">
        <v>1.0</v>
      </c>
      <c r="H57" s="237">
        <v>1.0</v>
      </c>
      <c r="I57" s="237">
        <v>0.0</v>
      </c>
      <c r="J57" s="237">
        <v>1.0</v>
      </c>
      <c r="K57" s="237">
        <v>1.0</v>
      </c>
      <c r="L57" s="237">
        <v>0.0</v>
      </c>
      <c r="M57" s="237">
        <v>1.0</v>
      </c>
      <c r="N57" s="237">
        <v>1.0</v>
      </c>
    </row>
    <row r="58">
      <c r="A58" s="236" t="s">
        <v>1224</v>
      </c>
      <c r="B58" s="237">
        <v>216.0</v>
      </c>
      <c r="C58" s="236" t="s">
        <v>477</v>
      </c>
      <c r="D58" s="236" t="s">
        <v>478</v>
      </c>
      <c r="E58" s="236" t="s">
        <v>1224</v>
      </c>
      <c r="F58" s="236" t="s">
        <v>972</v>
      </c>
      <c r="G58" s="237">
        <v>1.0</v>
      </c>
      <c r="H58" s="237">
        <v>1.0</v>
      </c>
      <c r="I58" s="237">
        <v>0.0</v>
      </c>
      <c r="J58" s="237">
        <v>1.0</v>
      </c>
      <c r="K58" s="237">
        <v>1.0</v>
      </c>
      <c r="L58" s="237">
        <v>0.0</v>
      </c>
      <c r="M58" s="237">
        <v>1.0</v>
      </c>
      <c r="N58" s="237">
        <v>1.0</v>
      </c>
    </row>
    <row r="59">
      <c r="A59" s="236" t="s">
        <v>1179</v>
      </c>
      <c r="B59" s="237">
        <v>2211.0</v>
      </c>
      <c r="C59" s="236" t="s">
        <v>477</v>
      </c>
      <c r="D59" s="236" t="s">
        <v>478</v>
      </c>
      <c r="E59" s="236" t="s">
        <v>1179</v>
      </c>
      <c r="F59" s="236" t="s">
        <v>1222</v>
      </c>
      <c r="G59" s="237">
        <v>1.0</v>
      </c>
      <c r="H59" s="237">
        <v>1.0</v>
      </c>
      <c r="I59" s="237">
        <v>0.0</v>
      </c>
      <c r="J59" s="237">
        <v>1.0</v>
      </c>
      <c r="K59" s="237">
        <v>1.0</v>
      </c>
      <c r="L59" s="237">
        <v>0.0</v>
      </c>
      <c r="M59" s="237">
        <v>1.0</v>
      </c>
      <c r="N59" s="237">
        <v>1.0</v>
      </c>
    </row>
    <row r="60">
      <c r="A60" s="236" t="s">
        <v>759</v>
      </c>
      <c r="B60" s="237">
        <v>6824.0</v>
      </c>
      <c r="C60" s="236" t="s">
        <v>477</v>
      </c>
      <c r="D60" s="236" t="s">
        <v>478</v>
      </c>
      <c r="E60" s="236" t="s">
        <v>759</v>
      </c>
      <c r="F60" s="236" t="s">
        <v>988</v>
      </c>
      <c r="G60" s="237">
        <v>1.0</v>
      </c>
      <c r="H60" s="237">
        <v>1.0</v>
      </c>
      <c r="I60" s="237">
        <v>0.0</v>
      </c>
      <c r="J60" s="237">
        <v>1.0</v>
      </c>
      <c r="K60" s="237">
        <v>1.0</v>
      </c>
      <c r="L60" s="237">
        <v>0.0</v>
      </c>
      <c r="M60" s="237">
        <v>1.0</v>
      </c>
      <c r="N60" s="237">
        <v>1.0</v>
      </c>
    </row>
    <row r="61">
      <c r="A61" s="236" t="s">
        <v>867</v>
      </c>
      <c r="B61" s="237">
        <v>4270.0</v>
      </c>
      <c r="C61" s="236" t="s">
        <v>477</v>
      </c>
      <c r="D61" s="236" t="s">
        <v>478</v>
      </c>
      <c r="E61" s="236" t="s">
        <v>867</v>
      </c>
      <c r="F61" s="236" t="s">
        <v>980</v>
      </c>
      <c r="G61" s="237">
        <v>1.0</v>
      </c>
      <c r="H61" s="237">
        <v>1.0</v>
      </c>
      <c r="I61" s="237">
        <v>0.0</v>
      </c>
      <c r="J61" s="237">
        <v>1.0</v>
      </c>
      <c r="K61" s="237">
        <v>1.0</v>
      </c>
      <c r="L61" s="237">
        <v>0.0</v>
      </c>
      <c r="M61" s="237">
        <v>1.0</v>
      </c>
      <c r="N61" s="237">
        <v>1.0</v>
      </c>
    </row>
    <row r="62">
      <c r="A62" s="236" t="s">
        <v>1537</v>
      </c>
      <c r="B62" s="237">
        <v>6919.0</v>
      </c>
      <c r="C62" s="236" t="s">
        <v>477</v>
      </c>
      <c r="D62" s="236" t="s">
        <v>478</v>
      </c>
      <c r="E62" s="236" t="s">
        <v>1537</v>
      </c>
      <c r="F62" s="236" t="s">
        <v>1222</v>
      </c>
      <c r="G62" s="237">
        <v>1.0</v>
      </c>
      <c r="H62" s="237">
        <v>1.0</v>
      </c>
      <c r="I62" s="237">
        <v>0.0</v>
      </c>
      <c r="J62" s="237">
        <v>1.0</v>
      </c>
      <c r="K62" s="237">
        <v>1.0</v>
      </c>
      <c r="L62" s="237">
        <v>0.0</v>
      </c>
      <c r="M62" s="237">
        <v>1.0</v>
      </c>
      <c r="N62" s="237">
        <v>1.0</v>
      </c>
    </row>
    <row r="63">
      <c r="A63" s="236" t="s">
        <v>1538</v>
      </c>
      <c r="B63" s="237">
        <v>5707.0</v>
      </c>
      <c r="C63" s="236" t="s">
        <v>477</v>
      </c>
      <c r="D63" s="236" t="s">
        <v>478</v>
      </c>
      <c r="E63" s="236" t="s">
        <v>1538</v>
      </c>
      <c r="F63" s="236" t="s">
        <v>993</v>
      </c>
      <c r="G63" s="237">
        <v>1.0</v>
      </c>
      <c r="H63" s="237">
        <v>1.0</v>
      </c>
      <c r="I63" s="237">
        <v>0.0</v>
      </c>
      <c r="J63" s="237">
        <v>1.0</v>
      </c>
      <c r="K63" s="237">
        <v>1.0</v>
      </c>
      <c r="L63" s="237">
        <v>0.0</v>
      </c>
      <c r="M63" s="237">
        <v>1.0</v>
      </c>
      <c r="N63" s="237">
        <v>1.0</v>
      </c>
    </row>
    <row r="64">
      <c r="A64" s="236" t="s">
        <v>1539</v>
      </c>
      <c r="B64" s="237">
        <v>797.0</v>
      </c>
      <c r="C64" s="236" t="s">
        <v>477</v>
      </c>
      <c r="D64" s="236" t="s">
        <v>478</v>
      </c>
      <c r="E64" s="236" t="s">
        <v>1539</v>
      </c>
      <c r="F64" s="236" t="s">
        <v>985</v>
      </c>
      <c r="G64" s="237">
        <v>1.0</v>
      </c>
      <c r="H64" s="237">
        <v>1.0</v>
      </c>
      <c r="I64" s="237">
        <v>0.0</v>
      </c>
      <c r="J64" s="237">
        <v>1.0</v>
      </c>
      <c r="K64" s="237">
        <v>1.0</v>
      </c>
      <c r="L64" s="237">
        <v>0.0</v>
      </c>
      <c r="M64" s="237">
        <v>1.0</v>
      </c>
      <c r="N64" s="237">
        <v>1.0</v>
      </c>
    </row>
    <row r="65">
      <c r="A65" s="236" t="s">
        <v>1178</v>
      </c>
      <c r="B65" s="237">
        <v>6991.0</v>
      </c>
      <c r="C65" s="236" t="s">
        <v>477</v>
      </c>
      <c r="D65" s="236" t="s">
        <v>478</v>
      </c>
      <c r="E65" s="236" t="s">
        <v>1178</v>
      </c>
      <c r="F65" s="236" t="s">
        <v>1026</v>
      </c>
      <c r="G65" s="237">
        <v>1.0</v>
      </c>
      <c r="H65" s="237">
        <v>1.0</v>
      </c>
      <c r="I65" s="237">
        <v>0.0</v>
      </c>
      <c r="J65" s="237">
        <v>1.0</v>
      </c>
      <c r="K65" s="237">
        <v>1.0</v>
      </c>
      <c r="L65" s="237">
        <v>0.0</v>
      </c>
      <c r="M65" s="237">
        <v>1.0</v>
      </c>
      <c r="N65" s="237">
        <v>1.0</v>
      </c>
    </row>
    <row r="66">
      <c r="A66" s="236" t="s">
        <v>751</v>
      </c>
      <c r="B66" s="237">
        <v>5513.0</v>
      </c>
      <c r="C66" s="236" t="s">
        <v>480</v>
      </c>
      <c r="D66" s="236" t="s">
        <v>521</v>
      </c>
      <c r="E66" s="236" t="s">
        <v>751</v>
      </c>
      <c r="F66" s="236" t="s">
        <v>973</v>
      </c>
      <c r="G66" s="237">
        <v>23.0</v>
      </c>
      <c r="H66" s="237">
        <v>16.0</v>
      </c>
      <c r="I66" s="237">
        <v>7.0</v>
      </c>
      <c r="J66" s="237">
        <v>23.0</v>
      </c>
      <c r="K66" s="237">
        <v>15.0</v>
      </c>
      <c r="L66" s="237">
        <v>8.0</v>
      </c>
      <c r="M66" s="237">
        <v>112.0</v>
      </c>
      <c r="N66" s="237">
        <v>112.0</v>
      </c>
    </row>
    <row r="67">
      <c r="A67" s="236" t="s">
        <v>284</v>
      </c>
      <c r="B67" s="237">
        <v>254.0</v>
      </c>
      <c r="C67" s="236" t="s">
        <v>480</v>
      </c>
      <c r="D67" s="236" t="s">
        <v>521</v>
      </c>
      <c r="E67" s="236" t="s">
        <v>284</v>
      </c>
      <c r="F67" s="236" t="s">
        <v>973</v>
      </c>
      <c r="G67" s="237">
        <v>22.0</v>
      </c>
      <c r="H67" s="237">
        <v>24.0</v>
      </c>
      <c r="I67" s="237">
        <v>-2.0</v>
      </c>
      <c r="J67" s="237">
        <v>22.0</v>
      </c>
      <c r="K67" s="237">
        <v>23.0</v>
      </c>
      <c r="L67" s="237">
        <v>-1.0</v>
      </c>
      <c r="M67" s="237">
        <v>104.0</v>
      </c>
      <c r="N67" s="237">
        <v>104.0</v>
      </c>
    </row>
    <row r="68">
      <c r="A68" s="236" t="s">
        <v>192</v>
      </c>
      <c r="B68" s="237">
        <v>2120.0</v>
      </c>
      <c r="C68" s="236" t="s">
        <v>480</v>
      </c>
      <c r="D68" s="236" t="s">
        <v>481</v>
      </c>
      <c r="E68" s="236" t="s">
        <v>192</v>
      </c>
      <c r="F68" s="236" t="s">
        <v>973</v>
      </c>
      <c r="G68" s="237">
        <v>19.0</v>
      </c>
      <c r="H68" s="237">
        <v>16.0</v>
      </c>
      <c r="I68" s="237">
        <v>3.0</v>
      </c>
      <c r="J68" s="237">
        <v>19.0</v>
      </c>
      <c r="K68" s="237">
        <v>16.0</v>
      </c>
      <c r="L68" s="237">
        <v>3.0</v>
      </c>
      <c r="M68" s="237">
        <v>86.0</v>
      </c>
      <c r="N68" s="237">
        <v>86.0</v>
      </c>
    </row>
    <row r="69">
      <c r="A69" s="236" t="s">
        <v>717</v>
      </c>
      <c r="B69" s="237">
        <v>2816.0</v>
      </c>
      <c r="C69" s="236" t="s">
        <v>480</v>
      </c>
      <c r="D69" s="236" t="s">
        <v>1019</v>
      </c>
      <c r="E69" s="236" t="s">
        <v>717</v>
      </c>
      <c r="F69" s="236" t="s">
        <v>987</v>
      </c>
      <c r="G69" s="237">
        <v>19.0</v>
      </c>
      <c r="H69" s="237">
        <v>18.0</v>
      </c>
      <c r="I69" s="237">
        <v>1.0</v>
      </c>
      <c r="J69" s="237">
        <v>19.0</v>
      </c>
      <c r="K69" s="237">
        <v>20.0</v>
      </c>
      <c r="L69" s="237">
        <v>-1.0</v>
      </c>
      <c r="M69" s="237">
        <v>100.0</v>
      </c>
      <c r="N69" s="237">
        <v>110.0</v>
      </c>
    </row>
    <row r="70">
      <c r="A70" s="236" t="s">
        <v>631</v>
      </c>
      <c r="B70" s="237">
        <v>4433.0</v>
      </c>
      <c r="C70" s="236" t="s">
        <v>480</v>
      </c>
      <c r="D70" s="236" t="s">
        <v>944</v>
      </c>
      <c r="E70" s="236" t="s">
        <v>631</v>
      </c>
      <c r="F70" s="236" t="s">
        <v>975</v>
      </c>
      <c r="G70" s="237">
        <v>17.0</v>
      </c>
      <c r="H70" s="237">
        <v>7.0</v>
      </c>
      <c r="I70" s="237">
        <v>10.0</v>
      </c>
      <c r="J70" s="237">
        <v>17.0</v>
      </c>
      <c r="K70" s="237">
        <v>8.0</v>
      </c>
      <c r="L70" s="237">
        <v>9.0</v>
      </c>
      <c r="M70" s="237">
        <v>64.0</v>
      </c>
      <c r="N70" s="237">
        <v>74.0</v>
      </c>
    </row>
    <row r="71">
      <c r="A71" s="236" t="s">
        <v>330</v>
      </c>
      <c r="B71" s="237">
        <v>5877.0</v>
      </c>
      <c r="C71" s="236" t="s">
        <v>480</v>
      </c>
      <c r="D71" s="236" t="s">
        <v>521</v>
      </c>
      <c r="E71" s="236" t="s">
        <v>330</v>
      </c>
      <c r="F71" s="236" t="s">
        <v>973</v>
      </c>
      <c r="G71" s="237">
        <v>16.0</v>
      </c>
      <c r="H71" s="237">
        <v>9.0</v>
      </c>
      <c r="I71" s="237">
        <v>7.0</v>
      </c>
      <c r="J71" s="237">
        <v>16.0</v>
      </c>
      <c r="K71" s="237">
        <v>8.0</v>
      </c>
      <c r="L71" s="237">
        <v>8.0</v>
      </c>
      <c r="M71" s="237">
        <v>24.0</v>
      </c>
      <c r="N71" s="237">
        <v>24.0</v>
      </c>
    </row>
    <row r="72">
      <c r="A72" s="236" t="s">
        <v>177</v>
      </c>
      <c r="B72" s="237">
        <v>5620.0</v>
      </c>
      <c r="C72" s="236" t="s">
        <v>480</v>
      </c>
      <c r="D72" s="236" t="s">
        <v>931</v>
      </c>
      <c r="E72" s="236" t="s">
        <v>177</v>
      </c>
      <c r="F72" s="236" t="s">
        <v>1000</v>
      </c>
      <c r="G72" s="237">
        <v>16.0</v>
      </c>
      <c r="H72" s="237">
        <v>6.0</v>
      </c>
      <c r="I72" s="237">
        <v>10.0</v>
      </c>
      <c r="J72" s="237">
        <v>16.0</v>
      </c>
      <c r="K72" s="237">
        <v>6.0</v>
      </c>
      <c r="L72" s="237">
        <v>10.0</v>
      </c>
      <c r="M72" s="237">
        <v>83.0</v>
      </c>
      <c r="N72" s="237">
        <v>83.0</v>
      </c>
    </row>
    <row r="73">
      <c r="A73" s="236" t="s">
        <v>138</v>
      </c>
      <c r="B73" s="237">
        <v>554.0</v>
      </c>
      <c r="C73" s="236" t="s">
        <v>480</v>
      </c>
      <c r="D73" s="236" t="s">
        <v>521</v>
      </c>
      <c r="E73" s="236" t="s">
        <v>138</v>
      </c>
      <c r="F73" s="236" t="s">
        <v>980</v>
      </c>
      <c r="G73" s="237">
        <v>15.0</v>
      </c>
      <c r="H73" s="237">
        <v>9.0</v>
      </c>
      <c r="I73" s="237">
        <v>6.0</v>
      </c>
      <c r="J73" s="237">
        <v>16.0</v>
      </c>
      <c r="K73" s="237">
        <v>8.0</v>
      </c>
      <c r="L73" s="237">
        <v>8.0</v>
      </c>
      <c r="M73" s="237">
        <v>22.0</v>
      </c>
      <c r="N73" s="237">
        <v>22.0</v>
      </c>
    </row>
    <row r="74">
      <c r="A74" s="236" t="s">
        <v>429</v>
      </c>
      <c r="B74" s="237">
        <v>2724.0</v>
      </c>
      <c r="C74" s="236" t="s">
        <v>480</v>
      </c>
      <c r="D74" s="236" t="s">
        <v>481</v>
      </c>
      <c r="E74" s="236" t="s">
        <v>429</v>
      </c>
      <c r="F74" s="236" t="s">
        <v>987</v>
      </c>
      <c r="G74" s="237">
        <v>15.0</v>
      </c>
      <c r="H74" s="237">
        <v>16.0</v>
      </c>
      <c r="I74" s="237">
        <v>-1.0</v>
      </c>
      <c r="J74" s="237">
        <v>15.0</v>
      </c>
      <c r="K74" s="237">
        <v>16.0</v>
      </c>
      <c r="L74" s="237">
        <v>-1.0</v>
      </c>
      <c r="M74" s="237">
        <v>70.0</v>
      </c>
      <c r="N74" s="237">
        <v>70.0</v>
      </c>
    </row>
    <row r="75">
      <c r="A75" s="236" t="s">
        <v>662</v>
      </c>
      <c r="B75" s="237">
        <v>2160.0</v>
      </c>
      <c r="C75" s="236" t="s">
        <v>480</v>
      </c>
      <c r="D75" s="236" t="s">
        <v>521</v>
      </c>
      <c r="E75" s="236" t="s">
        <v>662</v>
      </c>
      <c r="F75" s="236" t="s">
        <v>1033</v>
      </c>
      <c r="G75" s="237">
        <v>15.0</v>
      </c>
      <c r="H75" s="237">
        <v>13.0</v>
      </c>
      <c r="I75" s="237">
        <v>2.0</v>
      </c>
      <c r="J75" s="237">
        <v>15.0</v>
      </c>
      <c r="K75" s="237">
        <v>12.0</v>
      </c>
      <c r="L75" s="237">
        <v>3.0</v>
      </c>
      <c r="M75" s="237">
        <v>55.0</v>
      </c>
      <c r="N75" s="237">
        <v>55.0</v>
      </c>
    </row>
    <row r="76">
      <c r="A76" s="236" t="s">
        <v>193</v>
      </c>
      <c r="B76" s="237">
        <v>2525.0</v>
      </c>
      <c r="C76" s="236" t="s">
        <v>480</v>
      </c>
      <c r="D76" s="236" t="s">
        <v>1019</v>
      </c>
      <c r="E76" s="236" t="s">
        <v>193</v>
      </c>
      <c r="F76" s="236" t="s">
        <v>973</v>
      </c>
      <c r="G76" s="237">
        <v>14.0</v>
      </c>
      <c r="H76" s="237">
        <v>8.0</v>
      </c>
      <c r="I76" s="237">
        <v>6.0</v>
      </c>
      <c r="J76" s="237">
        <v>14.0</v>
      </c>
      <c r="K76" s="237">
        <v>9.0</v>
      </c>
      <c r="L76" s="237">
        <v>5.0</v>
      </c>
      <c r="M76" s="237">
        <v>17.0</v>
      </c>
      <c r="N76" s="237">
        <v>22.0</v>
      </c>
    </row>
    <row r="77">
      <c r="A77" s="236" t="s">
        <v>431</v>
      </c>
      <c r="B77" s="237">
        <v>5520.0</v>
      </c>
      <c r="C77" s="236" t="s">
        <v>480</v>
      </c>
      <c r="D77" s="236" t="s">
        <v>944</v>
      </c>
      <c r="E77" s="236" t="s">
        <v>431</v>
      </c>
      <c r="F77" s="236" t="s">
        <v>976</v>
      </c>
      <c r="G77" s="237">
        <v>14.0</v>
      </c>
      <c r="H77" s="237">
        <v>9.0</v>
      </c>
      <c r="I77" s="237">
        <v>5.0</v>
      </c>
      <c r="J77" s="237">
        <v>14.0</v>
      </c>
      <c r="K77" s="237">
        <v>10.0</v>
      </c>
      <c r="L77" s="237">
        <v>4.0</v>
      </c>
      <c r="M77" s="237">
        <v>44.0</v>
      </c>
      <c r="N77" s="237">
        <v>54.0</v>
      </c>
    </row>
    <row r="78">
      <c r="A78" s="236" t="s">
        <v>612</v>
      </c>
      <c r="B78" s="237">
        <v>6664.0</v>
      </c>
      <c r="C78" s="236" t="s">
        <v>480</v>
      </c>
      <c r="D78" s="236" t="s">
        <v>1019</v>
      </c>
      <c r="E78" s="236" t="s">
        <v>612</v>
      </c>
      <c r="F78" s="236" t="s">
        <v>985</v>
      </c>
      <c r="G78" s="237">
        <v>14.0</v>
      </c>
      <c r="H78" s="237">
        <v>6.0</v>
      </c>
      <c r="I78" s="237">
        <v>8.0</v>
      </c>
      <c r="J78" s="237">
        <v>15.0</v>
      </c>
      <c r="K78" s="237">
        <v>7.0</v>
      </c>
      <c r="L78" s="237">
        <v>8.0</v>
      </c>
      <c r="M78" s="237">
        <v>28.0</v>
      </c>
      <c r="N78" s="237">
        <v>33.0</v>
      </c>
    </row>
    <row r="79">
      <c r="A79" s="236" t="s">
        <v>70</v>
      </c>
      <c r="B79" s="237">
        <v>2296.0</v>
      </c>
      <c r="C79" s="236" t="s">
        <v>480</v>
      </c>
      <c r="D79" s="236" t="s">
        <v>481</v>
      </c>
      <c r="E79" s="236" t="s">
        <v>70</v>
      </c>
      <c r="F79" s="236" t="s">
        <v>988</v>
      </c>
      <c r="G79" s="237">
        <v>14.0</v>
      </c>
      <c r="H79" s="237">
        <v>10.0</v>
      </c>
      <c r="I79" s="237">
        <v>4.0</v>
      </c>
      <c r="J79" s="237">
        <v>14.0</v>
      </c>
      <c r="K79" s="237">
        <v>10.0</v>
      </c>
      <c r="L79" s="237">
        <v>4.0</v>
      </c>
      <c r="M79" s="237">
        <v>23.0</v>
      </c>
      <c r="N79" s="237">
        <v>23.0</v>
      </c>
    </row>
    <row r="80">
      <c r="A80" s="236" t="s">
        <v>801</v>
      </c>
      <c r="B80" s="237">
        <v>770.0</v>
      </c>
      <c r="C80" s="236" t="s">
        <v>480</v>
      </c>
      <c r="D80" s="236" t="s">
        <v>931</v>
      </c>
      <c r="E80" s="236" t="s">
        <v>801</v>
      </c>
      <c r="F80" s="236" t="s">
        <v>1222</v>
      </c>
      <c r="G80" s="237">
        <v>13.0</v>
      </c>
      <c r="H80" s="237">
        <v>5.0</v>
      </c>
      <c r="I80" s="237">
        <v>8.0</v>
      </c>
      <c r="J80" s="237">
        <v>13.0</v>
      </c>
      <c r="K80" s="237">
        <v>5.0</v>
      </c>
      <c r="L80" s="237">
        <v>8.0</v>
      </c>
      <c r="M80" s="237">
        <v>18.0</v>
      </c>
      <c r="N80" s="237">
        <v>18.0</v>
      </c>
    </row>
    <row r="81">
      <c r="A81" s="236" t="s">
        <v>633</v>
      </c>
      <c r="B81" s="237">
        <v>4292.0</v>
      </c>
      <c r="C81" s="236" t="s">
        <v>480</v>
      </c>
      <c r="D81" s="236" t="s">
        <v>931</v>
      </c>
      <c r="E81" s="236" t="s">
        <v>633</v>
      </c>
      <c r="F81" s="236" t="s">
        <v>991</v>
      </c>
      <c r="G81" s="237">
        <v>13.0</v>
      </c>
      <c r="H81" s="237">
        <v>20.0</v>
      </c>
      <c r="I81" s="237">
        <v>-7.0</v>
      </c>
      <c r="J81" s="237">
        <v>13.0</v>
      </c>
      <c r="K81" s="237">
        <v>20.0</v>
      </c>
      <c r="L81" s="237">
        <v>-7.0</v>
      </c>
      <c r="M81" s="237">
        <v>77.0</v>
      </c>
      <c r="N81" s="237">
        <v>77.0</v>
      </c>
    </row>
    <row r="82">
      <c r="A82" s="236" t="s">
        <v>731</v>
      </c>
      <c r="B82" s="237">
        <v>4530.0</v>
      </c>
      <c r="C82" s="236" t="s">
        <v>480</v>
      </c>
      <c r="D82" s="236" t="s">
        <v>931</v>
      </c>
      <c r="E82" s="236" t="s">
        <v>731</v>
      </c>
      <c r="F82" s="236" t="s">
        <v>1225</v>
      </c>
      <c r="G82" s="237">
        <v>13.0</v>
      </c>
      <c r="H82" s="237">
        <v>6.0</v>
      </c>
      <c r="I82" s="237">
        <v>7.0</v>
      </c>
      <c r="J82" s="237">
        <v>13.0</v>
      </c>
      <c r="K82" s="237">
        <v>6.0</v>
      </c>
      <c r="L82" s="237">
        <v>7.0</v>
      </c>
      <c r="M82" s="237">
        <v>22.0</v>
      </c>
      <c r="N82" s="237">
        <v>22.0</v>
      </c>
    </row>
    <row r="83">
      <c r="A83" s="236" t="s">
        <v>816</v>
      </c>
      <c r="B83" s="237">
        <v>4409.0</v>
      </c>
      <c r="C83" s="236" t="s">
        <v>480</v>
      </c>
      <c r="D83" s="236" t="s">
        <v>481</v>
      </c>
      <c r="E83" s="236" t="s">
        <v>816</v>
      </c>
      <c r="F83" s="236" t="s">
        <v>987</v>
      </c>
      <c r="G83" s="237">
        <v>13.0</v>
      </c>
      <c r="H83" s="237">
        <v>11.0</v>
      </c>
      <c r="I83" s="237">
        <v>2.0</v>
      </c>
      <c r="J83" s="237">
        <v>13.0</v>
      </c>
      <c r="K83" s="237">
        <v>11.0</v>
      </c>
      <c r="L83" s="237">
        <v>2.0</v>
      </c>
      <c r="M83" s="237">
        <v>52.0</v>
      </c>
      <c r="N83" s="237">
        <v>52.0</v>
      </c>
    </row>
    <row r="84">
      <c r="A84" s="236" t="s">
        <v>696</v>
      </c>
      <c r="B84" s="237">
        <v>6802.0</v>
      </c>
      <c r="C84" s="236" t="s">
        <v>480</v>
      </c>
      <c r="D84" s="236" t="s">
        <v>1019</v>
      </c>
      <c r="E84" s="236" t="s">
        <v>696</v>
      </c>
      <c r="F84" s="236" t="s">
        <v>976</v>
      </c>
      <c r="G84" s="237">
        <v>13.0</v>
      </c>
      <c r="H84" s="237">
        <v>1.0</v>
      </c>
      <c r="I84" s="237">
        <v>12.0</v>
      </c>
      <c r="J84" s="237">
        <v>13.0</v>
      </c>
      <c r="K84" s="237">
        <v>1.0</v>
      </c>
      <c r="L84" s="237">
        <v>12.0</v>
      </c>
      <c r="M84" s="237">
        <v>12.0</v>
      </c>
      <c r="N84" s="237">
        <v>17.0</v>
      </c>
    </row>
    <row r="85">
      <c r="A85" s="236" t="s">
        <v>615</v>
      </c>
      <c r="B85" s="237">
        <v>5010.0</v>
      </c>
      <c r="C85" s="236" t="s">
        <v>480</v>
      </c>
      <c r="D85" s="236" t="s">
        <v>481</v>
      </c>
      <c r="E85" s="236" t="s">
        <v>615</v>
      </c>
      <c r="F85" s="236" t="s">
        <v>1222</v>
      </c>
      <c r="G85" s="237">
        <v>12.0</v>
      </c>
      <c r="H85" s="237">
        <v>6.0</v>
      </c>
      <c r="I85" s="237">
        <v>6.0</v>
      </c>
      <c r="J85" s="237">
        <v>12.0</v>
      </c>
      <c r="K85" s="237">
        <v>6.0</v>
      </c>
      <c r="L85" s="237">
        <v>6.0</v>
      </c>
      <c r="M85" s="237">
        <v>25.0</v>
      </c>
      <c r="N85" s="237">
        <v>25.0</v>
      </c>
    </row>
    <row r="86">
      <c r="A86" s="236" t="s">
        <v>722</v>
      </c>
      <c r="B86" s="237">
        <v>5885.0</v>
      </c>
      <c r="C86" s="236" t="s">
        <v>480</v>
      </c>
      <c r="D86" s="236" t="s">
        <v>938</v>
      </c>
      <c r="E86" s="236" t="s">
        <v>722</v>
      </c>
      <c r="F86" s="236" t="s">
        <v>1033</v>
      </c>
      <c r="G86" s="237">
        <v>12.0</v>
      </c>
      <c r="H86" s="237">
        <v>9.0</v>
      </c>
      <c r="I86" s="237">
        <v>3.0</v>
      </c>
      <c r="J86" s="237">
        <v>12.0</v>
      </c>
      <c r="K86" s="237">
        <v>9.0</v>
      </c>
      <c r="L86" s="237">
        <v>3.0</v>
      </c>
      <c r="M86" s="237">
        <v>40.0</v>
      </c>
      <c r="N86" s="237">
        <v>40.0</v>
      </c>
    </row>
    <row r="87">
      <c r="A87" s="236" t="s">
        <v>780</v>
      </c>
      <c r="B87" s="237">
        <v>5831.0</v>
      </c>
      <c r="C87" s="236" t="s">
        <v>480</v>
      </c>
      <c r="D87" s="236" t="s">
        <v>481</v>
      </c>
      <c r="E87" s="236" t="s">
        <v>780</v>
      </c>
      <c r="F87" s="236" t="s">
        <v>976</v>
      </c>
      <c r="G87" s="237">
        <v>12.0</v>
      </c>
      <c r="H87" s="237">
        <v>7.0</v>
      </c>
      <c r="I87" s="237">
        <v>5.0</v>
      </c>
      <c r="J87" s="237">
        <v>12.0</v>
      </c>
      <c r="K87" s="237">
        <v>7.0</v>
      </c>
      <c r="L87" s="237">
        <v>5.0</v>
      </c>
      <c r="M87" s="237">
        <v>21.0</v>
      </c>
      <c r="N87" s="237">
        <v>21.0</v>
      </c>
    </row>
    <row r="88">
      <c r="A88" s="236" t="s">
        <v>761</v>
      </c>
      <c r="B88" s="237">
        <v>4401.0</v>
      </c>
      <c r="C88" s="236" t="s">
        <v>480</v>
      </c>
      <c r="D88" s="236" t="s">
        <v>481</v>
      </c>
      <c r="E88" s="236" t="s">
        <v>761</v>
      </c>
      <c r="F88" s="236" t="s">
        <v>991</v>
      </c>
      <c r="G88" s="237">
        <v>12.0</v>
      </c>
      <c r="H88" s="237">
        <v>4.0</v>
      </c>
      <c r="I88" s="237">
        <v>8.0</v>
      </c>
      <c r="J88" s="237">
        <v>12.0</v>
      </c>
      <c r="K88" s="237">
        <v>4.0</v>
      </c>
      <c r="L88" s="237">
        <v>8.0</v>
      </c>
      <c r="M88" s="237">
        <v>15.0</v>
      </c>
      <c r="N88" s="237">
        <v>15.0</v>
      </c>
    </row>
    <row r="89">
      <c r="A89" s="236" t="s">
        <v>667</v>
      </c>
      <c r="B89" s="237">
        <v>4976.0</v>
      </c>
      <c r="C89" s="236" t="s">
        <v>480</v>
      </c>
      <c r="D89" s="236" t="s">
        <v>937</v>
      </c>
      <c r="E89" s="236" t="s">
        <v>667</v>
      </c>
      <c r="F89" s="236" t="s">
        <v>976</v>
      </c>
      <c r="G89" s="237">
        <v>12.0</v>
      </c>
      <c r="H89" s="237">
        <v>4.0</v>
      </c>
      <c r="I89" s="237">
        <v>8.0</v>
      </c>
      <c r="J89" s="237">
        <v>11.0</v>
      </c>
      <c r="K89" s="237">
        <v>5.0</v>
      </c>
      <c r="L89" s="237">
        <v>6.0</v>
      </c>
      <c r="M89" s="237">
        <v>28.0</v>
      </c>
      <c r="N89" s="237">
        <v>33.0</v>
      </c>
    </row>
    <row r="90">
      <c r="A90" s="236" t="s">
        <v>742</v>
      </c>
      <c r="B90" s="237">
        <v>5862.0</v>
      </c>
      <c r="C90" s="236" t="s">
        <v>480</v>
      </c>
      <c r="D90" s="236" t="s">
        <v>931</v>
      </c>
      <c r="E90" s="236" t="s">
        <v>742</v>
      </c>
      <c r="F90" s="236" t="s">
        <v>985</v>
      </c>
      <c r="G90" s="237">
        <v>12.0</v>
      </c>
      <c r="H90" s="237">
        <v>6.0</v>
      </c>
      <c r="I90" s="237">
        <v>6.0</v>
      </c>
      <c r="J90" s="237">
        <v>12.0</v>
      </c>
      <c r="K90" s="237">
        <v>6.0</v>
      </c>
      <c r="L90" s="237">
        <v>6.0</v>
      </c>
      <c r="M90" s="237">
        <v>15.0</v>
      </c>
      <c r="N90" s="237">
        <v>15.0</v>
      </c>
    </row>
    <row r="91">
      <c r="A91" s="236" t="s">
        <v>606</v>
      </c>
      <c r="B91" s="237">
        <v>4887.0</v>
      </c>
      <c r="C91" s="236" t="s">
        <v>480</v>
      </c>
      <c r="D91" s="236" t="s">
        <v>521</v>
      </c>
      <c r="E91" s="236" t="s">
        <v>606</v>
      </c>
      <c r="F91" s="236" t="s">
        <v>980</v>
      </c>
      <c r="G91" s="237">
        <v>12.0</v>
      </c>
      <c r="H91" s="237">
        <v>13.0</v>
      </c>
      <c r="I91" s="237">
        <v>-1.0</v>
      </c>
      <c r="J91" s="237">
        <v>12.0</v>
      </c>
      <c r="K91" s="237">
        <v>12.0</v>
      </c>
      <c r="L91" s="237">
        <v>0.0</v>
      </c>
      <c r="M91" s="237">
        <v>60.0</v>
      </c>
      <c r="N91" s="237">
        <v>60.0</v>
      </c>
    </row>
    <row r="92">
      <c r="A92" s="236" t="s">
        <v>815</v>
      </c>
      <c r="B92" s="237">
        <v>5354.0</v>
      </c>
      <c r="C92" s="236" t="s">
        <v>480</v>
      </c>
      <c r="D92" s="236" t="s">
        <v>521</v>
      </c>
      <c r="E92" s="236" t="s">
        <v>815</v>
      </c>
      <c r="F92" s="236" t="s">
        <v>980</v>
      </c>
      <c r="G92" s="237">
        <v>11.0</v>
      </c>
      <c r="H92" s="237">
        <v>11.0</v>
      </c>
      <c r="I92" s="237">
        <v>0.0</v>
      </c>
      <c r="J92" s="237">
        <v>10.0</v>
      </c>
      <c r="K92" s="237">
        <v>10.0</v>
      </c>
      <c r="L92" s="237">
        <v>0.0</v>
      </c>
      <c r="M92" s="237">
        <v>20.0</v>
      </c>
      <c r="N92" s="237">
        <v>20.0</v>
      </c>
    </row>
    <row r="93">
      <c r="A93" s="236" t="s">
        <v>668</v>
      </c>
      <c r="B93" s="237">
        <v>393.0</v>
      </c>
      <c r="C93" s="236" t="s">
        <v>480</v>
      </c>
      <c r="D93" s="236" t="s">
        <v>481</v>
      </c>
      <c r="E93" s="236" t="s">
        <v>668</v>
      </c>
      <c r="F93" s="236" t="s">
        <v>975</v>
      </c>
      <c r="G93" s="237">
        <v>11.0</v>
      </c>
      <c r="H93" s="237">
        <v>8.0</v>
      </c>
      <c r="I93" s="237">
        <v>3.0</v>
      </c>
      <c r="J93" s="237">
        <v>11.0</v>
      </c>
      <c r="K93" s="237">
        <v>8.0</v>
      </c>
      <c r="L93" s="237">
        <v>3.0</v>
      </c>
      <c r="M93" s="237">
        <v>17.0</v>
      </c>
      <c r="N93" s="237">
        <v>17.0</v>
      </c>
    </row>
    <row r="94">
      <c r="A94" s="236" t="s">
        <v>652</v>
      </c>
      <c r="B94" s="237">
        <v>5718.0</v>
      </c>
      <c r="C94" s="236" t="s">
        <v>480</v>
      </c>
      <c r="D94" s="236" t="s">
        <v>481</v>
      </c>
      <c r="E94" s="236" t="s">
        <v>652</v>
      </c>
      <c r="F94" s="236" t="s">
        <v>1222</v>
      </c>
      <c r="G94" s="237">
        <v>11.0</v>
      </c>
      <c r="H94" s="237">
        <v>5.0</v>
      </c>
      <c r="I94" s="237">
        <v>6.0</v>
      </c>
      <c r="J94" s="237">
        <v>11.0</v>
      </c>
      <c r="K94" s="237">
        <v>5.0</v>
      </c>
      <c r="L94" s="237">
        <v>6.0</v>
      </c>
      <c r="M94" s="237">
        <v>17.0</v>
      </c>
      <c r="N94" s="237">
        <v>17.0</v>
      </c>
    </row>
    <row r="95">
      <c r="A95" s="236" t="s">
        <v>873</v>
      </c>
      <c r="B95" s="237">
        <v>5804.0</v>
      </c>
      <c r="C95" s="236" t="s">
        <v>480</v>
      </c>
      <c r="D95" s="236" t="s">
        <v>931</v>
      </c>
      <c r="E95" s="236" t="s">
        <v>873</v>
      </c>
      <c r="F95" s="236" t="s">
        <v>1222</v>
      </c>
      <c r="G95" s="237">
        <v>11.0</v>
      </c>
      <c r="H95" s="237">
        <v>3.0</v>
      </c>
      <c r="I95" s="237">
        <v>8.0</v>
      </c>
      <c r="J95" s="237">
        <v>11.0</v>
      </c>
      <c r="K95" s="237">
        <v>3.0</v>
      </c>
      <c r="L95" s="237">
        <v>8.0</v>
      </c>
      <c r="M95" s="237">
        <v>15.0</v>
      </c>
      <c r="N95" s="237">
        <v>15.0</v>
      </c>
    </row>
    <row r="96">
      <c r="A96" s="236" t="s">
        <v>841</v>
      </c>
      <c r="B96" s="237">
        <v>2593.0</v>
      </c>
      <c r="C96" s="236" t="s">
        <v>480</v>
      </c>
      <c r="D96" s="236" t="s">
        <v>931</v>
      </c>
      <c r="E96" s="236" t="s">
        <v>841</v>
      </c>
      <c r="F96" s="236" t="s">
        <v>1026</v>
      </c>
      <c r="G96" s="237">
        <v>11.0</v>
      </c>
      <c r="H96" s="237">
        <v>4.0</v>
      </c>
      <c r="I96" s="237">
        <v>7.0</v>
      </c>
      <c r="J96" s="237">
        <v>11.0</v>
      </c>
      <c r="K96" s="237">
        <v>4.0</v>
      </c>
      <c r="L96" s="237">
        <v>7.0</v>
      </c>
      <c r="M96" s="237">
        <v>22.0</v>
      </c>
      <c r="N96" s="237">
        <v>22.0</v>
      </c>
    </row>
    <row r="97">
      <c r="A97" s="236" t="s">
        <v>776</v>
      </c>
      <c r="B97" s="237">
        <v>322.0</v>
      </c>
      <c r="C97" s="236" t="s">
        <v>480</v>
      </c>
      <c r="D97" s="236" t="s">
        <v>481</v>
      </c>
      <c r="E97" s="236" t="s">
        <v>776</v>
      </c>
      <c r="F97" s="236" t="s">
        <v>973</v>
      </c>
      <c r="G97" s="237">
        <v>11.0</v>
      </c>
      <c r="H97" s="237">
        <v>8.0</v>
      </c>
      <c r="I97" s="237">
        <v>3.0</v>
      </c>
      <c r="J97" s="237">
        <v>11.0</v>
      </c>
      <c r="K97" s="237">
        <v>8.0</v>
      </c>
      <c r="L97" s="237">
        <v>3.0</v>
      </c>
      <c r="M97" s="237">
        <v>26.0</v>
      </c>
      <c r="N97" s="237">
        <v>26.0</v>
      </c>
    </row>
    <row r="98">
      <c r="A98" s="236" t="s">
        <v>321</v>
      </c>
      <c r="B98" s="237">
        <v>4772.0</v>
      </c>
      <c r="C98" s="236" t="s">
        <v>480</v>
      </c>
      <c r="D98" s="236" t="s">
        <v>931</v>
      </c>
      <c r="E98" s="236" t="s">
        <v>321</v>
      </c>
      <c r="F98" s="236" t="s">
        <v>988</v>
      </c>
      <c r="G98" s="237">
        <v>11.0</v>
      </c>
      <c r="H98" s="237">
        <v>10.0</v>
      </c>
      <c r="I98" s="237">
        <v>1.0</v>
      </c>
      <c r="J98" s="237">
        <v>11.0</v>
      </c>
      <c r="K98" s="237">
        <v>10.0</v>
      </c>
      <c r="L98" s="237">
        <v>1.0</v>
      </c>
      <c r="M98" s="237">
        <v>37.0</v>
      </c>
      <c r="N98" s="237">
        <v>37.0</v>
      </c>
    </row>
    <row r="99">
      <c r="A99" s="236" t="s">
        <v>623</v>
      </c>
      <c r="B99" s="237">
        <v>49.0</v>
      </c>
      <c r="C99" s="236" t="s">
        <v>480</v>
      </c>
      <c r="D99" s="236" t="s">
        <v>979</v>
      </c>
      <c r="E99" s="236" t="s">
        <v>623</v>
      </c>
      <c r="F99" s="236" t="s">
        <v>972</v>
      </c>
      <c r="G99" s="237">
        <v>11.0</v>
      </c>
      <c r="H99" s="237">
        <v>6.0</v>
      </c>
      <c r="I99" s="237">
        <v>5.0</v>
      </c>
      <c r="J99" s="237">
        <v>11.0</v>
      </c>
      <c r="K99" s="237">
        <v>7.0</v>
      </c>
      <c r="L99" s="237">
        <v>4.0</v>
      </c>
      <c r="M99" s="237">
        <v>12.0</v>
      </c>
      <c r="N99" s="237">
        <v>15.0</v>
      </c>
    </row>
    <row r="100">
      <c r="A100" s="236" t="s">
        <v>807</v>
      </c>
      <c r="B100" s="237">
        <v>6202.0</v>
      </c>
      <c r="C100" s="236" t="s">
        <v>480</v>
      </c>
      <c r="D100" s="236" t="s">
        <v>481</v>
      </c>
      <c r="E100" s="236" t="s">
        <v>807</v>
      </c>
      <c r="F100" s="236" t="s">
        <v>1009</v>
      </c>
      <c r="G100" s="237">
        <v>10.0</v>
      </c>
      <c r="H100" s="237">
        <v>7.0</v>
      </c>
      <c r="I100" s="237">
        <v>3.0</v>
      </c>
      <c r="J100" s="237">
        <v>10.0</v>
      </c>
      <c r="K100" s="237">
        <v>7.0</v>
      </c>
      <c r="L100" s="237">
        <v>3.0</v>
      </c>
      <c r="M100" s="237">
        <v>20.0</v>
      </c>
      <c r="N100" s="237">
        <v>20.0</v>
      </c>
    </row>
    <row r="101">
      <c r="A101" s="236" t="s">
        <v>194</v>
      </c>
      <c r="B101" s="237">
        <v>6217.0</v>
      </c>
      <c r="C101" s="236" t="s">
        <v>480</v>
      </c>
      <c r="D101" s="236" t="s">
        <v>481</v>
      </c>
      <c r="E101" s="236" t="s">
        <v>194</v>
      </c>
      <c r="F101" s="236" t="s">
        <v>973</v>
      </c>
      <c r="G101" s="237">
        <v>10.0</v>
      </c>
      <c r="H101" s="237">
        <v>5.0</v>
      </c>
      <c r="I101" s="237">
        <v>5.0</v>
      </c>
      <c r="J101" s="237">
        <v>10.0</v>
      </c>
      <c r="K101" s="237">
        <v>5.0</v>
      </c>
      <c r="L101" s="237">
        <v>5.0</v>
      </c>
      <c r="M101" s="237">
        <v>18.0</v>
      </c>
      <c r="N101" s="237">
        <v>18.0</v>
      </c>
    </row>
    <row r="102">
      <c r="A102" s="236" t="s">
        <v>802</v>
      </c>
      <c r="B102" s="237">
        <v>5840.0</v>
      </c>
      <c r="C102" s="236" t="s">
        <v>480</v>
      </c>
      <c r="D102" s="236" t="s">
        <v>979</v>
      </c>
      <c r="E102" s="236" t="s">
        <v>802</v>
      </c>
      <c r="F102" s="236" t="s">
        <v>987</v>
      </c>
      <c r="G102" s="237">
        <v>10.0</v>
      </c>
      <c r="H102" s="237">
        <v>7.0</v>
      </c>
      <c r="I102" s="237">
        <v>3.0</v>
      </c>
      <c r="J102" s="237">
        <v>10.0</v>
      </c>
      <c r="K102" s="237">
        <v>8.0</v>
      </c>
      <c r="L102" s="237">
        <v>2.0</v>
      </c>
      <c r="M102" s="237">
        <v>29.0</v>
      </c>
      <c r="N102" s="237">
        <v>34.0</v>
      </c>
    </row>
    <row r="103">
      <c r="A103" s="236" t="s">
        <v>838</v>
      </c>
      <c r="B103" s="237">
        <v>4385.0</v>
      </c>
      <c r="C103" s="236" t="s">
        <v>480</v>
      </c>
      <c r="D103" s="236" t="s">
        <v>521</v>
      </c>
      <c r="E103" s="236" t="s">
        <v>838</v>
      </c>
      <c r="F103" s="236" t="s">
        <v>972</v>
      </c>
      <c r="G103" s="237">
        <v>10.0</v>
      </c>
      <c r="H103" s="237">
        <v>4.0</v>
      </c>
      <c r="I103" s="237">
        <v>6.0</v>
      </c>
      <c r="J103" s="237">
        <v>10.0</v>
      </c>
      <c r="K103" s="237">
        <v>4.0</v>
      </c>
      <c r="L103" s="237">
        <v>6.0</v>
      </c>
      <c r="M103" s="237">
        <v>27.0</v>
      </c>
      <c r="N103" s="237">
        <v>27.0</v>
      </c>
    </row>
    <row r="104">
      <c r="A104" s="236" t="s">
        <v>833</v>
      </c>
      <c r="B104" s="237">
        <v>5847.0</v>
      </c>
      <c r="C104" s="236" t="s">
        <v>480</v>
      </c>
      <c r="D104" s="236" t="s">
        <v>481</v>
      </c>
      <c r="E104" s="236" t="s">
        <v>833</v>
      </c>
      <c r="F104" s="236" t="s">
        <v>993</v>
      </c>
      <c r="G104" s="237">
        <v>10.0</v>
      </c>
      <c r="H104" s="237">
        <v>8.0</v>
      </c>
      <c r="I104" s="237">
        <v>2.0</v>
      </c>
      <c r="J104" s="237">
        <v>10.0</v>
      </c>
      <c r="K104" s="237">
        <v>8.0</v>
      </c>
      <c r="L104" s="237">
        <v>2.0</v>
      </c>
      <c r="M104" s="237">
        <v>21.0</v>
      </c>
      <c r="N104" s="237">
        <v>21.0</v>
      </c>
    </row>
    <row r="105">
      <c r="A105" s="236" t="s">
        <v>683</v>
      </c>
      <c r="B105" s="237">
        <v>6211.0</v>
      </c>
      <c r="C105" s="236" t="s">
        <v>480</v>
      </c>
      <c r="D105" s="236" t="s">
        <v>931</v>
      </c>
      <c r="E105" s="236" t="s">
        <v>683</v>
      </c>
      <c r="F105" s="236" t="s">
        <v>993</v>
      </c>
      <c r="G105" s="237">
        <v>10.0</v>
      </c>
      <c r="H105" s="237">
        <v>3.0</v>
      </c>
      <c r="I105" s="237">
        <v>7.0</v>
      </c>
      <c r="J105" s="237">
        <v>10.0</v>
      </c>
      <c r="K105" s="237">
        <v>3.0</v>
      </c>
      <c r="L105" s="237">
        <v>7.0</v>
      </c>
      <c r="M105" s="237">
        <v>12.0</v>
      </c>
      <c r="N105" s="237">
        <v>12.0</v>
      </c>
    </row>
    <row r="106">
      <c r="A106" s="236" t="s">
        <v>661</v>
      </c>
      <c r="B106" s="237">
        <v>5899.0</v>
      </c>
      <c r="C106" s="236" t="s">
        <v>480</v>
      </c>
      <c r="D106" s="236" t="s">
        <v>481</v>
      </c>
      <c r="E106" s="236" t="s">
        <v>661</v>
      </c>
      <c r="F106" s="236" t="s">
        <v>1000</v>
      </c>
      <c r="G106" s="237">
        <v>10.0</v>
      </c>
      <c r="H106" s="237">
        <v>8.0</v>
      </c>
      <c r="I106" s="237">
        <v>2.0</v>
      </c>
      <c r="J106" s="237">
        <v>10.0</v>
      </c>
      <c r="K106" s="237">
        <v>8.0</v>
      </c>
      <c r="L106" s="237">
        <v>2.0</v>
      </c>
      <c r="M106" s="237">
        <v>15.0</v>
      </c>
      <c r="N106" s="237">
        <v>15.0</v>
      </c>
    </row>
    <row r="107">
      <c r="A107" s="236" t="s">
        <v>800</v>
      </c>
      <c r="B107" s="237">
        <v>2515.0</v>
      </c>
      <c r="C107" s="236" t="s">
        <v>480</v>
      </c>
      <c r="D107" s="236" t="s">
        <v>1019</v>
      </c>
      <c r="E107" s="236" t="s">
        <v>800</v>
      </c>
      <c r="F107" s="236" t="s">
        <v>991</v>
      </c>
      <c r="G107" s="237">
        <v>10.0</v>
      </c>
      <c r="H107" s="237">
        <v>10.0</v>
      </c>
      <c r="I107" s="237">
        <v>0.0</v>
      </c>
      <c r="J107" s="237">
        <v>11.0</v>
      </c>
      <c r="K107" s="237">
        <v>11.0</v>
      </c>
      <c r="L107" s="237">
        <v>0.0</v>
      </c>
      <c r="M107" s="237">
        <v>25.0</v>
      </c>
      <c r="N107" s="237">
        <v>27.0</v>
      </c>
    </row>
    <row r="108">
      <c r="A108" s="236" t="s">
        <v>641</v>
      </c>
      <c r="B108" s="237">
        <v>5678.0</v>
      </c>
      <c r="C108" s="236" t="s">
        <v>480</v>
      </c>
      <c r="D108" s="236" t="s">
        <v>938</v>
      </c>
      <c r="E108" s="236" t="s">
        <v>641</v>
      </c>
      <c r="F108" s="236" t="s">
        <v>1009</v>
      </c>
      <c r="G108" s="237">
        <v>9.0</v>
      </c>
      <c r="H108" s="237">
        <v>9.0</v>
      </c>
      <c r="I108" s="237">
        <v>0.0</v>
      </c>
      <c r="J108" s="237">
        <v>9.0</v>
      </c>
      <c r="K108" s="237">
        <v>9.0</v>
      </c>
      <c r="L108" s="237">
        <v>0.0</v>
      </c>
      <c r="M108" s="237">
        <v>17.0</v>
      </c>
      <c r="N108" s="237">
        <v>17.0</v>
      </c>
    </row>
    <row r="109">
      <c r="A109" s="236" t="s">
        <v>72</v>
      </c>
      <c r="B109" s="237">
        <v>4734.0</v>
      </c>
      <c r="C109" s="236" t="s">
        <v>480</v>
      </c>
      <c r="D109" s="236" t="s">
        <v>931</v>
      </c>
      <c r="E109" s="236" t="s">
        <v>72</v>
      </c>
      <c r="F109" s="236" t="s">
        <v>1009</v>
      </c>
      <c r="G109" s="237">
        <v>9.0</v>
      </c>
      <c r="H109" s="237">
        <v>8.0</v>
      </c>
      <c r="I109" s="237">
        <v>1.0</v>
      </c>
      <c r="J109" s="237">
        <v>9.0</v>
      </c>
      <c r="K109" s="237">
        <v>8.0</v>
      </c>
      <c r="L109" s="237">
        <v>1.0</v>
      </c>
      <c r="M109" s="237">
        <v>25.0</v>
      </c>
      <c r="N109" s="237">
        <v>25.0</v>
      </c>
    </row>
    <row r="110">
      <c r="A110" s="236" t="s">
        <v>1129</v>
      </c>
      <c r="B110" s="237">
        <v>5701.0</v>
      </c>
      <c r="C110" s="236" t="s">
        <v>480</v>
      </c>
      <c r="D110" s="236" t="s">
        <v>481</v>
      </c>
      <c r="E110" s="236" t="s">
        <v>1129</v>
      </c>
      <c r="F110" s="236" t="s">
        <v>975</v>
      </c>
      <c r="G110" s="237">
        <v>9.0</v>
      </c>
      <c r="H110" s="237">
        <v>2.0</v>
      </c>
      <c r="I110" s="237">
        <v>7.0</v>
      </c>
      <c r="J110" s="237">
        <v>9.0</v>
      </c>
      <c r="K110" s="237">
        <v>2.0</v>
      </c>
      <c r="L110" s="237">
        <v>7.0</v>
      </c>
      <c r="M110" s="237">
        <v>15.0</v>
      </c>
      <c r="N110" s="237">
        <v>18.0</v>
      </c>
    </row>
    <row r="111">
      <c r="A111" s="236" t="s">
        <v>653</v>
      </c>
      <c r="B111" s="237">
        <v>5307.0</v>
      </c>
      <c r="C111" s="236" t="s">
        <v>480</v>
      </c>
      <c r="D111" s="236" t="s">
        <v>481</v>
      </c>
      <c r="E111" s="236" t="s">
        <v>653</v>
      </c>
      <c r="F111" s="236" t="s">
        <v>985</v>
      </c>
      <c r="G111" s="237">
        <v>9.0</v>
      </c>
      <c r="H111" s="237">
        <v>3.0</v>
      </c>
      <c r="I111" s="237">
        <v>6.0</v>
      </c>
      <c r="J111" s="237">
        <v>9.0</v>
      </c>
      <c r="K111" s="237">
        <v>3.0</v>
      </c>
      <c r="L111" s="237">
        <v>6.0</v>
      </c>
      <c r="M111" s="237">
        <v>12.0</v>
      </c>
      <c r="N111" s="237">
        <v>12.0</v>
      </c>
    </row>
    <row r="112">
      <c r="A112" s="236" t="s">
        <v>152</v>
      </c>
      <c r="B112" s="237">
        <v>6642.0</v>
      </c>
      <c r="C112" s="236" t="s">
        <v>480</v>
      </c>
      <c r="D112" s="236" t="s">
        <v>481</v>
      </c>
      <c r="E112" s="236" t="s">
        <v>152</v>
      </c>
      <c r="F112" s="236" t="s">
        <v>972</v>
      </c>
      <c r="G112" s="237">
        <v>9.0</v>
      </c>
      <c r="H112" s="237">
        <v>8.0</v>
      </c>
      <c r="I112" s="237">
        <v>1.0</v>
      </c>
      <c r="J112" s="237">
        <v>9.0</v>
      </c>
      <c r="K112" s="237">
        <v>8.0</v>
      </c>
      <c r="L112" s="237">
        <v>1.0</v>
      </c>
      <c r="M112" s="237">
        <v>23.0</v>
      </c>
      <c r="N112" s="237">
        <v>23.0</v>
      </c>
    </row>
    <row r="113">
      <c r="A113" s="236" t="s">
        <v>682</v>
      </c>
      <c r="B113" s="237">
        <v>5555.0</v>
      </c>
      <c r="C113" s="236" t="s">
        <v>480</v>
      </c>
      <c r="D113" s="236" t="s">
        <v>931</v>
      </c>
      <c r="E113" s="236" t="s">
        <v>682</v>
      </c>
      <c r="F113" s="236" t="s">
        <v>993</v>
      </c>
      <c r="G113" s="237">
        <v>9.0</v>
      </c>
      <c r="H113" s="237">
        <v>5.0</v>
      </c>
      <c r="I113" s="237">
        <v>4.0</v>
      </c>
      <c r="J113" s="237">
        <v>9.0</v>
      </c>
      <c r="K113" s="237">
        <v>5.0</v>
      </c>
      <c r="L113" s="237">
        <v>4.0</v>
      </c>
      <c r="M113" s="237">
        <v>12.0</v>
      </c>
      <c r="N113" s="237">
        <v>12.0</v>
      </c>
    </row>
    <row r="114">
      <c r="A114" s="236" t="s">
        <v>782</v>
      </c>
      <c r="B114" s="237">
        <v>6672.0</v>
      </c>
      <c r="C114" s="236" t="s">
        <v>480</v>
      </c>
      <c r="D114" s="236" t="s">
        <v>481</v>
      </c>
      <c r="E114" s="236" t="s">
        <v>782</v>
      </c>
      <c r="F114" s="236" t="s">
        <v>1233</v>
      </c>
      <c r="G114" s="237">
        <v>9.0</v>
      </c>
      <c r="H114" s="237">
        <v>4.0</v>
      </c>
      <c r="I114" s="237">
        <v>5.0</v>
      </c>
      <c r="J114" s="237">
        <v>9.0</v>
      </c>
      <c r="K114" s="237">
        <v>4.0</v>
      </c>
      <c r="L114" s="237">
        <v>5.0</v>
      </c>
      <c r="M114" s="237">
        <v>18.0</v>
      </c>
      <c r="N114" s="237">
        <v>18.0</v>
      </c>
    </row>
    <row r="115">
      <c r="A115" s="236" t="s">
        <v>410</v>
      </c>
      <c r="B115" s="237">
        <v>5022.0</v>
      </c>
      <c r="C115" s="236" t="s">
        <v>480</v>
      </c>
      <c r="D115" s="236" t="s">
        <v>481</v>
      </c>
      <c r="E115" s="236" t="s">
        <v>410</v>
      </c>
      <c r="F115" s="236" t="s">
        <v>991</v>
      </c>
      <c r="G115" s="237">
        <v>9.0</v>
      </c>
      <c r="H115" s="237">
        <v>10.0</v>
      </c>
      <c r="I115" s="237">
        <v>-1.0</v>
      </c>
      <c r="J115" s="237">
        <v>9.0</v>
      </c>
      <c r="K115" s="237">
        <v>10.0</v>
      </c>
      <c r="L115" s="237">
        <v>-1.0</v>
      </c>
      <c r="M115" s="237">
        <v>15.0</v>
      </c>
      <c r="N115" s="237">
        <v>15.0</v>
      </c>
    </row>
    <row r="116">
      <c r="A116" s="236" t="s">
        <v>872</v>
      </c>
      <c r="B116" s="237">
        <v>2653.0</v>
      </c>
      <c r="C116" s="236" t="s">
        <v>480</v>
      </c>
      <c r="D116" s="236" t="s">
        <v>931</v>
      </c>
      <c r="E116" s="236" t="s">
        <v>872</v>
      </c>
      <c r="F116" s="236" t="s">
        <v>1009</v>
      </c>
      <c r="G116" s="237">
        <v>8.0</v>
      </c>
      <c r="H116" s="237">
        <v>4.0</v>
      </c>
      <c r="I116" s="237">
        <v>4.0</v>
      </c>
      <c r="J116" s="237">
        <v>8.0</v>
      </c>
      <c r="K116" s="237">
        <v>4.0</v>
      </c>
      <c r="L116" s="237">
        <v>4.0</v>
      </c>
      <c r="M116" s="237">
        <v>15.0</v>
      </c>
      <c r="N116" s="237">
        <v>15.0</v>
      </c>
    </row>
    <row r="117">
      <c r="A117" s="236" t="s">
        <v>897</v>
      </c>
      <c r="B117" s="237">
        <v>4461.0</v>
      </c>
      <c r="C117" s="236" t="s">
        <v>480</v>
      </c>
      <c r="D117" s="236" t="s">
        <v>1019</v>
      </c>
      <c r="E117" s="236" t="s">
        <v>897</v>
      </c>
      <c r="F117" s="236" t="s">
        <v>975</v>
      </c>
      <c r="G117" s="237">
        <v>8.0</v>
      </c>
      <c r="H117" s="237">
        <v>6.0</v>
      </c>
      <c r="I117" s="237">
        <v>2.0</v>
      </c>
      <c r="J117" s="237">
        <v>8.0</v>
      </c>
      <c r="K117" s="237">
        <v>7.0</v>
      </c>
      <c r="L117" s="237">
        <v>1.0</v>
      </c>
      <c r="M117" s="237">
        <v>14.0</v>
      </c>
      <c r="N117" s="237">
        <v>19.0</v>
      </c>
    </row>
    <row r="118">
      <c r="A118" s="236" t="s">
        <v>613</v>
      </c>
      <c r="B118" s="237">
        <v>4421.0</v>
      </c>
      <c r="C118" s="236" t="s">
        <v>480</v>
      </c>
      <c r="D118" s="236" t="s">
        <v>931</v>
      </c>
      <c r="E118" s="236" t="s">
        <v>613</v>
      </c>
      <c r="F118" s="236" t="s">
        <v>975</v>
      </c>
      <c r="G118" s="237">
        <v>8.0</v>
      </c>
      <c r="H118" s="237">
        <v>5.0</v>
      </c>
      <c r="I118" s="237">
        <v>3.0</v>
      </c>
      <c r="J118" s="237">
        <v>8.0</v>
      </c>
      <c r="K118" s="237">
        <v>5.0</v>
      </c>
      <c r="L118" s="237">
        <v>3.0</v>
      </c>
      <c r="M118" s="237">
        <v>16.0</v>
      </c>
      <c r="N118" s="237">
        <v>16.0</v>
      </c>
    </row>
    <row r="119">
      <c r="A119" s="236" t="s">
        <v>853</v>
      </c>
      <c r="B119" s="237">
        <v>4378.0</v>
      </c>
      <c r="C119" s="236" t="s">
        <v>480</v>
      </c>
      <c r="D119" s="236" t="s">
        <v>1022</v>
      </c>
      <c r="E119" s="236" t="s">
        <v>853</v>
      </c>
      <c r="F119" s="236" t="s">
        <v>1033</v>
      </c>
      <c r="G119" s="237">
        <v>8.0</v>
      </c>
      <c r="H119" s="237">
        <v>7.0</v>
      </c>
      <c r="I119" s="237">
        <v>1.0</v>
      </c>
      <c r="J119" s="237">
        <v>8.0</v>
      </c>
      <c r="K119" s="237">
        <v>8.0</v>
      </c>
      <c r="L119" s="237">
        <v>0.0</v>
      </c>
      <c r="M119" s="237">
        <v>16.0</v>
      </c>
      <c r="N119" s="237">
        <v>18.0</v>
      </c>
    </row>
    <row r="120">
      <c r="A120" s="236" t="s">
        <v>246</v>
      </c>
      <c r="B120" s="237">
        <v>2788.0</v>
      </c>
      <c r="C120" s="236" t="s">
        <v>480</v>
      </c>
      <c r="D120" s="236" t="s">
        <v>481</v>
      </c>
      <c r="E120" s="236" t="s">
        <v>246</v>
      </c>
      <c r="F120" s="236" t="s">
        <v>976</v>
      </c>
      <c r="G120" s="237">
        <v>8.0</v>
      </c>
      <c r="H120" s="237">
        <v>16.0</v>
      </c>
      <c r="I120" s="237">
        <v>-8.0</v>
      </c>
      <c r="J120" s="237">
        <v>8.0</v>
      </c>
      <c r="K120" s="237">
        <v>16.0</v>
      </c>
      <c r="L120" s="237">
        <v>-8.0</v>
      </c>
      <c r="M120" s="237">
        <v>39.0</v>
      </c>
      <c r="N120" s="237">
        <v>39.0</v>
      </c>
    </row>
    <row r="121">
      <c r="A121" s="236" t="s">
        <v>620</v>
      </c>
      <c r="B121" s="237">
        <v>5833.0</v>
      </c>
      <c r="C121" s="236" t="s">
        <v>480</v>
      </c>
      <c r="D121" s="236" t="s">
        <v>481</v>
      </c>
      <c r="E121" s="236" t="s">
        <v>620</v>
      </c>
      <c r="F121" s="236" t="s">
        <v>1000</v>
      </c>
      <c r="G121" s="237">
        <v>8.0</v>
      </c>
      <c r="H121" s="237">
        <v>5.0</v>
      </c>
      <c r="I121" s="237">
        <v>3.0</v>
      </c>
      <c r="J121" s="237">
        <v>8.0</v>
      </c>
      <c r="K121" s="237">
        <v>5.0</v>
      </c>
      <c r="L121" s="237">
        <v>3.0</v>
      </c>
      <c r="M121" s="237">
        <v>20.0</v>
      </c>
      <c r="N121" s="237">
        <v>20.0</v>
      </c>
    </row>
    <row r="122">
      <c r="A122" s="236" t="s">
        <v>793</v>
      </c>
      <c r="B122" s="237">
        <v>2188.0</v>
      </c>
      <c r="C122" s="236" t="s">
        <v>480</v>
      </c>
      <c r="D122" s="236" t="s">
        <v>944</v>
      </c>
      <c r="E122" s="236" t="s">
        <v>793</v>
      </c>
      <c r="F122" s="236" t="s">
        <v>1000</v>
      </c>
      <c r="G122" s="237">
        <v>8.0</v>
      </c>
      <c r="H122" s="237">
        <v>6.0</v>
      </c>
      <c r="I122" s="237">
        <v>2.0</v>
      </c>
      <c r="J122" s="237">
        <v>8.0</v>
      </c>
      <c r="K122" s="237">
        <v>7.0</v>
      </c>
      <c r="L122" s="237">
        <v>1.0</v>
      </c>
      <c r="M122" s="237">
        <v>13.0</v>
      </c>
      <c r="N122" s="237">
        <v>15.0</v>
      </c>
    </row>
    <row r="123">
      <c r="A123" s="236" t="s">
        <v>724</v>
      </c>
      <c r="B123" s="237">
        <v>729.0</v>
      </c>
      <c r="C123" s="236" t="s">
        <v>480</v>
      </c>
      <c r="D123" s="236" t="s">
        <v>938</v>
      </c>
      <c r="E123" s="236" t="s">
        <v>724</v>
      </c>
      <c r="F123" s="236" t="s">
        <v>1225</v>
      </c>
      <c r="G123" s="237">
        <v>8.0</v>
      </c>
      <c r="H123" s="237">
        <v>5.0</v>
      </c>
      <c r="I123" s="237">
        <v>3.0</v>
      </c>
      <c r="J123" s="237">
        <v>8.0</v>
      </c>
      <c r="K123" s="237">
        <v>5.0</v>
      </c>
      <c r="L123" s="237">
        <v>3.0</v>
      </c>
      <c r="M123" s="237">
        <v>12.0</v>
      </c>
      <c r="N123" s="237">
        <v>12.0</v>
      </c>
    </row>
    <row r="124">
      <c r="A124" s="236" t="s">
        <v>878</v>
      </c>
      <c r="B124" s="237">
        <v>5838.0</v>
      </c>
      <c r="C124" s="236" t="s">
        <v>480</v>
      </c>
      <c r="D124" s="236" t="s">
        <v>944</v>
      </c>
      <c r="E124" s="236" t="s">
        <v>878</v>
      </c>
      <c r="F124" s="236" t="s">
        <v>1225</v>
      </c>
      <c r="G124" s="237">
        <v>8.0</v>
      </c>
      <c r="H124" s="237">
        <v>5.0</v>
      </c>
      <c r="I124" s="237">
        <v>3.0</v>
      </c>
      <c r="J124" s="237">
        <v>8.0</v>
      </c>
      <c r="K124" s="237">
        <v>5.0</v>
      </c>
      <c r="L124" s="237">
        <v>3.0</v>
      </c>
      <c r="M124" s="237">
        <v>12.0</v>
      </c>
      <c r="N124" s="237">
        <v>14.0</v>
      </c>
    </row>
    <row r="125">
      <c r="A125" s="236" t="s">
        <v>756</v>
      </c>
      <c r="B125" s="237">
        <v>4317.0</v>
      </c>
      <c r="C125" s="236" t="s">
        <v>480</v>
      </c>
      <c r="D125" s="236" t="s">
        <v>481</v>
      </c>
      <c r="E125" s="236" t="s">
        <v>756</v>
      </c>
      <c r="F125" s="236" t="s">
        <v>988</v>
      </c>
      <c r="G125" s="237">
        <v>8.0</v>
      </c>
      <c r="H125" s="237">
        <v>8.0</v>
      </c>
      <c r="I125" s="237">
        <v>0.0</v>
      </c>
      <c r="J125" s="237">
        <v>8.0</v>
      </c>
      <c r="K125" s="237">
        <v>8.0</v>
      </c>
      <c r="L125" s="237">
        <v>0.0</v>
      </c>
      <c r="M125" s="237">
        <v>20.0</v>
      </c>
      <c r="N125" s="237">
        <v>20.0</v>
      </c>
    </row>
    <row r="126">
      <c r="A126" s="236" t="s">
        <v>1053</v>
      </c>
      <c r="B126" s="237">
        <v>6047.0</v>
      </c>
      <c r="C126" s="236" t="s">
        <v>480</v>
      </c>
      <c r="D126" s="236" t="s">
        <v>938</v>
      </c>
      <c r="E126" s="236" t="s">
        <v>1053</v>
      </c>
      <c r="F126" s="236" t="s">
        <v>993</v>
      </c>
      <c r="G126" s="237">
        <v>8.0</v>
      </c>
      <c r="H126" s="237">
        <v>5.0</v>
      </c>
      <c r="I126" s="237">
        <v>3.0</v>
      </c>
      <c r="J126" s="237">
        <v>8.0</v>
      </c>
      <c r="K126" s="237">
        <v>5.0</v>
      </c>
      <c r="L126" s="237">
        <v>3.0</v>
      </c>
      <c r="M126" s="237">
        <v>11.0</v>
      </c>
      <c r="N126" s="237">
        <v>11.0</v>
      </c>
    </row>
    <row r="127">
      <c r="A127" s="236" t="s">
        <v>845</v>
      </c>
      <c r="B127" s="237">
        <v>6480.0</v>
      </c>
      <c r="C127" s="236" t="s">
        <v>480</v>
      </c>
      <c r="D127" s="236" t="s">
        <v>938</v>
      </c>
      <c r="E127" s="236" t="s">
        <v>845</v>
      </c>
      <c r="F127" s="236" t="s">
        <v>983</v>
      </c>
      <c r="G127" s="237">
        <v>8.0</v>
      </c>
      <c r="H127" s="237">
        <v>6.0</v>
      </c>
      <c r="I127" s="237">
        <v>2.0</v>
      </c>
      <c r="J127" s="237">
        <v>8.0</v>
      </c>
      <c r="K127" s="237">
        <v>6.0</v>
      </c>
      <c r="L127" s="237">
        <v>2.0</v>
      </c>
      <c r="M127" s="237">
        <v>20.0</v>
      </c>
      <c r="N127" s="237">
        <v>20.0</v>
      </c>
    </row>
    <row r="128">
      <c r="A128" s="236" t="s">
        <v>781</v>
      </c>
      <c r="B128" s="237">
        <v>6046.0</v>
      </c>
      <c r="C128" s="236" t="s">
        <v>480</v>
      </c>
      <c r="D128" s="236" t="s">
        <v>481</v>
      </c>
      <c r="E128" s="236" t="s">
        <v>781</v>
      </c>
      <c r="F128" s="236" t="s">
        <v>980</v>
      </c>
      <c r="G128" s="237">
        <v>7.0</v>
      </c>
      <c r="H128" s="237">
        <v>8.0</v>
      </c>
      <c r="I128" s="237">
        <v>-1.0</v>
      </c>
      <c r="J128" s="237">
        <v>7.0</v>
      </c>
      <c r="K128" s="237">
        <v>8.0</v>
      </c>
      <c r="L128" s="237">
        <v>-1.0</v>
      </c>
      <c r="M128" s="237">
        <v>24.0</v>
      </c>
      <c r="N128" s="237">
        <v>24.0</v>
      </c>
    </row>
    <row r="129">
      <c r="A129" s="236" t="s">
        <v>820</v>
      </c>
      <c r="B129" s="237">
        <v>4210.0</v>
      </c>
      <c r="C129" s="236" t="s">
        <v>480</v>
      </c>
      <c r="D129" s="236" t="s">
        <v>481</v>
      </c>
      <c r="E129" s="236" t="s">
        <v>820</v>
      </c>
      <c r="F129" s="236" t="s">
        <v>975</v>
      </c>
      <c r="G129" s="237">
        <v>7.0</v>
      </c>
      <c r="H129" s="237">
        <v>8.0</v>
      </c>
      <c r="I129" s="237">
        <v>-1.0</v>
      </c>
      <c r="J129" s="237">
        <v>7.0</v>
      </c>
      <c r="K129" s="237">
        <v>8.0</v>
      </c>
      <c r="L129" s="237">
        <v>-1.0</v>
      </c>
      <c r="M129" s="237">
        <v>18.0</v>
      </c>
      <c r="N129" s="237">
        <v>18.0</v>
      </c>
    </row>
    <row r="130">
      <c r="A130" s="236" t="s">
        <v>882</v>
      </c>
      <c r="B130" s="237">
        <v>6230.0</v>
      </c>
      <c r="C130" s="236" t="s">
        <v>480</v>
      </c>
      <c r="D130" s="236" t="s">
        <v>481</v>
      </c>
      <c r="E130" s="236" t="s">
        <v>882</v>
      </c>
      <c r="F130" s="236" t="s">
        <v>974</v>
      </c>
      <c r="G130" s="237">
        <v>7.0</v>
      </c>
      <c r="H130" s="237">
        <v>8.0</v>
      </c>
      <c r="I130" s="237">
        <v>-1.0</v>
      </c>
      <c r="J130" s="237">
        <v>7.0</v>
      </c>
      <c r="K130" s="237">
        <v>8.0</v>
      </c>
      <c r="L130" s="237">
        <v>-1.0</v>
      </c>
      <c r="M130" s="237">
        <v>14.0</v>
      </c>
      <c r="N130" s="237">
        <v>14.0</v>
      </c>
    </row>
    <row r="131">
      <c r="A131" s="236" t="s">
        <v>435</v>
      </c>
      <c r="B131" s="237">
        <v>6537.0</v>
      </c>
      <c r="C131" s="236" t="s">
        <v>480</v>
      </c>
      <c r="D131" s="236" t="s">
        <v>937</v>
      </c>
      <c r="E131" s="236" t="s">
        <v>435</v>
      </c>
      <c r="F131" s="236" t="s">
        <v>1222</v>
      </c>
      <c r="G131" s="237">
        <v>7.0</v>
      </c>
      <c r="H131" s="237">
        <v>1.0</v>
      </c>
      <c r="I131" s="237">
        <v>6.0</v>
      </c>
      <c r="J131" s="237">
        <v>7.0</v>
      </c>
      <c r="K131" s="237">
        <v>1.0</v>
      </c>
      <c r="L131" s="237">
        <v>6.0</v>
      </c>
      <c r="M131" s="237">
        <v>14.0</v>
      </c>
      <c r="N131" s="237">
        <v>16.0</v>
      </c>
    </row>
    <row r="132">
      <c r="A132" s="236" t="s">
        <v>635</v>
      </c>
      <c r="B132" s="237">
        <v>5449.0</v>
      </c>
      <c r="C132" s="236" t="s">
        <v>480</v>
      </c>
      <c r="D132" s="236" t="s">
        <v>931</v>
      </c>
      <c r="E132" s="236" t="s">
        <v>635</v>
      </c>
      <c r="F132" s="236" t="s">
        <v>1033</v>
      </c>
      <c r="G132" s="237">
        <v>7.0</v>
      </c>
      <c r="H132" s="237">
        <v>8.0</v>
      </c>
      <c r="I132" s="237">
        <v>-1.0</v>
      </c>
      <c r="J132" s="237">
        <v>7.0</v>
      </c>
      <c r="K132" s="237">
        <v>8.0</v>
      </c>
      <c r="L132" s="237">
        <v>-1.0</v>
      </c>
      <c r="M132" s="237">
        <v>9.0</v>
      </c>
      <c r="N132" s="237">
        <v>9.0</v>
      </c>
    </row>
    <row r="133">
      <c r="A133" s="236" t="s">
        <v>770</v>
      </c>
      <c r="B133" s="237">
        <v>5514.0</v>
      </c>
      <c r="C133" s="236" t="s">
        <v>480</v>
      </c>
      <c r="D133" s="236" t="s">
        <v>1022</v>
      </c>
      <c r="E133" s="236" t="s">
        <v>770</v>
      </c>
      <c r="F133" s="236" t="s">
        <v>1026</v>
      </c>
      <c r="G133" s="237">
        <v>7.0</v>
      </c>
      <c r="H133" s="237">
        <v>9.0</v>
      </c>
      <c r="I133" s="237">
        <v>-2.0</v>
      </c>
      <c r="J133" s="237">
        <v>7.0</v>
      </c>
      <c r="K133" s="237">
        <v>10.0</v>
      </c>
      <c r="L133" s="237">
        <v>-3.0</v>
      </c>
      <c r="M133" s="237">
        <v>20.0</v>
      </c>
      <c r="N133" s="237">
        <v>23.0</v>
      </c>
    </row>
    <row r="134">
      <c r="A134" s="236" t="s">
        <v>876</v>
      </c>
      <c r="B134" s="237">
        <v>5527.0</v>
      </c>
      <c r="C134" s="236" t="s">
        <v>480</v>
      </c>
      <c r="D134" s="236" t="s">
        <v>938</v>
      </c>
      <c r="E134" s="236" t="s">
        <v>876</v>
      </c>
      <c r="F134" s="236" t="s">
        <v>1026</v>
      </c>
      <c r="G134" s="237">
        <v>7.0</v>
      </c>
      <c r="H134" s="237">
        <v>6.0</v>
      </c>
      <c r="I134" s="237">
        <v>1.0</v>
      </c>
      <c r="J134" s="237">
        <v>7.0</v>
      </c>
      <c r="K134" s="237">
        <v>6.0</v>
      </c>
      <c r="L134" s="237">
        <v>1.0</v>
      </c>
      <c r="M134" s="237">
        <v>13.0</v>
      </c>
      <c r="N134" s="237">
        <v>13.0</v>
      </c>
    </row>
    <row r="135">
      <c r="A135" s="236" t="s">
        <v>806</v>
      </c>
      <c r="B135" s="237">
        <v>791.0</v>
      </c>
      <c r="C135" s="236" t="s">
        <v>480</v>
      </c>
      <c r="D135" s="236" t="s">
        <v>944</v>
      </c>
      <c r="E135" s="236" t="s">
        <v>806</v>
      </c>
      <c r="F135" s="236" t="s">
        <v>1026</v>
      </c>
      <c r="G135" s="237">
        <v>7.0</v>
      </c>
      <c r="H135" s="237">
        <v>6.0</v>
      </c>
      <c r="I135" s="237">
        <v>1.0</v>
      </c>
      <c r="J135" s="237">
        <v>7.0</v>
      </c>
      <c r="K135" s="237">
        <v>7.0</v>
      </c>
      <c r="L135" s="237">
        <v>0.0</v>
      </c>
      <c r="M135" s="237">
        <v>9.0</v>
      </c>
      <c r="N135" s="237">
        <v>11.0</v>
      </c>
    </row>
    <row r="136">
      <c r="A136" s="236" t="s">
        <v>718</v>
      </c>
      <c r="B136" s="237">
        <v>4177.0</v>
      </c>
      <c r="C136" s="236" t="s">
        <v>480</v>
      </c>
      <c r="D136" s="236" t="s">
        <v>937</v>
      </c>
      <c r="E136" s="236" t="s">
        <v>718</v>
      </c>
      <c r="F136" s="236" t="s">
        <v>973</v>
      </c>
      <c r="G136" s="237">
        <v>7.0</v>
      </c>
      <c r="H136" s="237">
        <v>14.0</v>
      </c>
      <c r="I136" s="237">
        <v>-7.0</v>
      </c>
      <c r="J136" s="237">
        <v>7.0</v>
      </c>
      <c r="K136" s="237">
        <v>15.0</v>
      </c>
      <c r="L136" s="237">
        <v>-8.0</v>
      </c>
      <c r="M136" s="237">
        <v>20.0</v>
      </c>
      <c r="N136" s="237">
        <v>22.0</v>
      </c>
    </row>
    <row r="137">
      <c r="A137" s="236" t="s">
        <v>788</v>
      </c>
      <c r="B137" s="237">
        <v>2263.0</v>
      </c>
      <c r="C137" s="236" t="s">
        <v>480</v>
      </c>
      <c r="D137" s="236" t="s">
        <v>938</v>
      </c>
      <c r="E137" s="236" t="s">
        <v>788</v>
      </c>
      <c r="F137" s="236" t="s">
        <v>1000</v>
      </c>
      <c r="G137" s="237">
        <v>7.0</v>
      </c>
      <c r="H137" s="237">
        <v>5.0</v>
      </c>
      <c r="I137" s="237">
        <v>2.0</v>
      </c>
      <c r="J137" s="237">
        <v>7.0</v>
      </c>
      <c r="K137" s="237">
        <v>5.0</v>
      </c>
      <c r="L137" s="237">
        <v>2.0</v>
      </c>
      <c r="M137" s="237">
        <v>13.0</v>
      </c>
      <c r="N137" s="237">
        <v>13.0</v>
      </c>
    </row>
    <row r="138">
      <c r="A138" s="236" t="s">
        <v>701</v>
      </c>
      <c r="B138" s="237">
        <v>6632.0</v>
      </c>
      <c r="C138" s="236" t="s">
        <v>480</v>
      </c>
      <c r="D138" s="236" t="s">
        <v>481</v>
      </c>
      <c r="E138" s="236" t="s">
        <v>701</v>
      </c>
      <c r="F138" s="236" t="s">
        <v>998</v>
      </c>
      <c r="G138" s="237">
        <v>7.0</v>
      </c>
      <c r="H138" s="237">
        <v>3.0</v>
      </c>
      <c r="I138" s="237">
        <v>4.0</v>
      </c>
      <c r="J138" s="237">
        <v>7.0</v>
      </c>
      <c r="K138" s="237">
        <v>3.0</v>
      </c>
      <c r="L138" s="237">
        <v>4.0</v>
      </c>
      <c r="M138" s="237">
        <v>12.0</v>
      </c>
      <c r="N138" s="237">
        <v>12.0</v>
      </c>
    </row>
    <row r="139">
      <c r="A139" s="236" t="s">
        <v>769</v>
      </c>
      <c r="B139" s="237">
        <v>4751.0</v>
      </c>
      <c r="C139" s="236" t="s">
        <v>480</v>
      </c>
      <c r="D139" s="236" t="s">
        <v>481</v>
      </c>
      <c r="E139" s="236" t="s">
        <v>769</v>
      </c>
      <c r="F139" s="236" t="s">
        <v>991</v>
      </c>
      <c r="G139" s="237">
        <v>7.0</v>
      </c>
      <c r="H139" s="237">
        <v>14.0</v>
      </c>
      <c r="I139" s="237">
        <v>-7.0</v>
      </c>
      <c r="J139" s="237">
        <v>7.0</v>
      </c>
      <c r="K139" s="237">
        <v>14.0</v>
      </c>
      <c r="L139" s="237">
        <v>-7.0</v>
      </c>
      <c r="M139" s="237">
        <v>20.0</v>
      </c>
      <c r="N139" s="237">
        <v>20.0</v>
      </c>
    </row>
    <row r="140">
      <c r="A140" s="236" t="s">
        <v>678</v>
      </c>
      <c r="B140" s="237">
        <v>1852.0</v>
      </c>
      <c r="C140" s="236" t="s">
        <v>480</v>
      </c>
      <c r="D140" s="236" t="s">
        <v>521</v>
      </c>
      <c r="E140" s="236" t="s">
        <v>678</v>
      </c>
      <c r="F140" s="236" t="s">
        <v>987</v>
      </c>
      <c r="G140" s="237">
        <v>7.0</v>
      </c>
      <c r="H140" s="237">
        <v>13.0</v>
      </c>
      <c r="I140" s="237">
        <v>-6.0</v>
      </c>
      <c r="J140" s="237">
        <v>7.0</v>
      </c>
      <c r="K140" s="237">
        <v>12.0</v>
      </c>
      <c r="L140" s="237">
        <v>-5.0</v>
      </c>
      <c r="M140" s="237">
        <v>10.0</v>
      </c>
      <c r="N140" s="237">
        <v>10.0</v>
      </c>
    </row>
    <row r="141">
      <c r="A141" s="236" t="s">
        <v>1086</v>
      </c>
      <c r="B141" s="237">
        <v>6893.0</v>
      </c>
      <c r="C141" s="236" t="s">
        <v>480</v>
      </c>
      <c r="D141" s="236" t="s">
        <v>481</v>
      </c>
      <c r="E141" s="236" t="s">
        <v>1086</v>
      </c>
      <c r="F141" s="236" t="s">
        <v>974</v>
      </c>
      <c r="G141" s="237">
        <v>7.0</v>
      </c>
      <c r="H141" s="237">
        <v>3.0</v>
      </c>
      <c r="I141" s="237">
        <v>4.0</v>
      </c>
      <c r="J141" s="237">
        <v>7.0</v>
      </c>
      <c r="K141" s="237">
        <v>3.0</v>
      </c>
      <c r="L141" s="237">
        <v>4.0</v>
      </c>
      <c r="M141" s="237">
        <v>16.0</v>
      </c>
      <c r="N141" s="237">
        <v>16.0</v>
      </c>
    </row>
    <row r="142">
      <c r="A142" s="236" t="s">
        <v>813</v>
      </c>
      <c r="B142" s="237">
        <v>6042.0</v>
      </c>
      <c r="C142" s="236" t="s">
        <v>480</v>
      </c>
      <c r="D142" s="236" t="s">
        <v>481</v>
      </c>
      <c r="E142" s="236" t="s">
        <v>813</v>
      </c>
      <c r="F142" s="236" t="s">
        <v>1009</v>
      </c>
      <c r="G142" s="237">
        <v>6.0</v>
      </c>
      <c r="H142" s="237">
        <v>7.0</v>
      </c>
      <c r="I142" s="237">
        <v>-1.0</v>
      </c>
      <c r="J142" s="237">
        <v>6.0</v>
      </c>
      <c r="K142" s="237">
        <v>7.0</v>
      </c>
      <c r="L142" s="237">
        <v>-1.0</v>
      </c>
      <c r="M142" s="237">
        <v>16.0</v>
      </c>
      <c r="N142" s="237">
        <v>16.0</v>
      </c>
    </row>
    <row r="143">
      <c r="A143" s="236" t="s">
        <v>50</v>
      </c>
      <c r="B143" s="237">
        <v>6495.0</v>
      </c>
      <c r="C143" s="236" t="s">
        <v>480</v>
      </c>
      <c r="D143" s="236" t="s">
        <v>481</v>
      </c>
      <c r="E143" s="236" t="s">
        <v>50</v>
      </c>
      <c r="F143" s="236" t="s">
        <v>1033</v>
      </c>
      <c r="G143" s="237">
        <v>6.0</v>
      </c>
      <c r="H143" s="237">
        <v>1.0</v>
      </c>
      <c r="I143" s="237">
        <v>5.0</v>
      </c>
      <c r="J143" s="237">
        <v>6.0</v>
      </c>
      <c r="K143" s="237">
        <v>1.0</v>
      </c>
      <c r="L143" s="237">
        <v>5.0</v>
      </c>
      <c r="M143" s="237">
        <v>16.0</v>
      </c>
      <c r="N143" s="237">
        <v>16.0</v>
      </c>
    </row>
    <row r="144">
      <c r="A144" s="236" t="s">
        <v>896</v>
      </c>
      <c r="B144" s="237">
        <v>6245.0</v>
      </c>
      <c r="C144" s="236" t="s">
        <v>480</v>
      </c>
      <c r="D144" s="236" t="s">
        <v>937</v>
      </c>
      <c r="E144" s="236" t="s">
        <v>896</v>
      </c>
      <c r="F144" s="236" t="s">
        <v>985</v>
      </c>
      <c r="G144" s="237">
        <v>6.0</v>
      </c>
      <c r="H144" s="237">
        <v>2.0</v>
      </c>
      <c r="I144" s="237">
        <v>4.0</v>
      </c>
      <c r="J144" s="237">
        <v>6.0</v>
      </c>
      <c r="K144" s="237">
        <v>2.0</v>
      </c>
      <c r="L144" s="237">
        <v>4.0</v>
      </c>
      <c r="M144" s="237">
        <v>12.0</v>
      </c>
      <c r="N144" s="237">
        <v>14.0</v>
      </c>
    </row>
    <row r="145">
      <c r="A145" s="236" t="s">
        <v>744</v>
      </c>
      <c r="B145" s="237">
        <v>513.0</v>
      </c>
      <c r="C145" s="236" t="s">
        <v>480</v>
      </c>
      <c r="D145" s="236" t="s">
        <v>481</v>
      </c>
      <c r="E145" s="236" t="s">
        <v>744</v>
      </c>
      <c r="F145" s="236" t="s">
        <v>973</v>
      </c>
      <c r="G145" s="237">
        <v>6.0</v>
      </c>
      <c r="H145" s="237">
        <v>10.0</v>
      </c>
      <c r="I145" s="237">
        <v>-4.0</v>
      </c>
      <c r="J145" s="237">
        <v>6.0</v>
      </c>
      <c r="K145" s="237">
        <v>10.0</v>
      </c>
      <c r="L145" s="237">
        <v>-4.0</v>
      </c>
      <c r="M145" s="237">
        <v>17.0</v>
      </c>
      <c r="N145" s="237">
        <v>17.0</v>
      </c>
    </row>
    <row r="146">
      <c r="A146" s="236" t="s">
        <v>632</v>
      </c>
      <c r="B146" s="237">
        <v>5835.0</v>
      </c>
      <c r="C146" s="236" t="s">
        <v>480</v>
      </c>
      <c r="D146" s="236" t="s">
        <v>937</v>
      </c>
      <c r="E146" s="236" t="s">
        <v>632</v>
      </c>
      <c r="F146" s="236" t="s">
        <v>998</v>
      </c>
      <c r="G146" s="237">
        <v>6.0</v>
      </c>
      <c r="H146" s="237">
        <v>9.0</v>
      </c>
      <c r="I146" s="237">
        <v>-3.0</v>
      </c>
      <c r="J146" s="237">
        <v>5.0</v>
      </c>
      <c r="K146" s="237">
        <v>10.0</v>
      </c>
      <c r="L146" s="237">
        <v>-5.0</v>
      </c>
      <c r="M146" s="237">
        <v>17.0</v>
      </c>
      <c r="N146" s="237">
        <v>17.0</v>
      </c>
    </row>
    <row r="147">
      <c r="A147" s="236" t="s">
        <v>892</v>
      </c>
      <c r="B147" s="237">
        <v>4502.0</v>
      </c>
      <c r="C147" s="236" t="s">
        <v>480</v>
      </c>
      <c r="D147" s="236" t="s">
        <v>931</v>
      </c>
      <c r="E147" s="236" t="s">
        <v>892</v>
      </c>
      <c r="F147" s="236" t="s">
        <v>998</v>
      </c>
      <c r="G147" s="237">
        <v>6.0</v>
      </c>
      <c r="H147" s="237">
        <v>5.0</v>
      </c>
      <c r="I147" s="237">
        <v>1.0</v>
      </c>
      <c r="J147" s="237">
        <v>6.0</v>
      </c>
      <c r="K147" s="237">
        <v>5.0</v>
      </c>
      <c r="L147" s="237">
        <v>1.0</v>
      </c>
      <c r="M147" s="237">
        <v>16.0</v>
      </c>
      <c r="N147" s="237">
        <v>16.0</v>
      </c>
    </row>
    <row r="148">
      <c r="A148" s="236" t="s">
        <v>844</v>
      </c>
      <c r="B148" s="237">
        <v>5353.0</v>
      </c>
      <c r="C148" s="236" t="s">
        <v>480</v>
      </c>
      <c r="D148" s="236" t="s">
        <v>481</v>
      </c>
      <c r="E148" s="236" t="s">
        <v>844</v>
      </c>
      <c r="F148" s="236" t="s">
        <v>985</v>
      </c>
      <c r="G148" s="237">
        <v>6.0</v>
      </c>
      <c r="H148" s="237">
        <v>1.0</v>
      </c>
      <c r="I148" s="237">
        <v>5.0</v>
      </c>
      <c r="J148" s="237">
        <v>6.0</v>
      </c>
      <c r="K148" s="237">
        <v>1.0</v>
      </c>
      <c r="L148" s="237">
        <v>5.0</v>
      </c>
      <c r="M148" s="237">
        <v>14.0</v>
      </c>
      <c r="N148" s="237">
        <v>14.0</v>
      </c>
    </row>
    <row r="149">
      <c r="A149" s="236" t="s">
        <v>228</v>
      </c>
      <c r="B149" s="237">
        <v>4263.0</v>
      </c>
      <c r="C149" s="236" t="s">
        <v>480</v>
      </c>
      <c r="D149" s="236" t="s">
        <v>481</v>
      </c>
      <c r="E149" s="236" t="s">
        <v>228</v>
      </c>
      <c r="F149" s="236" t="s">
        <v>993</v>
      </c>
      <c r="G149" s="237">
        <v>6.0</v>
      </c>
      <c r="H149" s="237">
        <v>3.0</v>
      </c>
      <c r="I149" s="237">
        <v>3.0</v>
      </c>
      <c r="J149" s="237">
        <v>6.0</v>
      </c>
      <c r="K149" s="237">
        <v>3.0</v>
      </c>
      <c r="L149" s="237">
        <v>3.0</v>
      </c>
      <c r="M149" s="237">
        <v>9.0</v>
      </c>
      <c r="N149" s="237">
        <v>9.0</v>
      </c>
    </row>
    <row r="150">
      <c r="A150" s="236" t="s">
        <v>630</v>
      </c>
      <c r="B150" s="237">
        <v>1952.0</v>
      </c>
      <c r="C150" s="236" t="s">
        <v>480</v>
      </c>
      <c r="D150" s="236" t="s">
        <v>944</v>
      </c>
      <c r="E150" s="236" t="s">
        <v>630</v>
      </c>
      <c r="F150" s="236" t="s">
        <v>1233</v>
      </c>
      <c r="G150" s="237">
        <v>6.0</v>
      </c>
      <c r="H150" s="237">
        <v>5.0</v>
      </c>
      <c r="I150" s="237">
        <v>1.0</v>
      </c>
      <c r="J150" s="237">
        <v>6.0</v>
      </c>
      <c r="K150" s="237">
        <v>6.0</v>
      </c>
      <c r="L150" s="237">
        <v>0.0</v>
      </c>
      <c r="M150" s="237">
        <v>14.0</v>
      </c>
      <c r="N150" s="237">
        <v>16.0</v>
      </c>
    </row>
    <row r="151">
      <c r="A151" s="236" t="s">
        <v>688</v>
      </c>
      <c r="B151" s="237">
        <v>4816.0</v>
      </c>
      <c r="C151" s="236" t="s">
        <v>480</v>
      </c>
      <c r="D151" s="236" t="s">
        <v>1227</v>
      </c>
      <c r="E151" s="236" t="s">
        <v>688</v>
      </c>
      <c r="F151" s="236" t="s">
        <v>991</v>
      </c>
      <c r="G151" s="237">
        <v>6.0</v>
      </c>
      <c r="H151" s="237">
        <v>12.0</v>
      </c>
      <c r="I151" s="237">
        <v>-6.0</v>
      </c>
      <c r="J151" s="237">
        <v>6.0</v>
      </c>
      <c r="K151" s="237">
        <v>12.0</v>
      </c>
      <c r="L151" s="237">
        <v>-6.0</v>
      </c>
      <c r="M151" s="237">
        <v>10.0</v>
      </c>
      <c r="N151" s="237">
        <v>12.0</v>
      </c>
    </row>
    <row r="152">
      <c r="A152" s="236" t="s">
        <v>825</v>
      </c>
      <c r="B152" s="237">
        <v>697.0</v>
      </c>
      <c r="C152" s="236" t="s">
        <v>480</v>
      </c>
      <c r="D152" s="236" t="s">
        <v>521</v>
      </c>
      <c r="E152" s="236" t="s">
        <v>825</v>
      </c>
      <c r="F152" s="236" t="s">
        <v>980</v>
      </c>
      <c r="G152" s="237">
        <v>6.0</v>
      </c>
      <c r="H152" s="237">
        <v>4.0</v>
      </c>
      <c r="I152" s="237">
        <v>2.0</v>
      </c>
      <c r="J152" s="237">
        <v>6.0</v>
      </c>
      <c r="K152" s="237">
        <v>4.0</v>
      </c>
      <c r="L152" s="237">
        <v>2.0</v>
      </c>
      <c r="M152" s="237">
        <v>9.0</v>
      </c>
      <c r="N152" s="237">
        <v>9.0</v>
      </c>
    </row>
    <row r="153">
      <c r="A153" s="236" t="s">
        <v>783</v>
      </c>
      <c r="B153" s="237">
        <v>5578.0</v>
      </c>
      <c r="C153" s="236" t="s">
        <v>480</v>
      </c>
      <c r="D153" s="236" t="s">
        <v>937</v>
      </c>
      <c r="E153" s="236" t="s">
        <v>783</v>
      </c>
      <c r="F153" s="236" t="s">
        <v>980</v>
      </c>
      <c r="G153" s="237">
        <v>6.0</v>
      </c>
      <c r="H153" s="237">
        <v>10.0</v>
      </c>
      <c r="I153" s="237">
        <v>-4.0</v>
      </c>
      <c r="J153" s="237">
        <v>6.0</v>
      </c>
      <c r="K153" s="237">
        <v>10.0</v>
      </c>
      <c r="L153" s="237">
        <v>-4.0</v>
      </c>
      <c r="M153" s="237">
        <v>11.0</v>
      </c>
      <c r="N153" s="237">
        <v>13.0</v>
      </c>
    </row>
    <row r="154">
      <c r="A154" s="236" t="s">
        <v>1205</v>
      </c>
      <c r="B154" s="237">
        <v>6896.0</v>
      </c>
      <c r="C154" s="236" t="s">
        <v>480</v>
      </c>
      <c r="D154" s="236" t="s">
        <v>938</v>
      </c>
      <c r="E154" s="236" t="s">
        <v>1205</v>
      </c>
      <c r="F154" s="236" t="s">
        <v>974</v>
      </c>
      <c r="G154" s="237">
        <v>6.0</v>
      </c>
      <c r="H154" s="237">
        <v>5.0</v>
      </c>
      <c r="I154" s="237">
        <v>1.0</v>
      </c>
      <c r="J154" s="237">
        <v>6.0</v>
      </c>
      <c r="K154" s="237">
        <v>5.0</v>
      </c>
      <c r="L154" s="237">
        <v>1.0</v>
      </c>
      <c r="M154" s="237">
        <v>14.0</v>
      </c>
      <c r="N154" s="237">
        <v>14.0</v>
      </c>
    </row>
    <row r="155">
      <c r="A155" s="236" t="s">
        <v>654</v>
      </c>
      <c r="B155" s="237">
        <v>6986.0</v>
      </c>
      <c r="C155" s="236" t="s">
        <v>480</v>
      </c>
      <c r="D155" s="236" t="s">
        <v>1019</v>
      </c>
      <c r="E155" s="236" t="s">
        <v>654</v>
      </c>
      <c r="F155" s="236" t="s">
        <v>988</v>
      </c>
      <c r="G155" s="237">
        <v>6.0</v>
      </c>
      <c r="H155" s="237">
        <v>5.0</v>
      </c>
      <c r="I155" s="237">
        <v>1.0</v>
      </c>
      <c r="J155" s="237">
        <v>7.0</v>
      </c>
      <c r="K155" s="237">
        <v>6.0</v>
      </c>
      <c r="L155" s="237">
        <v>1.0</v>
      </c>
      <c r="M155" s="237">
        <v>13.0</v>
      </c>
      <c r="N155" s="237">
        <v>18.0</v>
      </c>
    </row>
    <row r="156">
      <c r="A156" s="236" t="s">
        <v>693</v>
      </c>
      <c r="B156" s="237">
        <v>787.0</v>
      </c>
      <c r="C156" s="236" t="s">
        <v>480</v>
      </c>
      <c r="D156" s="236" t="s">
        <v>481</v>
      </c>
      <c r="E156" s="236" t="s">
        <v>693</v>
      </c>
      <c r="F156" s="236" t="s">
        <v>980</v>
      </c>
      <c r="G156" s="237">
        <v>5.0</v>
      </c>
      <c r="H156" s="237">
        <v>8.0</v>
      </c>
      <c r="I156" s="237">
        <v>-3.0</v>
      </c>
      <c r="J156" s="237">
        <v>5.0</v>
      </c>
      <c r="K156" s="237">
        <v>8.0</v>
      </c>
      <c r="L156" s="237">
        <v>-3.0</v>
      </c>
      <c r="M156" s="237">
        <v>19.0</v>
      </c>
      <c r="N156" s="237">
        <v>19.0</v>
      </c>
    </row>
    <row r="157">
      <c r="A157" s="236" t="s">
        <v>386</v>
      </c>
      <c r="B157" s="237">
        <v>2640.0</v>
      </c>
      <c r="C157" s="236" t="s">
        <v>480</v>
      </c>
      <c r="D157" s="236" t="s">
        <v>979</v>
      </c>
      <c r="E157" s="236" t="s">
        <v>386</v>
      </c>
      <c r="F157" s="236" t="s">
        <v>980</v>
      </c>
      <c r="G157" s="237">
        <v>5.0</v>
      </c>
      <c r="H157" s="237">
        <v>9.0</v>
      </c>
      <c r="I157" s="237">
        <v>-4.0</v>
      </c>
      <c r="J157" s="237">
        <v>5.0</v>
      </c>
      <c r="K157" s="237">
        <v>10.0</v>
      </c>
      <c r="L157" s="237">
        <v>-5.0</v>
      </c>
      <c r="M157" s="237">
        <v>21.0</v>
      </c>
      <c r="N157" s="237">
        <v>26.0</v>
      </c>
    </row>
    <row r="158">
      <c r="A158" s="236" t="s">
        <v>1043</v>
      </c>
      <c r="B158" s="237">
        <v>487.0</v>
      </c>
      <c r="C158" s="236" t="s">
        <v>480</v>
      </c>
      <c r="D158" s="236" t="s">
        <v>938</v>
      </c>
      <c r="E158" s="236" t="s">
        <v>1043</v>
      </c>
      <c r="F158" s="236" t="s">
        <v>1009</v>
      </c>
      <c r="G158" s="237">
        <v>5.0</v>
      </c>
      <c r="H158" s="237">
        <v>3.0</v>
      </c>
      <c r="I158" s="237">
        <v>2.0</v>
      </c>
      <c r="J158" s="237">
        <v>5.0</v>
      </c>
      <c r="K158" s="237">
        <v>3.0</v>
      </c>
      <c r="L158" s="237">
        <v>2.0</v>
      </c>
      <c r="M158" s="237">
        <v>11.0</v>
      </c>
      <c r="N158" s="237">
        <v>11.0</v>
      </c>
    </row>
    <row r="159">
      <c r="A159" s="236" t="s">
        <v>736</v>
      </c>
      <c r="B159" s="237">
        <v>5435.0</v>
      </c>
      <c r="C159" s="236" t="s">
        <v>480</v>
      </c>
      <c r="D159" s="236" t="s">
        <v>931</v>
      </c>
      <c r="E159" s="236" t="s">
        <v>736</v>
      </c>
      <c r="F159" s="236" t="s">
        <v>974</v>
      </c>
      <c r="G159" s="237">
        <v>5.0</v>
      </c>
      <c r="H159" s="237">
        <v>7.0</v>
      </c>
      <c r="I159" s="237">
        <v>-2.0</v>
      </c>
      <c r="J159" s="237">
        <v>5.0</v>
      </c>
      <c r="K159" s="237">
        <v>7.0</v>
      </c>
      <c r="L159" s="237">
        <v>-2.0</v>
      </c>
      <c r="M159" s="237">
        <v>13.0</v>
      </c>
      <c r="N159" s="237">
        <v>13.0</v>
      </c>
    </row>
    <row r="160">
      <c r="A160" s="236" t="s">
        <v>358</v>
      </c>
      <c r="B160" s="237">
        <v>252.0</v>
      </c>
      <c r="C160" s="236" t="s">
        <v>480</v>
      </c>
      <c r="D160" s="236" t="s">
        <v>979</v>
      </c>
      <c r="E160" s="236" t="s">
        <v>358</v>
      </c>
      <c r="F160" s="236" t="s">
        <v>1033</v>
      </c>
      <c r="G160" s="237">
        <v>5.0</v>
      </c>
      <c r="H160" s="237">
        <v>7.0</v>
      </c>
      <c r="I160" s="237">
        <v>-2.0</v>
      </c>
      <c r="J160" s="237">
        <v>5.0</v>
      </c>
      <c r="K160" s="237">
        <v>8.0</v>
      </c>
      <c r="L160" s="237">
        <v>-3.0</v>
      </c>
      <c r="M160" s="237">
        <v>5.0</v>
      </c>
      <c r="N160" s="237">
        <v>8.0</v>
      </c>
    </row>
    <row r="161">
      <c r="A161" s="236" t="s">
        <v>858</v>
      </c>
      <c r="B161" s="237">
        <v>2285.0</v>
      </c>
      <c r="C161" s="236" t="s">
        <v>480</v>
      </c>
      <c r="D161" s="236" t="s">
        <v>481</v>
      </c>
      <c r="E161" s="236" t="s">
        <v>858</v>
      </c>
      <c r="F161" s="236" t="s">
        <v>1026</v>
      </c>
      <c r="G161" s="237">
        <v>5.0</v>
      </c>
      <c r="H161" s="237">
        <v>7.0</v>
      </c>
      <c r="I161" s="237">
        <v>-2.0</v>
      </c>
      <c r="J161" s="237">
        <v>5.0</v>
      </c>
      <c r="K161" s="237">
        <v>7.0</v>
      </c>
      <c r="L161" s="237">
        <v>-2.0</v>
      </c>
      <c r="M161" s="237">
        <v>13.0</v>
      </c>
      <c r="N161" s="237">
        <v>13.0</v>
      </c>
    </row>
    <row r="162">
      <c r="A162" s="236" t="s">
        <v>618</v>
      </c>
      <c r="B162" s="237">
        <v>5739.0</v>
      </c>
      <c r="C162" s="236" t="s">
        <v>480</v>
      </c>
      <c r="D162" s="236" t="s">
        <v>937</v>
      </c>
      <c r="E162" s="236" t="s">
        <v>618</v>
      </c>
      <c r="F162" s="236" t="s">
        <v>1026</v>
      </c>
      <c r="G162" s="237">
        <v>5.0</v>
      </c>
      <c r="H162" s="237">
        <v>6.0</v>
      </c>
      <c r="I162" s="237">
        <v>-1.0</v>
      </c>
      <c r="J162" s="237">
        <v>5.0</v>
      </c>
      <c r="K162" s="237">
        <v>6.0</v>
      </c>
      <c r="L162" s="237">
        <v>-1.0</v>
      </c>
      <c r="M162" s="237">
        <v>12.0</v>
      </c>
      <c r="N162" s="237">
        <v>14.0</v>
      </c>
    </row>
    <row r="163">
      <c r="A163" s="236" t="s">
        <v>746</v>
      </c>
      <c r="B163" s="237">
        <v>6039.0</v>
      </c>
      <c r="C163" s="236" t="s">
        <v>480</v>
      </c>
      <c r="D163" s="236" t="s">
        <v>979</v>
      </c>
      <c r="E163" s="236" t="s">
        <v>746</v>
      </c>
      <c r="F163" s="236" t="s">
        <v>976</v>
      </c>
      <c r="G163" s="237">
        <v>5.0</v>
      </c>
      <c r="H163" s="237">
        <v>5.0</v>
      </c>
      <c r="I163" s="237">
        <v>0.0</v>
      </c>
      <c r="J163" s="237">
        <v>5.0</v>
      </c>
      <c r="K163" s="237">
        <v>6.0</v>
      </c>
      <c r="L163" s="237">
        <v>-1.0</v>
      </c>
      <c r="M163" s="237">
        <v>8.0</v>
      </c>
      <c r="N163" s="237">
        <v>8.0</v>
      </c>
    </row>
    <row r="164">
      <c r="A164" s="236" t="s">
        <v>868</v>
      </c>
      <c r="B164" s="237">
        <v>460.0</v>
      </c>
      <c r="C164" s="236" t="s">
        <v>480</v>
      </c>
      <c r="D164" s="236" t="s">
        <v>481</v>
      </c>
      <c r="E164" s="236" t="s">
        <v>868</v>
      </c>
      <c r="F164" s="236" t="s">
        <v>1000</v>
      </c>
      <c r="G164" s="237">
        <v>5.0</v>
      </c>
      <c r="H164" s="237">
        <v>10.0</v>
      </c>
      <c r="I164" s="237">
        <v>-5.0</v>
      </c>
      <c r="J164" s="237">
        <v>5.0</v>
      </c>
      <c r="K164" s="237">
        <v>10.0</v>
      </c>
      <c r="L164" s="237">
        <v>-5.0</v>
      </c>
      <c r="M164" s="237">
        <v>19.0</v>
      </c>
      <c r="N164" s="237">
        <v>19.0</v>
      </c>
    </row>
    <row r="165">
      <c r="A165" s="236" t="s">
        <v>1145</v>
      </c>
      <c r="B165" s="237">
        <v>2728.0</v>
      </c>
      <c r="C165" s="236" t="s">
        <v>480</v>
      </c>
      <c r="D165" s="236" t="s">
        <v>931</v>
      </c>
      <c r="E165" s="236" t="s">
        <v>1145</v>
      </c>
      <c r="F165" s="236" t="s">
        <v>1000</v>
      </c>
      <c r="G165" s="237">
        <v>5.0</v>
      </c>
      <c r="H165" s="237">
        <v>3.0</v>
      </c>
      <c r="I165" s="237">
        <v>2.0</v>
      </c>
      <c r="J165" s="237">
        <v>5.0</v>
      </c>
      <c r="K165" s="237">
        <v>3.0</v>
      </c>
      <c r="L165" s="237">
        <v>2.0</v>
      </c>
      <c r="M165" s="237">
        <v>10.0</v>
      </c>
      <c r="N165" s="237">
        <v>10.0</v>
      </c>
    </row>
    <row r="166">
      <c r="A166" s="236" t="s">
        <v>1075</v>
      </c>
      <c r="B166" s="237">
        <v>140.0</v>
      </c>
      <c r="C166" s="236" t="s">
        <v>480</v>
      </c>
      <c r="D166" s="236" t="s">
        <v>944</v>
      </c>
      <c r="E166" s="236" t="s">
        <v>1075</v>
      </c>
      <c r="F166" s="236" t="s">
        <v>1000</v>
      </c>
      <c r="G166" s="237">
        <v>5.0</v>
      </c>
      <c r="H166" s="237">
        <v>4.0</v>
      </c>
      <c r="I166" s="237">
        <v>1.0</v>
      </c>
      <c r="J166" s="237">
        <v>5.0</v>
      </c>
      <c r="K166" s="237">
        <v>5.0</v>
      </c>
      <c r="L166" s="237">
        <v>0.0</v>
      </c>
      <c r="M166" s="237">
        <v>6.0</v>
      </c>
      <c r="N166" s="237">
        <v>8.0</v>
      </c>
    </row>
    <row r="167">
      <c r="A167" s="236" t="s">
        <v>1263</v>
      </c>
      <c r="B167" s="237">
        <v>4904.0</v>
      </c>
      <c r="C167" s="236" t="s">
        <v>480</v>
      </c>
      <c r="D167" s="236" t="s">
        <v>481</v>
      </c>
      <c r="E167" s="236" t="s">
        <v>1263</v>
      </c>
      <c r="F167" s="236" t="s">
        <v>1033</v>
      </c>
      <c r="G167" s="237">
        <v>5.0</v>
      </c>
      <c r="H167" s="237">
        <v>7.0</v>
      </c>
      <c r="I167" s="237">
        <v>-2.0</v>
      </c>
      <c r="J167" s="237">
        <v>5.0</v>
      </c>
      <c r="K167" s="237">
        <v>7.0</v>
      </c>
      <c r="L167" s="237">
        <v>-2.0</v>
      </c>
      <c r="M167" s="237">
        <v>11.0</v>
      </c>
      <c r="N167" s="237">
        <v>11.0</v>
      </c>
    </row>
    <row r="168">
      <c r="A168" s="236" t="s">
        <v>1029</v>
      </c>
      <c r="B168" s="237">
        <v>4657.0</v>
      </c>
      <c r="C168" s="236" t="s">
        <v>480</v>
      </c>
      <c r="D168" s="236" t="s">
        <v>938</v>
      </c>
      <c r="E168" s="236" t="s">
        <v>1029</v>
      </c>
      <c r="F168" s="236" t="s">
        <v>988</v>
      </c>
      <c r="G168" s="237">
        <v>5.0</v>
      </c>
      <c r="H168" s="237">
        <v>3.0</v>
      </c>
      <c r="I168" s="237">
        <v>2.0</v>
      </c>
      <c r="J168" s="237">
        <v>5.0</v>
      </c>
      <c r="K168" s="237">
        <v>3.0</v>
      </c>
      <c r="L168" s="237">
        <v>2.0</v>
      </c>
      <c r="M168" s="237">
        <v>10.0</v>
      </c>
      <c r="N168" s="237">
        <v>10.0</v>
      </c>
    </row>
    <row r="169">
      <c r="A169" s="236" t="s">
        <v>1273</v>
      </c>
      <c r="B169" s="237">
        <v>5484.0</v>
      </c>
      <c r="C169" s="236" t="s">
        <v>480</v>
      </c>
      <c r="D169" s="236" t="s">
        <v>481</v>
      </c>
      <c r="E169" s="236" t="s">
        <v>1273</v>
      </c>
      <c r="F169" s="236" t="s">
        <v>1233</v>
      </c>
      <c r="G169" s="237">
        <v>5.0</v>
      </c>
      <c r="H169" s="237">
        <v>4.0</v>
      </c>
      <c r="I169" s="237">
        <v>1.0</v>
      </c>
      <c r="J169" s="237">
        <v>5.0</v>
      </c>
      <c r="K169" s="237">
        <v>4.0</v>
      </c>
      <c r="L169" s="237">
        <v>1.0</v>
      </c>
      <c r="M169" s="237">
        <v>9.0</v>
      </c>
      <c r="N169" s="237">
        <v>9.0</v>
      </c>
    </row>
    <row r="170">
      <c r="A170" s="236" t="s">
        <v>1318</v>
      </c>
      <c r="B170" s="237">
        <v>6673.0</v>
      </c>
      <c r="C170" s="236" t="s">
        <v>480</v>
      </c>
      <c r="D170" s="236" t="s">
        <v>979</v>
      </c>
      <c r="E170" s="236" t="s">
        <v>1318</v>
      </c>
      <c r="F170" s="236" t="s">
        <v>1233</v>
      </c>
      <c r="G170" s="237">
        <v>5.0</v>
      </c>
      <c r="H170" s="237">
        <v>4.0</v>
      </c>
      <c r="I170" s="237">
        <v>1.0</v>
      </c>
      <c r="J170" s="237">
        <v>5.0</v>
      </c>
      <c r="K170" s="237">
        <v>5.0</v>
      </c>
      <c r="L170" s="237">
        <v>0.0</v>
      </c>
      <c r="M170" s="237">
        <v>10.0</v>
      </c>
      <c r="N170" s="237">
        <v>13.0</v>
      </c>
    </row>
    <row r="171">
      <c r="A171" s="236" t="s">
        <v>880</v>
      </c>
      <c r="B171" s="237">
        <v>5764.0</v>
      </c>
      <c r="C171" s="236" t="s">
        <v>480</v>
      </c>
      <c r="D171" s="236" t="s">
        <v>481</v>
      </c>
      <c r="E171" s="236" t="s">
        <v>880</v>
      </c>
      <c r="F171" s="236" t="s">
        <v>983</v>
      </c>
      <c r="G171" s="237">
        <v>5.0</v>
      </c>
      <c r="H171" s="237">
        <v>4.0</v>
      </c>
      <c r="I171" s="237">
        <v>1.0</v>
      </c>
      <c r="J171" s="237">
        <v>5.0</v>
      </c>
      <c r="K171" s="237">
        <v>4.0</v>
      </c>
      <c r="L171" s="237">
        <v>1.0</v>
      </c>
      <c r="M171" s="237">
        <v>11.0</v>
      </c>
      <c r="N171" s="237">
        <v>11.0</v>
      </c>
    </row>
    <row r="172">
      <c r="A172" s="236" t="s">
        <v>1247</v>
      </c>
      <c r="B172" s="237">
        <v>2181.0</v>
      </c>
      <c r="C172" s="236" t="s">
        <v>480</v>
      </c>
      <c r="D172" s="236" t="s">
        <v>481</v>
      </c>
      <c r="E172" s="236" t="s">
        <v>1247</v>
      </c>
      <c r="F172" s="236" t="s">
        <v>975</v>
      </c>
      <c r="G172" s="237">
        <v>5.0</v>
      </c>
      <c r="H172" s="237">
        <v>5.0</v>
      </c>
      <c r="I172" s="237">
        <v>0.0</v>
      </c>
      <c r="J172" s="237">
        <v>5.0</v>
      </c>
      <c r="K172" s="237">
        <v>5.0</v>
      </c>
      <c r="L172" s="237">
        <v>0.0</v>
      </c>
      <c r="M172" s="237">
        <v>9.0</v>
      </c>
      <c r="N172" s="237">
        <v>9.0</v>
      </c>
    </row>
    <row r="173">
      <c r="A173" s="236" t="s">
        <v>768</v>
      </c>
      <c r="B173" s="237">
        <v>6820.0</v>
      </c>
      <c r="C173" s="236" t="s">
        <v>480</v>
      </c>
      <c r="D173" s="236" t="s">
        <v>521</v>
      </c>
      <c r="E173" s="236" t="s">
        <v>768</v>
      </c>
      <c r="F173" s="236" t="s">
        <v>972</v>
      </c>
      <c r="G173" s="237">
        <v>5.0</v>
      </c>
      <c r="H173" s="237">
        <v>8.0</v>
      </c>
      <c r="I173" s="237">
        <v>-3.0</v>
      </c>
      <c r="J173" s="237">
        <v>5.0</v>
      </c>
      <c r="K173" s="237">
        <v>7.0</v>
      </c>
      <c r="L173" s="237">
        <v>-2.0</v>
      </c>
      <c r="M173" s="237">
        <v>13.0</v>
      </c>
      <c r="N173" s="237">
        <v>13.0</v>
      </c>
    </row>
    <row r="174">
      <c r="A174" s="236" t="s">
        <v>655</v>
      </c>
      <c r="B174" s="237">
        <v>6531.0</v>
      </c>
      <c r="C174" s="236" t="s">
        <v>480</v>
      </c>
      <c r="D174" s="236" t="s">
        <v>944</v>
      </c>
      <c r="E174" s="236" t="s">
        <v>655</v>
      </c>
      <c r="F174" s="236" t="s">
        <v>991</v>
      </c>
      <c r="G174" s="237">
        <v>5.0</v>
      </c>
      <c r="H174" s="237">
        <v>1.0</v>
      </c>
      <c r="I174" s="237">
        <v>4.0</v>
      </c>
      <c r="J174" s="237">
        <v>5.0</v>
      </c>
      <c r="K174" s="237">
        <v>1.0</v>
      </c>
      <c r="L174" s="237">
        <v>4.0</v>
      </c>
      <c r="M174" s="237">
        <v>13.0</v>
      </c>
      <c r="N174" s="237">
        <v>15.0</v>
      </c>
    </row>
    <row r="175">
      <c r="A175" s="236" t="s">
        <v>707</v>
      </c>
      <c r="B175" s="237">
        <v>4284.0</v>
      </c>
      <c r="C175" s="236" t="s">
        <v>480</v>
      </c>
      <c r="D175" s="236" t="s">
        <v>1152</v>
      </c>
      <c r="E175" s="236" t="s">
        <v>707</v>
      </c>
      <c r="F175" s="236" t="s">
        <v>974</v>
      </c>
      <c r="G175" s="237">
        <v>5.0</v>
      </c>
      <c r="H175" s="237">
        <v>9.0</v>
      </c>
      <c r="I175" s="237">
        <v>-4.0</v>
      </c>
      <c r="J175" s="237">
        <v>5.0</v>
      </c>
      <c r="K175" s="237">
        <v>9.0</v>
      </c>
      <c r="L175" s="237">
        <v>-4.0</v>
      </c>
      <c r="M175" s="237">
        <v>11.0</v>
      </c>
      <c r="N175" s="237">
        <v>14.0</v>
      </c>
    </row>
    <row r="176">
      <c r="A176" s="236" t="s">
        <v>697</v>
      </c>
      <c r="B176" s="237">
        <v>4665.0</v>
      </c>
      <c r="C176" s="236" t="s">
        <v>480</v>
      </c>
      <c r="D176" s="236" t="s">
        <v>481</v>
      </c>
      <c r="E176" s="236" t="s">
        <v>697</v>
      </c>
      <c r="F176" s="236" t="s">
        <v>972</v>
      </c>
      <c r="G176" s="237">
        <v>5.0</v>
      </c>
      <c r="H176" s="237">
        <v>7.0</v>
      </c>
      <c r="I176" s="237">
        <v>-2.0</v>
      </c>
      <c r="J176" s="237">
        <v>5.0</v>
      </c>
      <c r="K176" s="237">
        <v>7.0</v>
      </c>
      <c r="L176" s="237">
        <v>-2.0</v>
      </c>
      <c r="M176" s="237">
        <v>17.0</v>
      </c>
      <c r="N176" s="237">
        <v>17.0</v>
      </c>
    </row>
    <row r="177">
      <c r="A177" s="236" t="s">
        <v>755</v>
      </c>
      <c r="B177" s="237">
        <v>2406.0</v>
      </c>
      <c r="C177" s="236" t="s">
        <v>480</v>
      </c>
      <c r="D177" s="236" t="s">
        <v>481</v>
      </c>
      <c r="E177" s="236" t="s">
        <v>755</v>
      </c>
      <c r="F177" s="236" t="s">
        <v>988</v>
      </c>
      <c r="G177" s="237">
        <v>5.0</v>
      </c>
      <c r="H177" s="237">
        <v>8.0</v>
      </c>
      <c r="I177" s="237">
        <v>-3.0</v>
      </c>
      <c r="J177" s="237">
        <v>5.0</v>
      </c>
      <c r="K177" s="237">
        <v>8.0</v>
      </c>
      <c r="L177" s="237">
        <v>-3.0</v>
      </c>
      <c r="M177" s="237">
        <v>22.0</v>
      </c>
      <c r="N177" s="237">
        <v>22.0</v>
      </c>
    </row>
    <row r="178">
      <c r="A178" s="236" t="s">
        <v>676</v>
      </c>
      <c r="B178" s="237">
        <v>6956.0</v>
      </c>
      <c r="C178" s="236" t="s">
        <v>480</v>
      </c>
      <c r="D178" s="236" t="s">
        <v>481</v>
      </c>
      <c r="E178" s="236" t="s">
        <v>676</v>
      </c>
      <c r="F178" s="236" t="s">
        <v>993</v>
      </c>
      <c r="G178" s="237">
        <v>5.0</v>
      </c>
      <c r="H178" s="237">
        <v>5.0</v>
      </c>
      <c r="I178" s="237">
        <v>0.0</v>
      </c>
      <c r="J178" s="237">
        <v>5.0</v>
      </c>
      <c r="K178" s="237">
        <v>5.0</v>
      </c>
      <c r="L178" s="237">
        <v>0.0</v>
      </c>
      <c r="M178" s="237">
        <v>12.0</v>
      </c>
      <c r="N178" s="237">
        <v>12.0</v>
      </c>
    </row>
    <row r="179">
      <c r="A179" s="236" t="s">
        <v>277</v>
      </c>
      <c r="B179" s="237">
        <v>4374.0</v>
      </c>
      <c r="C179" s="236" t="s">
        <v>480</v>
      </c>
      <c r="D179" s="236" t="s">
        <v>481</v>
      </c>
      <c r="E179" s="236" t="s">
        <v>277</v>
      </c>
      <c r="F179" s="236" t="s">
        <v>972</v>
      </c>
      <c r="G179" s="237">
        <v>4.0</v>
      </c>
      <c r="H179" s="237">
        <v>4.0</v>
      </c>
      <c r="I179" s="237">
        <v>0.0</v>
      </c>
      <c r="J179" s="237">
        <v>4.0</v>
      </c>
      <c r="K179" s="237">
        <v>4.0</v>
      </c>
      <c r="L179" s="237">
        <v>0.0</v>
      </c>
      <c r="M179" s="237">
        <v>11.0</v>
      </c>
      <c r="N179" s="237">
        <v>11.0</v>
      </c>
    </row>
    <row r="180">
      <c r="A180" s="236" t="s">
        <v>933</v>
      </c>
      <c r="B180" s="237">
        <v>6055.0</v>
      </c>
      <c r="C180" s="236" t="s">
        <v>480</v>
      </c>
      <c r="D180" s="236" t="s">
        <v>481</v>
      </c>
      <c r="E180" s="236" t="s">
        <v>933</v>
      </c>
      <c r="F180" s="236" t="s">
        <v>991</v>
      </c>
      <c r="G180" s="237">
        <v>4.0</v>
      </c>
      <c r="H180" s="237">
        <v>4.0</v>
      </c>
      <c r="I180" s="237">
        <v>0.0</v>
      </c>
      <c r="J180" s="237">
        <v>4.0</v>
      </c>
      <c r="K180" s="237">
        <v>4.0</v>
      </c>
      <c r="L180" s="237">
        <v>0.0</v>
      </c>
      <c r="M180" s="237">
        <v>18.0</v>
      </c>
      <c r="N180" s="237">
        <v>18.0</v>
      </c>
    </row>
    <row r="181">
      <c r="A181" s="236" t="s">
        <v>836</v>
      </c>
      <c r="B181" s="237">
        <v>226.0</v>
      </c>
      <c r="C181" s="236" t="s">
        <v>480</v>
      </c>
      <c r="D181" s="236" t="s">
        <v>481</v>
      </c>
      <c r="E181" s="236" t="s">
        <v>836</v>
      </c>
      <c r="F181" s="236" t="s">
        <v>1225</v>
      </c>
      <c r="G181" s="237">
        <v>4.0</v>
      </c>
      <c r="H181" s="237">
        <v>6.0</v>
      </c>
      <c r="I181" s="237">
        <v>-2.0</v>
      </c>
      <c r="J181" s="237">
        <v>4.0</v>
      </c>
      <c r="K181" s="237">
        <v>6.0</v>
      </c>
      <c r="L181" s="237">
        <v>-2.0</v>
      </c>
      <c r="M181" s="237">
        <v>11.0</v>
      </c>
      <c r="N181" s="237">
        <v>13.0</v>
      </c>
    </row>
    <row r="182">
      <c r="A182" s="236" t="s">
        <v>775</v>
      </c>
      <c r="B182" s="237">
        <v>4925.0</v>
      </c>
      <c r="C182" s="236" t="s">
        <v>480</v>
      </c>
      <c r="D182" s="236" t="s">
        <v>1022</v>
      </c>
      <c r="E182" s="236" t="s">
        <v>775</v>
      </c>
      <c r="F182" s="236" t="s">
        <v>1225</v>
      </c>
      <c r="G182" s="237">
        <v>4.0</v>
      </c>
      <c r="H182" s="237">
        <v>5.0</v>
      </c>
      <c r="I182" s="237">
        <v>-1.0</v>
      </c>
      <c r="J182" s="237">
        <v>4.0</v>
      </c>
      <c r="K182" s="237">
        <v>6.0</v>
      </c>
      <c r="L182" s="237">
        <v>-2.0</v>
      </c>
      <c r="M182" s="237">
        <v>11.0</v>
      </c>
      <c r="N182" s="237">
        <v>13.0</v>
      </c>
    </row>
    <row r="183">
      <c r="A183" s="236" t="s">
        <v>824</v>
      </c>
      <c r="B183" s="237">
        <v>256.0</v>
      </c>
      <c r="C183" s="236" t="s">
        <v>480</v>
      </c>
      <c r="D183" s="236" t="s">
        <v>1022</v>
      </c>
      <c r="E183" s="236" t="s">
        <v>824</v>
      </c>
      <c r="F183" s="236" t="s">
        <v>987</v>
      </c>
      <c r="G183" s="237">
        <v>4.0</v>
      </c>
      <c r="H183" s="237">
        <v>5.0</v>
      </c>
      <c r="I183" s="237">
        <v>-1.0</v>
      </c>
      <c r="J183" s="237">
        <v>4.0</v>
      </c>
      <c r="K183" s="237">
        <v>5.0</v>
      </c>
      <c r="L183" s="237">
        <v>-1.0</v>
      </c>
      <c r="M183" s="237">
        <v>12.0</v>
      </c>
      <c r="N183" s="237">
        <v>14.0</v>
      </c>
    </row>
    <row r="184">
      <c r="A184" s="236" t="s">
        <v>875</v>
      </c>
      <c r="B184" s="237">
        <v>4994.0</v>
      </c>
      <c r="C184" s="236" t="s">
        <v>480</v>
      </c>
      <c r="D184" s="236" t="s">
        <v>1019</v>
      </c>
      <c r="E184" s="236" t="s">
        <v>875</v>
      </c>
      <c r="F184" s="236" t="s">
        <v>972</v>
      </c>
      <c r="G184" s="237">
        <v>4.0</v>
      </c>
      <c r="H184" s="237">
        <v>6.0</v>
      </c>
      <c r="I184" s="237">
        <v>-2.0</v>
      </c>
      <c r="J184" s="237">
        <v>5.0</v>
      </c>
      <c r="K184" s="237">
        <v>7.0</v>
      </c>
      <c r="L184" s="237">
        <v>-2.0</v>
      </c>
      <c r="M184" s="237">
        <v>10.0</v>
      </c>
      <c r="N184" s="237">
        <v>13.0</v>
      </c>
    </row>
    <row r="185">
      <c r="A185" s="236" t="s">
        <v>368</v>
      </c>
      <c r="B185" s="237">
        <v>6631.0</v>
      </c>
      <c r="C185" s="236" t="s">
        <v>480</v>
      </c>
      <c r="D185" s="236" t="s">
        <v>481</v>
      </c>
      <c r="E185" s="236" t="s">
        <v>368</v>
      </c>
      <c r="F185" s="236" t="s">
        <v>983</v>
      </c>
      <c r="G185" s="237">
        <v>4.0</v>
      </c>
      <c r="H185" s="237">
        <v>1.0</v>
      </c>
      <c r="I185" s="237">
        <v>3.0</v>
      </c>
      <c r="J185" s="237">
        <v>4.0</v>
      </c>
      <c r="K185" s="237">
        <v>1.0</v>
      </c>
      <c r="L185" s="237">
        <v>3.0</v>
      </c>
      <c r="M185" s="237">
        <v>12.0</v>
      </c>
      <c r="N185" s="237">
        <v>12.0</v>
      </c>
    </row>
    <row r="186">
      <c r="A186" s="236" t="s">
        <v>811</v>
      </c>
      <c r="B186" s="237">
        <v>4982.0</v>
      </c>
      <c r="C186" s="236" t="s">
        <v>480</v>
      </c>
      <c r="D186" s="236" t="s">
        <v>481</v>
      </c>
      <c r="E186" s="236" t="s">
        <v>811</v>
      </c>
      <c r="F186" s="236" t="s">
        <v>1009</v>
      </c>
      <c r="G186" s="237">
        <v>4.0</v>
      </c>
      <c r="H186" s="237">
        <v>6.0</v>
      </c>
      <c r="I186" s="237">
        <v>-2.0</v>
      </c>
      <c r="J186" s="237">
        <v>4.0</v>
      </c>
      <c r="K186" s="237">
        <v>6.0</v>
      </c>
      <c r="L186" s="237">
        <v>-2.0</v>
      </c>
      <c r="M186" s="237">
        <v>7.0</v>
      </c>
      <c r="N186" s="237">
        <v>7.0</v>
      </c>
    </row>
    <row r="187">
      <c r="A187" s="236" t="s">
        <v>1281</v>
      </c>
      <c r="B187" s="237">
        <v>5695.0</v>
      </c>
      <c r="C187" s="236" t="s">
        <v>480</v>
      </c>
      <c r="D187" s="236" t="s">
        <v>931</v>
      </c>
      <c r="E187" s="236" t="s">
        <v>1281</v>
      </c>
      <c r="F187" s="236" t="s">
        <v>1233</v>
      </c>
      <c r="G187" s="237">
        <v>4.0</v>
      </c>
      <c r="H187" s="237">
        <v>1.0</v>
      </c>
      <c r="I187" s="237">
        <v>3.0</v>
      </c>
      <c r="J187" s="237">
        <v>4.0</v>
      </c>
      <c r="K187" s="237">
        <v>1.0</v>
      </c>
      <c r="L187" s="237">
        <v>3.0</v>
      </c>
      <c r="M187" s="237">
        <v>11.0</v>
      </c>
      <c r="N187" s="237">
        <v>11.0</v>
      </c>
    </row>
    <row r="188">
      <c r="A188" s="236" t="s">
        <v>1144</v>
      </c>
      <c r="B188" s="237">
        <v>6426.0</v>
      </c>
      <c r="C188" s="236" t="s">
        <v>480</v>
      </c>
      <c r="D188" s="236" t="s">
        <v>521</v>
      </c>
      <c r="E188" s="236" t="s">
        <v>1144</v>
      </c>
      <c r="F188" s="236" t="s">
        <v>972</v>
      </c>
      <c r="G188" s="237">
        <v>4.0</v>
      </c>
      <c r="H188" s="237">
        <v>6.0</v>
      </c>
      <c r="I188" s="237">
        <v>-2.0</v>
      </c>
      <c r="J188" s="237">
        <v>4.0</v>
      </c>
      <c r="K188" s="237">
        <v>5.0</v>
      </c>
      <c r="L188" s="237">
        <v>-1.0</v>
      </c>
      <c r="M188" s="237">
        <v>13.0</v>
      </c>
      <c r="N188" s="237">
        <v>13.0</v>
      </c>
    </row>
    <row r="189">
      <c r="A189" s="236" t="s">
        <v>664</v>
      </c>
      <c r="B189" s="237">
        <v>6883.0</v>
      </c>
      <c r="C189" s="236" t="s">
        <v>480</v>
      </c>
      <c r="D189" s="236" t="s">
        <v>481</v>
      </c>
      <c r="E189" s="236" t="s">
        <v>664</v>
      </c>
      <c r="F189" s="236" t="s">
        <v>998</v>
      </c>
      <c r="G189" s="237">
        <v>4.0</v>
      </c>
      <c r="H189" s="237">
        <v>2.0</v>
      </c>
      <c r="I189" s="237">
        <v>2.0</v>
      </c>
      <c r="J189" s="237">
        <v>4.0</v>
      </c>
      <c r="K189" s="237">
        <v>2.0</v>
      </c>
      <c r="L189" s="237">
        <v>2.0</v>
      </c>
      <c r="M189" s="237">
        <v>8.0</v>
      </c>
      <c r="N189" s="237">
        <v>8.0</v>
      </c>
    </row>
    <row r="190">
      <c r="A190" s="236" t="s">
        <v>849</v>
      </c>
      <c r="B190" s="237">
        <v>5626.0</v>
      </c>
      <c r="C190" s="236" t="s">
        <v>480</v>
      </c>
      <c r="D190" s="236" t="s">
        <v>1227</v>
      </c>
      <c r="E190" s="236" t="s">
        <v>849</v>
      </c>
      <c r="F190" s="236" t="s">
        <v>998</v>
      </c>
      <c r="G190" s="237">
        <v>4.0</v>
      </c>
      <c r="H190" s="237">
        <v>5.0</v>
      </c>
      <c r="I190" s="237">
        <v>-1.0</v>
      </c>
      <c r="J190" s="237">
        <v>4.0</v>
      </c>
      <c r="K190" s="237">
        <v>6.0</v>
      </c>
      <c r="L190" s="237">
        <v>-2.0</v>
      </c>
      <c r="M190" s="237">
        <v>11.0</v>
      </c>
      <c r="N190" s="237">
        <v>14.0</v>
      </c>
    </row>
    <row r="191">
      <c r="A191" s="236" t="s">
        <v>1016</v>
      </c>
      <c r="B191" s="237">
        <v>5532.0</v>
      </c>
      <c r="C191" s="236" t="s">
        <v>480</v>
      </c>
      <c r="D191" s="236" t="s">
        <v>931</v>
      </c>
      <c r="E191" s="236" t="s">
        <v>1016</v>
      </c>
      <c r="F191" s="236" t="s">
        <v>983</v>
      </c>
      <c r="G191" s="237">
        <v>4.0</v>
      </c>
      <c r="H191" s="237">
        <v>5.0</v>
      </c>
      <c r="I191" s="237">
        <v>-1.0</v>
      </c>
      <c r="J191" s="237">
        <v>4.0</v>
      </c>
      <c r="K191" s="237">
        <v>5.0</v>
      </c>
      <c r="L191" s="237">
        <v>-1.0</v>
      </c>
      <c r="M191" s="237">
        <v>9.0</v>
      </c>
      <c r="N191" s="237">
        <v>9.0</v>
      </c>
    </row>
    <row r="192">
      <c r="A192" s="236" t="s">
        <v>698</v>
      </c>
      <c r="B192" s="237">
        <v>6975.0</v>
      </c>
      <c r="C192" s="236" t="s">
        <v>480</v>
      </c>
      <c r="D192" s="236" t="s">
        <v>938</v>
      </c>
      <c r="E192" s="236" t="s">
        <v>698</v>
      </c>
      <c r="F192" s="236" t="s">
        <v>976</v>
      </c>
      <c r="G192" s="237">
        <v>4.0</v>
      </c>
      <c r="H192" s="237">
        <v>5.0</v>
      </c>
      <c r="I192" s="237">
        <v>-1.0</v>
      </c>
      <c r="J192" s="237">
        <v>4.0</v>
      </c>
      <c r="K192" s="237">
        <v>5.0</v>
      </c>
      <c r="L192" s="237">
        <v>-1.0</v>
      </c>
      <c r="M192" s="237">
        <v>13.0</v>
      </c>
      <c r="N192" s="237">
        <v>13.0</v>
      </c>
    </row>
    <row r="193">
      <c r="A193" s="236" t="s">
        <v>346</v>
      </c>
      <c r="B193" s="237">
        <v>6066.0</v>
      </c>
      <c r="C193" s="236" t="s">
        <v>480</v>
      </c>
      <c r="D193" s="236" t="s">
        <v>937</v>
      </c>
      <c r="E193" s="236" t="s">
        <v>346</v>
      </c>
      <c r="F193" s="236" t="s">
        <v>1009</v>
      </c>
      <c r="G193" s="237">
        <v>3.0</v>
      </c>
      <c r="H193" s="237">
        <v>8.0</v>
      </c>
      <c r="I193" s="237">
        <v>-5.0</v>
      </c>
      <c r="J193" s="237">
        <v>3.0</v>
      </c>
      <c r="K193" s="237">
        <v>9.0</v>
      </c>
      <c r="L193" s="237">
        <v>-6.0</v>
      </c>
      <c r="M193" s="237">
        <v>10.0</v>
      </c>
      <c r="N193" s="237">
        <v>12.0</v>
      </c>
    </row>
    <row r="194">
      <c r="A194" s="236" t="s">
        <v>1067</v>
      </c>
      <c r="B194" s="237">
        <v>418.0</v>
      </c>
      <c r="C194" s="236" t="s">
        <v>480</v>
      </c>
      <c r="D194" s="236" t="s">
        <v>481</v>
      </c>
      <c r="E194" s="236" t="s">
        <v>1067</v>
      </c>
      <c r="F194" s="236" t="s">
        <v>974</v>
      </c>
      <c r="G194" s="237">
        <v>3.0</v>
      </c>
      <c r="H194" s="237">
        <v>3.0</v>
      </c>
      <c r="I194" s="237">
        <v>0.0</v>
      </c>
      <c r="J194" s="237">
        <v>3.0</v>
      </c>
      <c r="K194" s="237">
        <v>3.0</v>
      </c>
      <c r="L194" s="237">
        <v>0.0</v>
      </c>
      <c r="M194" s="237">
        <v>11.0</v>
      </c>
      <c r="N194" s="237">
        <v>11.0</v>
      </c>
    </row>
    <row r="195">
      <c r="A195" s="236" t="s">
        <v>898</v>
      </c>
      <c r="B195" s="237">
        <v>358.0</v>
      </c>
      <c r="C195" s="236" t="s">
        <v>480</v>
      </c>
      <c r="D195" s="236" t="s">
        <v>944</v>
      </c>
      <c r="E195" s="236" t="s">
        <v>898</v>
      </c>
      <c r="F195" s="236" t="s">
        <v>1222</v>
      </c>
      <c r="G195" s="237">
        <v>3.0</v>
      </c>
      <c r="H195" s="237">
        <v>1.0</v>
      </c>
      <c r="I195" s="237">
        <v>2.0</v>
      </c>
      <c r="J195" s="237">
        <v>3.0</v>
      </c>
      <c r="K195" s="237">
        <v>1.0</v>
      </c>
      <c r="L195" s="237">
        <v>2.0</v>
      </c>
      <c r="M195" s="237">
        <v>10.0</v>
      </c>
      <c r="N195" s="237">
        <v>12.0</v>
      </c>
    </row>
    <row r="196">
      <c r="A196" s="236" t="s">
        <v>847</v>
      </c>
      <c r="B196" s="237">
        <v>327.0</v>
      </c>
      <c r="C196" s="236" t="s">
        <v>480</v>
      </c>
      <c r="D196" s="236" t="s">
        <v>937</v>
      </c>
      <c r="E196" s="236" t="s">
        <v>847</v>
      </c>
      <c r="F196" s="236" t="s">
        <v>1000</v>
      </c>
      <c r="G196" s="237">
        <v>3.0</v>
      </c>
      <c r="H196" s="237">
        <v>5.0</v>
      </c>
      <c r="I196" s="237">
        <v>-2.0</v>
      </c>
      <c r="J196" s="237">
        <v>3.0</v>
      </c>
      <c r="K196" s="237">
        <v>5.0</v>
      </c>
      <c r="L196" s="237">
        <v>-2.0</v>
      </c>
      <c r="M196" s="237">
        <v>8.0</v>
      </c>
      <c r="N196" s="237">
        <v>10.0</v>
      </c>
    </row>
    <row r="197">
      <c r="A197" s="236" t="s">
        <v>860</v>
      </c>
      <c r="B197" s="237">
        <v>357.0</v>
      </c>
      <c r="C197" s="236" t="s">
        <v>480</v>
      </c>
      <c r="D197" s="236" t="s">
        <v>938</v>
      </c>
      <c r="E197" s="236" t="s">
        <v>860</v>
      </c>
      <c r="F197" s="236" t="s">
        <v>991</v>
      </c>
      <c r="G197" s="237">
        <v>3.0</v>
      </c>
      <c r="H197" s="237">
        <v>7.0</v>
      </c>
      <c r="I197" s="237">
        <v>-4.0</v>
      </c>
      <c r="J197" s="237">
        <v>3.0</v>
      </c>
      <c r="K197" s="237">
        <v>7.0</v>
      </c>
      <c r="L197" s="237">
        <v>-4.0</v>
      </c>
      <c r="M197" s="237">
        <v>10.0</v>
      </c>
      <c r="N197" s="237">
        <v>10.0</v>
      </c>
    </row>
    <row r="198">
      <c r="A198" s="236" t="s">
        <v>1226</v>
      </c>
      <c r="B198" s="237">
        <v>253.0</v>
      </c>
      <c r="C198" s="236" t="s">
        <v>480</v>
      </c>
      <c r="D198" s="236" t="s">
        <v>1227</v>
      </c>
      <c r="E198" s="236" t="s">
        <v>1226</v>
      </c>
      <c r="F198" s="236" t="s">
        <v>1225</v>
      </c>
      <c r="G198" s="237">
        <v>3.0</v>
      </c>
      <c r="H198" s="237">
        <v>3.0</v>
      </c>
      <c r="I198" s="237">
        <v>0.0</v>
      </c>
      <c r="J198" s="237">
        <v>3.0</v>
      </c>
      <c r="K198" s="237">
        <v>4.0</v>
      </c>
      <c r="L198" s="237">
        <v>-1.0</v>
      </c>
      <c r="M198" s="237">
        <v>10.0</v>
      </c>
      <c r="N198" s="237">
        <v>12.0</v>
      </c>
    </row>
    <row r="199">
      <c r="A199" s="236" t="s">
        <v>660</v>
      </c>
      <c r="B199" s="237">
        <v>6533.0</v>
      </c>
      <c r="C199" s="236" t="s">
        <v>480</v>
      </c>
      <c r="D199" s="236" t="s">
        <v>481</v>
      </c>
      <c r="E199" s="236" t="s">
        <v>660</v>
      </c>
      <c r="F199" s="236" t="s">
        <v>993</v>
      </c>
      <c r="G199" s="237">
        <v>3.0</v>
      </c>
      <c r="H199" s="237">
        <v>4.0</v>
      </c>
      <c r="I199" s="237">
        <v>-1.0</v>
      </c>
      <c r="J199" s="237">
        <v>3.0</v>
      </c>
      <c r="K199" s="237">
        <v>4.0</v>
      </c>
      <c r="L199" s="237">
        <v>-1.0</v>
      </c>
      <c r="M199" s="237">
        <v>9.0</v>
      </c>
      <c r="N199" s="237">
        <v>9.0</v>
      </c>
    </row>
    <row r="200">
      <c r="A200" s="236" t="s">
        <v>1092</v>
      </c>
      <c r="B200" s="237">
        <v>6485.0</v>
      </c>
      <c r="C200" s="236" t="s">
        <v>480</v>
      </c>
      <c r="D200" s="236" t="s">
        <v>481</v>
      </c>
      <c r="E200" s="236" t="s">
        <v>1092</v>
      </c>
      <c r="F200" s="236" t="s">
        <v>993</v>
      </c>
      <c r="G200" s="237">
        <v>3.0</v>
      </c>
      <c r="H200" s="237">
        <v>5.0</v>
      </c>
      <c r="I200" s="237">
        <v>-2.0</v>
      </c>
      <c r="J200" s="237">
        <v>3.0</v>
      </c>
      <c r="K200" s="237">
        <v>5.0</v>
      </c>
      <c r="L200" s="237">
        <v>-2.0</v>
      </c>
      <c r="M200" s="237">
        <v>12.0</v>
      </c>
      <c r="N200" s="237">
        <v>12.0</v>
      </c>
    </row>
    <row r="201">
      <c r="A201" s="236" t="s">
        <v>881</v>
      </c>
      <c r="B201" s="237">
        <v>4493.0</v>
      </c>
      <c r="C201" s="236" t="s">
        <v>480</v>
      </c>
      <c r="D201" s="236" t="s">
        <v>481</v>
      </c>
      <c r="E201" s="236" t="s">
        <v>881</v>
      </c>
      <c r="F201" s="236" t="s">
        <v>983</v>
      </c>
      <c r="G201" s="237">
        <v>3.0</v>
      </c>
      <c r="H201" s="237">
        <v>5.0</v>
      </c>
      <c r="I201" s="237">
        <v>-2.0</v>
      </c>
      <c r="J201" s="237">
        <v>3.0</v>
      </c>
      <c r="K201" s="237">
        <v>5.0</v>
      </c>
      <c r="L201" s="237">
        <v>-2.0</v>
      </c>
      <c r="M201" s="237">
        <v>9.0</v>
      </c>
      <c r="N201" s="237">
        <v>9.0</v>
      </c>
    </row>
    <row r="202">
      <c r="A202" s="236" t="s">
        <v>711</v>
      </c>
      <c r="B202" s="237">
        <v>6885.0</v>
      </c>
      <c r="C202" s="236" t="s">
        <v>480</v>
      </c>
      <c r="D202" s="236" t="s">
        <v>938</v>
      </c>
      <c r="E202" s="236" t="s">
        <v>711</v>
      </c>
      <c r="F202" s="236" t="s">
        <v>988</v>
      </c>
      <c r="G202" s="237">
        <v>3.0</v>
      </c>
      <c r="H202" s="237">
        <v>5.0</v>
      </c>
      <c r="I202" s="237">
        <v>-2.0</v>
      </c>
      <c r="J202" s="237">
        <v>3.0</v>
      </c>
      <c r="K202" s="237">
        <v>5.0</v>
      </c>
      <c r="L202" s="237">
        <v>-2.0</v>
      </c>
      <c r="M202" s="237">
        <v>9.0</v>
      </c>
      <c r="N202" s="237">
        <v>9.0</v>
      </c>
    </row>
    <row r="203">
      <c r="A203" s="236" t="s">
        <v>1280</v>
      </c>
      <c r="B203" s="237">
        <v>5554.0</v>
      </c>
      <c r="C203" s="236" t="s">
        <v>480</v>
      </c>
      <c r="D203" s="236" t="s">
        <v>937</v>
      </c>
      <c r="E203" s="236" t="s">
        <v>1280</v>
      </c>
      <c r="F203" s="236" t="s">
        <v>983</v>
      </c>
      <c r="G203" s="237">
        <v>3.0</v>
      </c>
      <c r="H203" s="237">
        <v>5.0</v>
      </c>
      <c r="I203" s="237">
        <v>-2.0</v>
      </c>
      <c r="J203" s="237">
        <v>3.0</v>
      </c>
      <c r="K203" s="237">
        <v>5.0</v>
      </c>
      <c r="L203" s="237">
        <v>-2.0</v>
      </c>
      <c r="M203" s="237">
        <v>7.0</v>
      </c>
      <c r="N203" s="237">
        <v>9.0</v>
      </c>
    </row>
    <row r="204">
      <c r="A204" s="236" t="s">
        <v>1288</v>
      </c>
      <c r="B204" s="237">
        <v>5900.0</v>
      </c>
      <c r="C204" s="236" t="s">
        <v>480</v>
      </c>
      <c r="D204" s="236" t="s">
        <v>481</v>
      </c>
      <c r="E204" s="236" t="s">
        <v>1288</v>
      </c>
      <c r="F204" s="236" t="s">
        <v>993</v>
      </c>
      <c r="G204" s="237">
        <v>3.0</v>
      </c>
      <c r="H204" s="237">
        <v>3.0</v>
      </c>
      <c r="I204" s="237">
        <v>0.0</v>
      </c>
      <c r="J204" s="237">
        <v>3.0</v>
      </c>
      <c r="K204" s="237">
        <v>3.0</v>
      </c>
      <c r="L204" s="237">
        <v>0.0</v>
      </c>
      <c r="M204" s="237">
        <v>10.0</v>
      </c>
      <c r="N204" s="237">
        <v>10.0</v>
      </c>
    </row>
    <row r="205">
      <c r="A205" s="236" t="s">
        <v>1099</v>
      </c>
      <c r="B205" s="237">
        <v>6965.0</v>
      </c>
      <c r="C205" s="236" t="s">
        <v>480</v>
      </c>
      <c r="D205" s="236" t="s">
        <v>931</v>
      </c>
      <c r="E205" s="236" t="s">
        <v>1099</v>
      </c>
      <c r="F205" s="236" t="s">
        <v>985</v>
      </c>
      <c r="G205" s="237">
        <v>3.0</v>
      </c>
      <c r="H205" s="237">
        <v>3.0</v>
      </c>
      <c r="I205" s="237">
        <v>0.0</v>
      </c>
      <c r="J205" s="237">
        <v>3.0</v>
      </c>
      <c r="K205" s="237">
        <v>3.0</v>
      </c>
      <c r="L205" s="237">
        <v>0.0</v>
      </c>
      <c r="M205" s="237">
        <v>5.0</v>
      </c>
      <c r="N205" s="237">
        <v>5.0</v>
      </c>
    </row>
    <row r="206">
      <c r="A206" s="236" t="s">
        <v>1138</v>
      </c>
      <c r="B206" s="237">
        <v>6977.0</v>
      </c>
      <c r="C206" s="236" t="s">
        <v>480</v>
      </c>
      <c r="D206" s="236" t="s">
        <v>481</v>
      </c>
      <c r="E206" s="236" t="s">
        <v>1138</v>
      </c>
      <c r="F206" s="236" t="s">
        <v>1026</v>
      </c>
      <c r="G206" s="237">
        <v>3.0</v>
      </c>
      <c r="H206" s="237">
        <v>3.0</v>
      </c>
      <c r="I206" s="237">
        <v>0.0</v>
      </c>
      <c r="J206" s="237">
        <v>3.0</v>
      </c>
      <c r="K206" s="237">
        <v>3.0</v>
      </c>
      <c r="L206" s="237">
        <v>0.0</v>
      </c>
      <c r="M206" s="237">
        <v>6.0</v>
      </c>
      <c r="N206" s="237">
        <v>6.0</v>
      </c>
    </row>
    <row r="207">
      <c r="A207" s="236" t="s">
        <v>899</v>
      </c>
      <c r="B207" s="237">
        <v>6867.0</v>
      </c>
      <c r="C207" s="236" t="s">
        <v>480</v>
      </c>
      <c r="D207" s="236" t="s">
        <v>931</v>
      </c>
      <c r="E207" s="236" t="s">
        <v>899</v>
      </c>
      <c r="F207" s="236" t="s">
        <v>974</v>
      </c>
      <c r="G207" s="237">
        <v>3.0</v>
      </c>
      <c r="H207" s="237">
        <v>3.0</v>
      </c>
      <c r="I207" s="237">
        <v>0.0</v>
      </c>
      <c r="J207" s="237">
        <v>3.0</v>
      </c>
      <c r="K207" s="237">
        <v>3.0</v>
      </c>
      <c r="L207" s="237">
        <v>0.0</v>
      </c>
      <c r="M207" s="237">
        <v>6.0</v>
      </c>
      <c r="N207" s="237">
        <v>6.0</v>
      </c>
    </row>
    <row r="208">
      <c r="A208" s="236" t="s">
        <v>269</v>
      </c>
      <c r="B208" s="237">
        <v>5526.0</v>
      </c>
      <c r="C208" s="236" t="s">
        <v>480</v>
      </c>
      <c r="D208" s="236" t="s">
        <v>481</v>
      </c>
      <c r="E208" s="236" t="s">
        <v>269</v>
      </c>
      <c r="F208" s="236" t="s">
        <v>980</v>
      </c>
      <c r="G208" s="237">
        <v>2.0</v>
      </c>
      <c r="H208" s="237">
        <v>8.0</v>
      </c>
      <c r="I208" s="237">
        <v>-6.0</v>
      </c>
      <c r="J208" s="237">
        <v>2.0</v>
      </c>
      <c r="K208" s="237">
        <v>8.0</v>
      </c>
      <c r="L208" s="237">
        <v>-6.0</v>
      </c>
      <c r="M208" s="237">
        <v>10.0</v>
      </c>
      <c r="N208" s="237">
        <v>10.0</v>
      </c>
    </row>
    <row r="209">
      <c r="A209" s="236" t="s">
        <v>1313</v>
      </c>
      <c r="B209" s="237">
        <v>6654.0</v>
      </c>
      <c r="C209" s="236" t="s">
        <v>480</v>
      </c>
      <c r="D209" s="236" t="s">
        <v>938</v>
      </c>
      <c r="E209" s="236" t="s">
        <v>1313</v>
      </c>
      <c r="F209" s="236" t="s">
        <v>974</v>
      </c>
      <c r="G209" s="237">
        <v>2.0</v>
      </c>
      <c r="H209" s="237">
        <v>3.0</v>
      </c>
      <c r="I209" s="237">
        <v>-1.0</v>
      </c>
      <c r="J209" s="237">
        <v>2.0</v>
      </c>
      <c r="K209" s="237">
        <v>3.0</v>
      </c>
      <c r="L209" s="237">
        <v>-1.0</v>
      </c>
      <c r="M209" s="237">
        <v>5.0</v>
      </c>
      <c r="N209" s="237">
        <v>5.0</v>
      </c>
    </row>
    <row r="210">
      <c r="A210" s="236" t="s">
        <v>706</v>
      </c>
      <c r="B210" s="237">
        <v>5603.0</v>
      </c>
      <c r="C210" s="236" t="s">
        <v>480</v>
      </c>
      <c r="D210" s="236" t="s">
        <v>481</v>
      </c>
      <c r="E210" s="236" t="s">
        <v>706</v>
      </c>
      <c r="F210" s="236" t="s">
        <v>1033</v>
      </c>
      <c r="G210" s="237">
        <v>2.0</v>
      </c>
      <c r="H210" s="237">
        <v>9.0</v>
      </c>
      <c r="I210" s="237">
        <v>-7.0</v>
      </c>
      <c r="J210" s="237">
        <v>2.0</v>
      </c>
      <c r="K210" s="237">
        <v>9.0</v>
      </c>
      <c r="L210" s="237">
        <v>-7.0</v>
      </c>
      <c r="M210" s="237">
        <v>8.0</v>
      </c>
      <c r="N210" s="237">
        <v>8.0</v>
      </c>
    </row>
    <row r="211">
      <c r="A211" s="236" t="s">
        <v>1102</v>
      </c>
      <c r="B211" s="237">
        <v>6660.0</v>
      </c>
      <c r="C211" s="236" t="s">
        <v>480</v>
      </c>
      <c r="D211" s="236" t="s">
        <v>481</v>
      </c>
      <c r="E211" s="236" t="s">
        <v>1102</v>
      </c>
      <c r="F211" s="236" t="s">
        <v>1233</v>
      </c>
      <c r="G211" s="237">
        <v>2.0</v>
      </c>
      <c r="H211" s="237">
        <v>1.0</v>
      </c>
      <c r="I211" s="237">
        <v>1.0</v>
      </c>
      <c r="J211" s="237">
        <v>2.0</v>
      </c>
      <c r="K211" s="237">
        <v>1.0</v>
      </c>
      <c r="L211" s="237">
        <v>1.0</v>
      </c>
      <c r="M211" s="237">
        <v>6.0</v>
      </c>
      <c r="N211" s="237">
        <v>6.0</v>
      </c>
    </row>
    <row r="212">
      <c r="A212" s="236" t="s">
        <v>795</v>
      </c>
      <c r="B212" s="237">
        <v>6244.0</v>
      </c>
      <c r="C212" s="236" t="s">
        <v>480</v>
      </c>
      <c r="D212" s="236" t="s">
        <v>481</v>
      </c>
      <c r="E212" s="236" t="s">
        <v>795</v>
      </c>
      <c r="F212" s="236" t="s">
        <v>1026</v>
      </c>
      <c r="G212" s="237">
        <v>2.0</v>
      </c>
      <c r="H212" s="237">
        <v>1.0</v>
      </c>
      <c r="I212" s="237">
        <v>1.0</v>
      </c>
      <c r="J212" s="237">
        <v>2.0</v>
      </c>
      <c r="K212" s="237">
        <v>1.0</v>
      </c>
      <c r="L212" s="237">
        <v>1.0</v>
      </c>
      <c r="M212" s="237">
        <v>6.0</v>
      </c>
      <c r="N212" s="237">
        <v>6.0</v>
      </c>
    </row>
    <row r="213">
      <c r="A213" s="236" t="s">
        <v>649</v>
      </c>
      <c r="B213" s="237">
        <v>5812.0</v>
      </c>
      <c r="C213" s="236" t="s">
        <v>480</v>
      </c>
      <c r="D213" s="236" t="s">
        <v>938</v>
      </c>
      <c r="E213" s="236" t="s">
        <v>649</v>
      </c>
      <c r="F213" s="236" t="s">
        <v>991</v>
      </c>
      <c r="G213" s="237">
        <v>2.0</v>
      </c>
      <c r="H213" s="237">
        <v>1.0</v>
      </c>
      <c r="I213" s="237">
        <v>1.0</v>
      </c>
      <c r="J213" s="237">
        <v>2.0</v>
      </c>
      <c r="K213" s="237">
        <v>1.0</v>
      </c>
      <c r="L213" s="237">
        <v>1.0</v>
      </c>
      <c r="M213" s="237">
        <v>9.0</v>
      </c>
      <c r="N213" s="237">
        <v>9.0</v>
      </c>
    </row>
    <row r="214">
      <c r="A214" s="236" t="s">
        <v>1264</v>
      </c>
      <c r="B214" s="237">
        <v>4958.0</v>
      </c>
      <c r="C214" s="236" t="s">
        <v>480</v>
      </c>
      <c r="D214" s="236" t="s">
        <v>1022</v>
      </c>
      <c r="E214" s="236" t="s">
        <v>1264</v>
      </c>
      <c r="F214" s="236" t="s">
        <v>1225</v>
      </c>
      <c r="G214" s="237">
        <v>2.0</v>
      </c>
      <c r="H214" s="237">
        <v>5.0</v>
      </c>
      <c r="I214" s="237">
        <v>-3.0</v>
      </c>
      <c r="J214" s="237">
        <v>2.0</v>
      </c>
      <c r="K214" s="237">
        <v>5.0</v>
      </c>
      <c r="L214" s="237">
        <v>-3.0</v>
      </c>
      <c r="M214" s="237">
        <v>9.0</v>
      </c>
      <c r="N214" s="237">
        <v>11.0</v>
      </c>
    </row>
    <row r="215">
      <c r="A215" s="236" t="s">
        <v>885</v>
      </c>
      <c r="B215" s="237">
        <v>5481.0</v>
      </c>
      <c r="C215" s="236" t="s">
        <v>480</v>
      </c>
      <c r="D215" s="236" t="s">
        <v>521</v>
      </c>
      <c r="E215" s="236" t="s">
        <v>885</v>
      </c>
      <c r="F215" s="236" t="s">
        <v>987</v>
      </c>
      <c r="G215" s="237">
        <v>2.0</v>
      </c>
      <c r="H215" s="237">
        <v>4.0</v>
      </c>
      <c r="I215" s="237">
        <v>-2.0</v>
      </c>
      <c r="J215" s="237">
        <v>2.0</v>
      </c>
      <c r="K215" s="237">
        <v>4.0</v>
      </c>
      <c r="L215" s="237">
        <v>-2.0</v>
      </c>
      <c r="M215" s="237">
        <v>6.0</v>
      </c>
      <c r="N215" s="237">
        <v>6.0</v>
      </c>
    </row>
    <row r="216">
      <c r="A216" s="236" t="s">
        <v>1311</v>
      </c>
      <c r="B216" s="237">
        <v>6647.0</v>
      </c>
      <c r="C216" s="236" t="s">
        <v>480</v>
      </c>
      <c r="D216" s="236" t="s">
        <v>931</v>
      </c>
      <c r="E216" s="236" t="s">
        <v>1311</v>
      </c>
      <c r="F216" s="236" t="s">
        <v>988</v>
      </c>
      <c r="G216" s="237">
        <v>2.0</v>
      </c>
      <c r="H216" s="237">
        <v>3.0</v>
      </c>
      <c r="I216" s="237">
        <v>-1.0</v>
      </c>
      <c r="J216" s="237">
        <v>2.0</v>
      </c>
      <c r="K216" s="237">
        <v>3.0</v>
      </c>
      <c r="L216" s="237">
        <v>-1.0</v>
      </c>
      <c r="M216" s="237">
        <v>6.0</v>
      </c>
      <c r="N216" s="237">
        <v>6.0</v>
      </c>
    </row>
    <row r="217">
      <c r="A217" s="236" t="s">
        <v>1260</v>
      </c>
      <c r="B217" s="237">
        <v>4458.0</v>
      </c>
      <c r="C217" s="236" t="s">
        <v>480</v>
      </c>
      <c r="D217" s="236" t="s">
        <v>938</v>
      </c>
      <c r="E217" s="236" t="s">
        <v>1260</v>
      </c>
      <c r="F217" s="236" t="s">
        <v>1233</v>
      </c>
      <c r="G217" s="237">
        <v>2.0</v>
      </c>
      <c r="H217" s="237">
        <v>5.0</v>
      </c>
      <c r="I217" s="237">
        <v>-3.0</v>
      </c>
      <c r="J217" s="237">
        <v>2.0</v>
      </c>
      <c r="K217" s="237">
        <v>5.0</v>
      </c>
      <c r="L217" s="237">
        <v>-3.0</v>
      </c>
      <c r="M217" s="237">
        <v>7.0</v>
      </c>
      <c r="N217" s="237">
        <v>7.0</v>
      </c>
    </row>
    <row r="218">
      <c r="A218" s="236" t="s">
        <v>1234</v>
      </c>
      <c r="B218" s="237">
        <v>581.0</v>
      </c>
      <c r="C218" s="236" t="s">
        <v>480</v>
      </c>
      <c r="D218" s="236" t="s">
        <v>938</v>
      </c>
      <c r="E218" s="236" t="s">
        <v>1234</v>
      </c>
      <c r="F218" s="236" t="s">
        <v>983</v>
      </c>
      <c r="G218" s="237">
        <v>2.0</v>
      </c>
      <c r="H218" s="237">
        <v>3.0</v>
      </c>
      <c r="I218" s="237">
        <v>-1.0</v>
      </c>
      <c r="J218" s="237">
        <v>2.0</v>
      </c>
      <c r="K218" s="237">
        <v>3.0</v>
      </c>
      <c r="L218" s="237">
        <v>-1.0</v>
      </c>
      <c r="M218" s="237">
        <v>7.0</v>
      </c>
      <c r="N218" s="237">
        <v>7.0</v>
      </c>
    </row>
    <row r="219">
      <c r="A219" s="236" t="s">
        <v>373</v>
      </c>
      <c r="B219" s="237">
        <v>6809.0</v>
      </c>
      <c r="C219" s="236" t="s">
        <v>480</v>
      </c>
      <c r="D219" s="236" t="s">
        <v>481</v>
      </c>
      <c r="E219" s="236" t="s">
        <v>373</v>
      </c>
      <c r="F219" s="236" t="s">
        <v>1222</v>
      </c>
      <c r="G219" s="237">
        <v>2.0</v>
      </c>
      <c r="H219" s="237">
        <v>1.0</v>
      </c>
      <c r="I219" s="237">
        <v>1.0</v>
      </c>
      <c r="J219" s="237">
        <v>2.0</v>
      </c>
      <c r="K219" s="237">
        <v>1.0</v>
      </c>
      <c r="L219" s="237">
        <v>1.0</v>
      </c>
      <c r="M219" s="237">
        <v>3.0</v>
      </c>
      <c r="N219" s="237">
        <v>3.0</v>
      </c>
    </row>
    <row r="220">
      <c r="A220" s="236" t="s">
        <v>1325</v>
      </c>
      <c r="B220" s="237">
        <v>6887.0</v>
      </c>
      <c r="C220" s="236" t="s">
        <v>480</v>
      </c>
      <c r="D220" s="236" t="s">
        <v>481</v>
      </c>
      <c r="E220" s="236" t="s">
        <v>1325</v>
      </c>
      <c r="F220" s="236" t="s">
        <v>985</v>
      </c>
      <c r="G220" s="237">
        <v>2.0</v>
      </c>
      <c r="H220" s="237">
        <v>2.0</v>
      </c>
      <c r="I220" s="237">
        <v>0.0</v>
      </c>
      <c r="J220" s="237">
        <v>2.0</v>
      </c>
      <c r="K220" s="237">
        <v>2.0</v>
      </c>
      <c r="L220" s="237">
        <v>0.0</v>
      </c>
      <c r="M220" s="237">
        <v>7.0</v>
      </c>
      <c r="N220" s="237">
        <v>7.0</v>
      </c>
    </row>
    <row r="221">
      <c r="A221" s="236" t="s">
        <v>1292</v>
      </c>
      <c r="B221" s="237">
        <v>6149.0</v>
      </c>
      <c r="C221" s="236" t="s">
        <v>480</v>
      </c>
      <c r="D221" s="236" t="s">
        <v>931</v>
      </c>
      <c r="E221" s="236" t="s">
        <v>1292</v>
      </c>
      <c r="F221" s="236" t="s">
        <v>1233</v>
      </c>
      <c r="G221" s="237">
        <v>2.0</v>
      </c>
      <c r="H221" s="237">
        <v>2.0</v>
      </c>
      <c r="I221" s="237">
        <v>0.0</v>
      </c>
      <c r="J221" s="237">
        <v>2.0</v>
      </c>
      <c r="K221" s="237">
        <v>2.0</v>
      </c>
      <c r="L221" s="237">
        <v>0.0</v>
      </c>
      <c r="M221" s="237">
        <v>7.0</v>
      </c>
      <c r="N221" s="237">
        <v>7.0</v>
      </c>
    </row>
    <row r="222">
      <c r="A222" s="236" t="s">
        <v>241</v>
      </c>
      <c r="B222" s="237">
        <v>6496.0</v>
      </c>
      <c r="C222" s="236" t="s">
        <v>480</v>
      </c>
      <c r="D222" s="236" t="s">
        <v>931</v>
      </c>
      <c r="E222" s="236" t="s">
        <v>241</v>
      </c>
      <c r="F222" s="236" t="s">
        <v>991</v>
      </c>
      <c r="G222" s="237">
        <v>2.0</v>
      </c>
      <c r="H222" s="237">
        <v>1.0</v>
      </c>
      <c r="I222" s="237">
        <v>1.0</v>
      </c>
      <c r="J222" s="237">
        <v>2.0</v>
      </c>
      <c r="K222" s="237">
        <v>1.0</v>
      </c>
      <c r="L222" s="237">
        <v>1.0</v>
      </c>
      <c r="M222" s="237">
        <v>1.0</v>
      </c>
      <c r="N222" s="237">
        <v>1.0</v>
      </c>
    </row>
    <row r="223">
      <c r="A223" s="236" t="s">
        <v>978</v>
      </c>
      <c r="B223" s="237">
        <v>6916.0</v>
      </c>
      <c r="C223" s="236" t="s">
        <v>480</v>
      </c>
      <c r="D223" s="236" t="s">
        <v>979</v>
      </c>
      <c r="E223" s="236" t="s">
        <v>978</v>
      </c>
      <c r="F223" s="236" t="s">
        <v>1026</v>
      </c>
      <c r="G223" s="237">
        <v>2.0</v>
      </c>
      <c r="H223" s="237">
        <v>1.0</v>
      </c>
      <c r="I223" s="237">
        <v>1.0</v>
      </c>
      <c r="J223" s="237">
        <v>2.0</v>
      </c>
      <c r="K223" s="237">
        <v>1.0</v>
      </c>
      <c r="L223" s="237">
        <v>1.0</v>
      </c>
      <c r="M223" s="237">
        <v>5.0</v>
      </c>
      <c r="N223" s="237">
        <v>5.0</v>
      </c>
    </row>
    <row r="224">
      <c r="A224" s="236" t="s">
        <v>1203</v>
      </c>
      <c r="B224" s="237">
        <v>6957.0</v>
      </c>
      <c r="C224" s="236" t="s">
        <v>480</v>
      </c>
      <c r="D224" s="236" t="s">
        <v>481</v>
      </c>
      <c r="E224" s="236" t="s">
        <v>1203</v>
      </c>
      <c r="F224" s="236" t="s">
        <v>1033</v>
      </c>
      <c r="G224" s="237">
        <v>2.0</v>
      </c>
      <c r="H224" s="237">
        <v>3.0</v>
      </c>
      <c r="I224" s="237">
        <v>-1.0</v>
      </c>
      <c r="J224" s="237">
        <v>2.0</v>
      </c>
      <c r="K224" s="237">
        <v>3.0</v>
      </c>
      <c r="L224" s="237">
        <v>-1.0</v>
      </c>
      <c r="M224" s="237">
        <v>7.0</v>
      </c>
      <c r="N224" s="237">
        <v>7.0</v>
      </c>
    </row>
    <row r="225">
      <c r="A225" s="236" t="s">
        <v>1021</v>
      </c>
      <c r="B225" s="237">
        <v>6985.0</v>
      </c>
      <c r="C225" s="236" t="s">
        <v>480</v>
      </c>
      <c r="D225" s="236" t="s">
        <v>1022</v>
      </c>
      <c r="E225" s="236" t="s">
        <v>1021</v>
      </c>
      <c r="F225" s="236" t="s">
        <v>1233</v>
      </c>
      <c r="G225" s="237">
        <v>2.0</v>
      </c>
      <c r="H225" s="237">
        <v>1.0</v>
      </c>
      <c r="I225" s="237">
        <v>1.0</v>
      </c>
      <c r="J225" s="237">
        <v>2.0</v>
      </c>
      <c r="K225" s="237">
        <v>1.0</v>
      </c>
      <c r="L225" s="237">
        <v>1.0</v>
      </c>
      <c r="M225" s="237">
        <v>7.0</v>
      </c>
      <c r="N225" s="237">
        <v>7.0</v>
      </c>
    </row>
    <row r="226">
      <c r="A226" s="236" t="s">
        <v>1139</v>
      </c>
      <c r="B226" s="237">
        <v>6992.0</v>
      </c>
      <c r="C226" s="236" t="s">
        <v>480</v>
      </c>
      <c r="D226" s="236" t="s">
        <v>1019</v>
      </c>
      <c r="E226" s="236" t="s">
        <v>1139</v>
      </c>
      <c r="F226" s="236" t="s">
        <v>983</v>
      </c>
      <c r="G226" s="237">
        <v>2.0</v>
      </c>
      <c r="H226" s="237">
        <v>2.0</v>
      </c>
      <c r="I226" s="237">
        <v>0.0</v>
      </c>
      <c r="J226" s="237">
        <v>3.0</v>
      </c>
      <c r="K226" s="237">
        <v>3.0</v>
      </c>
      <c r="L226" s="237">
        <v>0.0</v>
      </c>
      <c r="M226" s="237">
        <v>4.0</v>
      </c>
      <c r="N226" s="237">
        <v>6.0</v>
      </c>
    </row>
    <row r="227">
      <c r="A227" s="236" t="s">
        <v>1210</v>
      </c>
      <c r="B227" s="237">
        <v>6990.0</v>
      </c>
      <c r="C227" s="236" t="s">
        <v>480</v>
      </c>
      <c r="D227" s="236" t="s">
        <v>938</v>
      </c>
      <c r="E227" s="236" t="s">
        <v>1210</v>
      </c>
      <c r="F227" s="236" t="s">
        <v>998</v>
      </c>
      <c r="G227" s="237">
        <v>2.0</v>
      </c>
      <c r="H227" s="237">
        <v>2.0</v>
      </c>
      <c r="I227" s="237">
        <v>0.0</v>
      </c>
      <c r="J227" s="237">
        <v>2.0</v>
      </c>
      <c r="K227" s="237">
        <v>2.0</v>
      </c>
      <c r="L227" s="237">
        <v>0.0</v>
      </c>
      <c r="M227" s="237">
        <v>3.0</v>
      </c>
      <c r="N227" s="237">
        <v>3.0</v>
      </c>
    </row>
    <row r="228">
      <c r="A228" s="236" t="s">
        <v>1540</v>
      </c>
      <c r="B228" s="237">
        <v>6993.0</v>
      </c>
      <c r="C228" s="236" t="s">
        <v>480</v>
      </c>
      <c r="D228" s="236" t="s">
        <v>481</v>
      </c>
      <c r="E228" s="236" t="s">
        <v>1540</v>
      </c>
      <c r="F228" s="236" t="s">
        <v>1225</v>
      </c>
      <c r="G228" s="237">
        <v>2.0</v>
      </c>
      <c r="H228" s="237">
        <v>2.0</v>
      </c>
      <c r="I228" s="237">
        <v>0.0</v>
      </c>
      <c r="J228" s="237">
        <v>2.0</v>
      </c>
      <c r="K228" s="237">
        <v>2.0</v>
      </c>
      <c r="L228" s="237">
        <v>0.0</v>
      </c>
      <c r="M228" s="237">
        <v>3.0</v>
      </c>
      <c r="N228" s="237">
        <v>3.0</v>
      </c>
    </row>
    <row r="229">
      <c r="A229" s="236" t="s">
        <v>1236</v>
      </c>
      <c r="B229" s="237">
        <v>695.0</v>
      </c>
      <c r="C229" s="236" t="s">
        <v>480</v>
      </c>
      <c r="D229" s="236" t="s">
        <v>481</v>
      </c>
      <c r="E229" s="236" t="s">
        <v>1236</v>
      </c>
      <c r="F229" s="236" t="s">
        <v>980</v>
      </c>
      <c r="G229" s="237">
        <v>1.0</v>
      </c>
      <c r="H229" s="237">
        <v>4.0</v>
      </c>
      <c r="I229" s="237">
        <v>-3.0</v>
      </c>
      <c r="J229" s="237">
        <v>1.0</v>
      </c>
      <c r="K229" s="237">
        <v>4.0</v>
      </c>
      <c r="L229" s="237">
        <v>-3.0</v>
      </c>
      <c r="M229" s="237">
        <v>7.0</v>
      </c>
      <c r="N229" s="237">
        <v>7.0</v>
      </c>
    </row>
    <row r="230">
      <c r="A230" s="236" t="s">
        <v>1259</v>
      </c>
      <c r="B230" s="237">
        <v>4386.0</v>
      </c>
      <c r="C230" s="236" t="s">
        <v>480</v>
      </c>
      <c r="D230" s="236" t="s">
        <v>931</v>
      </c>
      <c r="E230" s="236" t="s">
        <v>1259</v>
      </c>
      <c r="F230" s="236" t="s">
        <v>974</v>
      </c>
      <c r="G230" s="237">
        <v>1.0</v>
      </c>
      <c r="H230" s="237">
        <v>2.0</v>
      </c>
      <c r="I230" s="237">
        <v>-1.0</v>
      </c>
      <c r="J230" s="237">
        <v>1.0</v>
      </c>
      <c r="K230" s="237">
        <v>2.0</v>
      </c>
      <c r="L230" s="237">
        <v>-1.0</v>
      </c>
      <c r="M230" s="237">
        <v>5.0</v>
      </c>
      <c r="N230" s="237">
        <v>5.0</v>
      </c>
    </row>
    <row r="231">
      <c r="A231" s="236" t="s">
        <v>1272</v>
      </c>
      <c r="B231" s="237">
        <v>5480.0</v>
      </c>
      <c r="C231" s="236" t="s">
        <v>480</v>
      </c>
      <c r="D231" s="236" t="s">
        <v>938</v>
      </c>
      <c r="E231" s="236" t="s">
        <v>1272</v>
      </c>
      <c r="F231" s="236" t="s">
        <v>1222</v>
      </c>
      <c r="G231" s="237">
        <v>1.0</v>
      </c>
      <c r="H231" s="237">
        <v>4.0</v>
      </c>
      <c r="I231" s="237">
        <v>-3.0</v>
      </c>
      <c r="J231" s="237">
        <v>1.0</v>
      </c>
      <c r="K231" s="237">
        <v>4.0</v>
      </c>
      <c r="L231" s="237">
        <v>-3.0</v>
      </c>
      <c r="M231" s="237">
        <v>6.0</v>
      </c>
      <c r="N231" s="237">
        <v>6.0</v>
      </c>
    </row>
    <row r="232">
      <c r="A232" s="236" t="s">
        <v>861</v>
      </c>
      <c r="B232" s="237">
        <v>5498.0</v>
      </c>
      <c r="C232" s="236" t="s">
        <v>480</v>
      </c>
      <c r="D232" s="236" t="s">
        <v>481</v>
      </c>
      <c r="E232" s="236" t="s">
        <v>861</v>
      </c>
      <c r="F232" s="236" t="s">
        <v>1009</v>
      </c>
      <c r="G232" s="237">
        <v>1.0</v>
      </c>
      <c r="H232" s="237">
        <v>8.0</v>
      </c>
      <c r="I232" s="237">
        <v>-7.0</v>
      </c>
      <c r="J232" s="237">
        <v>1.0</v>
      </c>
      <c r="K232" s="237">
        <v>8.0</v>
      </c>
      <c r="L232" s="237">
        <v>-7.0</v>
      </c>
      <c r="M232" s="237">
        <v>10.0</v>
      </c>
      <c r="N232" s="237">
        <v>10.0</v>
      </c>
    </row>
    <row r="233">
      <c r="A233" s="236" t="s">
        <v>791</v>
      </c>
      <c r="B233" s="237">
        <v>6638.0</v>
      </c>
      <c r="C233" s="236" t="s">
        <v>480</v>
      </c>
      <c r="D233" s="236" t="s">
        <v>481</v>
      </c>
      <c r="E233" s="236" t="s">
        <v>791</v>
      </c>
      <c r="F233" s="236" t="s">
        <v>987</v>
      </c>
      <c r="G233" s="237">
        <v>1.0</v>
      </c>
      <c r="H233" s="237">
        <v>8.0</v>
      </c>
      <c r="I233" s="237">
        <v>-7.0</v>
      </c>
      <c r="J233" s="237">
        <v>1.0</v>
      </c>
      <c r="K233" s="237">
        <v>8.0</v>
      </c>
      <c r="L233" s="237">
        <v>-7.0</v>
      </c>
      <c r="M233" s="237">
        <v>5.0</v>
      </c>
      <c r="N233" s="237">
        <v>5.0</v>
      </c>
    </row>
    <row r="234">
      <c r="A234" s="236" t="s">
        <v>715</v>
      </c>
      <c r="B234" s="237">
        <v>6663.0</v>
      </c>
      <c r="C234" s="236" t="s">
        <v>480</v>
      </c>
      <c r="D234" s="236" t="s">
        <v>481</v>
      </c>
      <c r="E234" s="236" t="s">
        <v>715</v>
      </c>
      <c r="F234" s="236" t="s">
        <v>985</v>
      </c>
      <c r="G234" s="237">
        <v>1.0</v>
      </c>
      <c r="H234" s="237">
        <v>5.0</v>
      </c>
      <c r="I234" s="237">
        <v>-4.0</v>
      </c>
      <c r="J234" s="237">
        <v>1.0</v>
      </c>
      <c r="K234" s="237">
        <v>5.0</v>
      </c>
      <c r="L234" s="237">
        <v>-4.0</v>
      </c>
      <c r="M234" s="237">
        <v>9.0</v>
      </c>
      <c r="N234" s="237">
        <v>9.0</v>
      </c>
    </row>
    <row r="235">
      <c r="A235" s="236" t="s">
        <v>1268</v>
      </c>
      <c r="B235" s="237">
        <v>5327.0</v>
      </c>
      <c r="C235" s="236" t="s">
        <v>480</v>
      </c>
      <c r="D235" s="236" t="s">
        <v>481</v>
      </c>
      <c r="E235" s="236" t="s">
        <v>1268</v>
      </c>
      <c r="F235" s="236" t="s">
        <v>985</v>
      </c>
      <c r="G235" s="237">
        <v>1.0</v>
      </c>
      <c r="H235" s="237">
        <v>4.0</v>
      </c>
      <c r="I235" s="237">
        <v>-3.0</v>
      </c>
      <c r="J235" s="237">
        <v>1.0</v>
      </c>
      <c r="K235" s="237">
        <v>4.0</v>
      </c>
      <c r="L235" s="237">
        <v>-3.0</v>
      </c>
      <c r="M235" s="237">
        <v>6.0</v>
      </c>
      <c r="N235" s="237">
        <v>6.0</v>
      </c>
    </row>
    <row r="236">
      <c r="A236" s="236" t="s">
        <v>1249</v>
      </c>
      <c r="B236" s="237">
        <v>2203.0</v>
      </c>
      <c r="C236" s="236" t="s">
        <v>480</v>
      </c>
      <c r="D236" s="236" t="s">
        <v>931</v>
      </c>
      <c r="E236" s="236" t="s">
        <v>1249</v>
      </c>
      <c r="F236" s="236" t="s">
        <v>985</v>
      </c>
      <c r="G236" s="237">
        <v>1.0</v>
      </c>
      <c r="H236" s="237">
        <v>1.0</v>
      </c>
      <c r="I236" s="237">
        <v>0.0</v>
      </c>
      <c r="J236" s="237">
        <v>1.0</v>
      </c>
      <c r="K236" s="237">
        <v>1.0</v>
      </c>
      <c r="L236" s="237">
        <v>0.0</v>
      </c>
      <c r="M236" s="237">
        <v>1.0</v>
      </c>
      <c r="N236" s="237">
        <v>1.0</v>
      </c>
    </row>
    <row r="237">
      <c r="A237" s="236" t="s">
        <v>871</v>
      </c>
      <c r="B237" s="237">
        <v>6649.0</v>
      </c>
      <c r="C237" s="236" t="s">
        <v>480</v>
      </c>
      <c r="D237" s="236" t="s">
        <v>938</v>
      </c>
      <c r="E237" s="236" t="s">
        <v>871</v>
      </c>
      <c r="F237" s="236" t="s">
        <v>988</v>
      </c>
      <c r="G237" s="237">
        <v>1.0</v>
      </c>
      <c r="H237" s="237">
        <v>1.0</v>
      </c>
      <c r="I237" s="237">
        <v>0.0</v>
      </c>
      <c r="J237" s="237">
        <v>1.0</v>
      </c>
      <c r="K237" s="237">
        <v>1.0</v>
      </c>
      <c r="L237" s="237">
        <v>0.0</v>
      </c>
      <c r="M237" s="237">
        <v>1.0</v>
      </c>
      <c r="N237" s="237">
        <v>1.0</v>
      </c>
    </row>
    <row r="238">
      <c r="A238" s="236" t="s">
        <v>1300</v>
      </c>
      <c r="B238" s="237">
        <v>6474.0</v>
      </c>
      <c r="C238" s="236" t="s">
        <v>480</v>
      </c>
      <c r="D238" s="236" t="s">
        <v>481</v>
      </c>
      <c r="E238" s="236" t="s">
        <v>1300</v>
      </c>
      <c r="F238" s="236" t="s">
        <v>1222</v>
      </c>
      <c r="G238" s="237">
        <v>1.0</v>
      </c>
      <c r="H238" s="237">
        <v>1.0</v>
      </c>
      <c r="I238" s="237">
        <v>0.0</v>
      </c>
      <c r="J238" s="237">
        <v>1.0</v>
      </c>
      <c r="K238" s="237">
        <v>1.0</v>
      </c>
      <c r="L238" s="237">
        <v>0.0</v>
      </c>
      <c r="M238" s="237">
        <v>4.0</v>
      </c>
      <c r="N238" s="237">
        <v>4.0</v>
      </c>
    </row>
    <row r="239">
      <c r="A239" s="236" t="s">
        <v>1174</v>
      </c>
      <c r="B239" s="237">
        <v>6041.0</v>
      </c>
      <c r="C239" s="236" t="s">
        <v>480</v>
      </c>
      <c r="D239" s="236" t="s">
        <v>481</v>
      </c>
      <c r="E239" s="236" t="s">
        <v>1174</v>
      </c>
      <c r="F239" s="236" t="s">
        <v>972</v>
      </c>
      <c r="G239" s="237">
        <v>1.0</v>
      </c>
      <c r="H239" s="237">
        <v>7.0</v>
      </c>
      <c r="I239" s="237">
        <v>-6.0</v>
      </c>
      <c r="J239" s="237">
        <v>1.0</v>
      </c>
      <c r="K239" s="237">
        <v>7.0</v>
      </c>
      <c r="L239" s="237">
        <v>-6.0</v>
      </c>
      <c r="M239" s="237">
        <v>7.0</v>
      </c>
      <c r="N239" s="237">
        <v>7.0</v>
      </c>
    </row>
    <row r="240">
      <c r="A240" s="236" t="s">
        <v>1296</v>
      </c>
      <c r="B240" s="237">
        <v>6284.0</v>
      </c>
      <c r="C240" s="236" t="s">
        <v>480</v>
      </c>
      <c r="D240" s="236" t="s">
        <v>481</v>
      </c>
      <c r="E240" s="236" t="s">
        <v>1296</v>
      </c>
      <c r="F240" s="236" t="s">
        <v>983</v>
      </c>
      <c r="G240" s="237">
        <v>1.0</v>
      </c>
      <c r="H240" s="237">
        <v>2.0</v>
      </c>
      <c r="I240" s="237">
        <v>-1.0</v>
      </c>
      <c r="J240" s="237">
        <v>1.0</v>
      </c>
      <c r="K240" s="237">
        <v>2.0</v>
      </c>
      <c r="L240" s="237">
        <v>-1.0</v>
      </c>
      <c r="M240" s="237">
        <v>3.0</v>
      </c>
      <c r="N240" s="237">
        <v>3.0</v>
      </c>
    </row>
    <row r="241">
      <c r="A241" s="236" t="s">
        <v>812</v>
      </c>
      <c r="B241" s="237">
        <v>6639.0</v>
      </c>
      <c r="C241" s="236" t="s">
        <v>480</v>
      </c>
      <c r="D241" s="236" t="s">
        <v>931</v>
      </c>
      <c r="E241" s="236" t="s">
        <v>812</v>
      </c>
      <c r="F241" s="236" t="s">
        <v>983</v>
      </c>
      <c r="G241" s="237">
        <v>1.0</v>
      </c>
      <c r="H241" s="237">
        <v>5.0</v>
      </c>
      <c r="I241" s="237">
        <v>-4.0</v>
      </c>
      <c r="J241" s="237">
        <v>1.0</v>
      </c>
      <c r="K241" s="237">
        <v>5.0</v>
      </c>
      <c r="L241" s="237">
        <v>-4.0</v>
      </c>
      <c r="M241" s="237">
        <v>5.0</v>
      </c>
      <c r="N241" s="237">
        <v>5.0</v>
      </c>
    </row>
    <row r="242">
      <c r="A242" s="236" t="s">
        <v>1321</v>
      </c>
      <c r="B242" s="237">
        <v>6681.0</v>
      </c>
      <c r="C242" s="236" t="s">
        <v>480</v>
      </c>
      <c r="D242" s="236" t="s">
        <v>938</v>
      </c>
      <c r="E242" s="236" t="s">
        <v>1321</v>
      </c>
      <c r="F242" s="236" t="s">
        <v>1233</v>
      </c>
      <c r="G242" s="237">
        <v>1.0</v>
      </c>
      <c r="H242" s="237">
        <v>1.0</v>
      </c>
      <c r="I242" s="237">
        <v>0.0</v>
      </c>
      <c r="J242" s="237">
        <v>1.0</v>
      </c>
      <c r="K242" s="237">
        <v>1.0</v>
      </c>
      <c r="L242" s="237">
        <v>0.0</v>
      </c>
      <c r="M242" s="237">
        <v>4.0</v>
      </c>
      <c r="N242" s="237">
        <v>4.0</v>
      </c>
    </row>
    <row r="243">
      <c r="A243" s="236" t="s">
        <v>174</v>
      </c>
      <c r="B243" s="237">
        <v>6803.0</v>
      </c>
      <c r="C243" s="236" t="s">
        <v>480</v>
      </c>
      <c r="D243" s="236" t="s">
        <v>931</v>
      </c>
      <c r="E243" s="236" t="s">
        <v>174</v>
      </c>
      <c r="F243" s="236" t="s">
        <v>976</v>
      </c>
      <c r="G243" s="237">
        <v>1.0</v>
      </c>
      <c r="H243" s="237">
        <v>1.0</v>
      </c>
      <c r="I243" s="237">
        <v>0.0</v>
      </c>
      <c r="J243" s="237">
        <v>1.0</v>
      </c>
      <c r="K243" s="237">
        <v>1.0</v>
      </c>
      <c r="L243" s="237">
        <v>0.0</v>
      </c>
      <c r="M243" s="237">
        <v>6.0</v>
      </c>
      <c r="N243" s="237">
        <v>6.0</v>
      </c>
    </row>
    <row r="244">
      <c r="A244" s="236" t="s">
        <v>1127</v>
      </c>
      <c r="B244" s="237">
        <v>6814.0</v>
      </c>
      <c r="C244" s="236" t="s">
        <v>480</v>
      </c>
      <c r="D244" s="236" t="s">
        <v>938</v>
      </c>
      <c r="E244" s="236" t="s">
        <v>1127</v>
      </c>
      <c r="F244" s="236" t="s">
        <v>1026</v>
      </c>
      <c r="G244" s="237">
        <v>1.0</v>
      </c>
      <c r="H244" s="237">
        <v>4.0</v>
      </c>
      <c r="I244" s="237">
        <v>-3.0</v>
      </c>
      <c r="J244" s="237">
        <v>1.0</v>
      </c>
      <c r="K244" s="237">
        <v>4.0</v>
      </c>
      <c r="L244" s="237">
        <v>-3.0</v>
      </c>
      <c r="M244" s="237">
        <v>6.0</v>
      </c>
      <c r="N244" s="237">
        <v>6.0</v>
      </c>
    </row>
    <row r="245">
      <c r="A245" s="236" t="s">
        <v>1324</v>
      </c>
      <c r="B245" s="237">
        <v>6826.0</v>
      </c>
      <c r="C245" s="236" t="s">
        <v>480</v>
      </c>
      <c r="D245" s="236" t="s">
        <v>521</v>
      </c>
      <c r="E245" s="236" t="s">
        <v>1324</v>
      </c>
      <c r="F245" s="236" t="s">
        <v>972</v>
      </c>
      <c r="G245" s="237">
        <v>1.0</v>
      </c>
      <c r="H245" s="237">
        <v>1.0</v>
      </c>
      <c r="I245" s="237">
        <v>0.0</v>
      </c>
      <c r="J245" s="237">
        <v>1.0</v>
      </c>
      <c r="K245" s="237">
        <v>1.0</v>
      </c>
      <c r="L245" s="237">
        <v>0.0</v>
      </c>
      <c r="M245" s="237">
        <v>3.0</v>
      </c>
      <c r="N245" s="237">
        <v>3.0</v>
      </c>
    </row>
    <row r="246">
      <c r="A246" s="236" t="s">
        <v>1141</v>
      </c>
      <c r="B246" s="237">
        <v>6832.0</v>
      </c>
      <c r="C246" s="236" t="s">
        <v>480</v>
      </c>
      <c r="D246" s="236" t="s">
        <v>521</v>
      </c>
      <c r="E246" s="236" t="s">
        <v>1141</v>
      </c>
      <c r="F246" s="236" t="s">
        <v>980</v>
      </c>
      <c r="G246" s="237">
        <v>1.0</v>
      </c>
      <c r="H246" s="237">
        <v>1.0</v>
      </c>
      <c r="I246" s="237">
        <v>0.0</v>
      </c>
      <c r="J246" s="237">
        <v>1.0</v>
      </c>
      <c r="K246" s="237">
        <v>1.0</v>
      </c>
      <c r="L246" s="237">
        <v>0.0</v>
      </c>
      <c r="M246" s="237">
        <v>4.0</v>
      </c>
      <c r="N246" s="237">
        <v>4.0</v>
      </c>
    </row>
    <row r="247">
      <c r="A247" s="236" t="s">
        <v>1327</v>
      </c>
      <c r="B247" s="237">
        <v>6892.0</v>
      </c>
      <c r="C247" s="236" t="s">
        <v>480</v>
      </c>
      <c r="D247" s="236" t="s">
        <v>937</v>
      </c>
      <c r="E247" s="236" t="s">
        <v>1327</v>
      </c>
      <c r="F247" s="236" t="s">
        <v>1233</v>
      </c>
      <c r="G247" s="237">
        <v>1.0</v>
      </c>
      <c r="H247" s="237">
        <v>3.0</v>
      </c>
      <c r="I247" s="237">
        <v>-2.0</v>
      </c>
      <c r="J247" s="237">
        <v>1.0</v>
      </c>
      <c r="K247" s="237">
        <v>3.0</v>
      </c>
      <c r="L247" s="237">
        <v>-2.0</v>
      </c>
      <c r="M247" s="237">
        <v>4.0</v>
      </c>
      <c r="N247" s="237">
        <v>6.0</v>
      </c>
    </row>
    <row r="248">
      <c r="A248" s="236" t="s">
        <v>737</v>
      </c>
      <c r="B248" s="237">
        <v>6890.0</v>
      </c>
      <c r="C248" s="236" t="s">
        <v>480</v>
      </c>
      <c r="D248" s="236" t="s">
        <v>481</v>
      </c>
      <c r="E248" s="236" t="s">
        <v>737</v>
      </c>
      <c r="F248" s="236" t="s">
        <v>1033</v>
      </c>
      <c r="G248" s="237">
        <v>1.0</v>
      </c>
      <c r="H248" s="237">
        <v>4.0</v>
      </c>
      <c r="I248" s="237">
        <v>-3.0</v>
      </c>
      <c r="J248" s="237">
        <v>1.0</v>
      </c>
      <c r="K248" s="237">
        <v>4.0</v>
      </c>
      <c r="L248" s="237">
        <v>-3.0</v>
      </c>
      <c r="M248" s="237">
        <v>5.0</v>
      </c>
      <c r="N248" s="237">
        <v>5.0</v>
      </c>
    </row>
    <row r="249">
      <c r="A249" s="236" t="s">
        <v>1248</v>
      </c>
      <c r="B249" s="237">
        <v>2192.0</v>
      </c>
      <c r="C249" s="236" t="s">
        <v>480</v>
      </c>
      <c r="D249" s="236" t="s">
        <v>481</v>
      </c>
      <c r="E249" s="236" t="s">
        <v>1248</v>
      </c>
      <c r="F249" s="236" t="s">
        <v>998</v>
      </c>
      <c r="G249" s="237">
        <v>1.0</v>
      </c>
      <c r="H249" s="237">
        <v>2.0</v>
      </c>
      <c r="I249" s="237">
        <v>-1.0</v>
      </c>
      <c r="J249" s="237">
        <v>1.0</v>
      </c>
      <c r="K249" s="237">
        <v>2.0</v>
      </c>
      <c r="L249" s="237">
        <v>-1.0</v>
      </c>
      <c r="M249" s="237">
        <v>6.0</v>
      </c>
      <c r="N249" s="237">
        <v>6.0</v>
      </c>
    </row>
    <row r="250">
      <c r="A250" s="236" t="s">
        <v>798</v>
      </c>
      <c r="B250" s="237">
        <v>6874.0</v>
      </c>
      <c r="C250" s="236" t="s">
        <v>480</v>
      </c>
      <c r="D250" s="236" t="s">
        <v>481</v>
      </c>
      <c r="E250" s="236" t="s">
        <v>798</v>
      </c>
      <c r="F250" s="236" t="s">
        <v>1225</v>
      </c>
      <c r="G250" s="237">
        <v>1.0</v>
      </c>
      <c r="H250" s="237">
        <v>3.0</v>
      </c>
      <c r="I250" s="237">
        <v>-2.0</v>
      </c>
      <c r="J250" s="237">
        <v>1.0</v>
      </c>
      <c r="K250" s="237">
        <v>3.0</v>
      </c>
      <c r="L250" s="237">
        <v>-2.0</v>
      </c>
      <c r="M250" s="237">
        <v>7.0</v>
      </c>
      <c r="N250" s="237">
        <v>7.0</v>
      </c>
    </row>
    <row r="251">
      <c r="A251" s="236" t="s">
        <v>1284</v>
      </c>
      <c r="B251" s="237">
        <v>5856.0</v>
      </c>
      <c r="C251" s="236" t="s">
        <v>480</v>
      </c>
      <c r="D251" s="236" t="s">
        <v>938</v>
      </c>
      <c r="E251" s="236" t="s">
        <v>1284</v>
      </c>
      <c r="F251" s="236" t="s">
        <v>1222</v>
      </c>
      <c r="G251" s="237">
        <v>1.0</v>
      </c>
      <c r="H251" s="237">
        <v>2.0</v>
      </c>
      <c r="I251" s="237">
        <v>-1.0</v>
      </c>
      <c r="J251" s="237">
        <v>1.0</v>
      </c>
      <c r="K251" s="237">
        <v>2.0</v>
      </c>
      <c r="L251" s="237">
        <v>-1.0</v>
      </c>
      <c r="M251" s="237">
        <v>3.0</v>
      </c>
      <c r="N251" s="237">
        <v>3.0</v>
      </c>
    </row>
    <row r="252">
      <c r="A252" s="236" t="s">
        <v>1397</v>
      </c>
      <c r="B252" s="237">
        <v>464.0</v>
      </c>
      <c r="C252" s="236" t="s">
        <v>480</v>
      </c>
      <c r="D252" s="236" t="s">
        <v>944</v>
      </c>
      <c r="E252" s="236" t="s">
        <v>1397</v>
      </c>
      <c r="F252" s="236" t="s">
        <v>991</v>
      </c>
      <c r="G252" s="237">
        <v>1.0</v>
      </c>
      <c r="H252" s="237">
        <v>1.0</v>
      </c>
      <c r="I252" s="237">
        <v>0.0</v>
      </c>
      <c r="J252" s="237">
        <v>1.0</v>
      </c>
      <c r="K252" s="237">
        <v>1.0</v>
      </c>
      <c r="L252" s="237">
        <v>0.0</v>
      </c>
      <c r="M252" s="237">
        <v>1.0</v>
      </c>
      <c r="N252" s="237">
        <v>1.0</v>
      </c>
    </row>
    <row r="253">
      <c r="A253" s="236" t="s">
        <v>1541</v>
      </c>
      <c r="B253" s="237">
        <v>6944.0</v>
      </c>
      <c r="C253" s="236" t="s">
        <v>480</v>
      </c>
      <c r="D253" s="236" t="s">
        <v>1022</v>
      </c>
      <c r="E253" s="236" t="s">
        <v>1541</v>
      </c>
      <c r="F253" s="236" t="s">
        <v>974</v>
      </c>
      <c r="G253" s="237">
        <v>1.0</v>
      </c>
      <c r="H253" s="237">
        <v>1.0</v>
      </c>
      <c r="I253" s="237">
        <v>0.0</v>
      </c>
      <c r="J253" s="237">
        <v>1.0</v>
      </c>
      <c r="K253" s="237">
        <v>1.0</v>
      </c>
      <c r="L253" s="237">
        <v>0.0</v>
      </c>
      <c r="M253" s="237">
        <v>1.0</v>
      </c>
      <c r="N253" s="237">
        <v>1.0</v>
      </c>
    </row>
    <row r="254">
      <c r="A254" s="236" t="s">
        <v>1542</v>
      </c>
      <c r="B254" s="237">
        <v>6978.0</v>
      </c>
      <c r="C254" s="236" t="s">
        <v>480</v>
      </c>
      <c r="D254" s="236" t="s">
        <v>481</v>
      </c>
      <c r="E254" s="236" t="s">
        <v>1542</v>
      </c>
      <c r="F254" s="236" t="s">
        <v>1225</v>
      </c>
      <c r="G254" s="237">
        <v>1.0</v>
      </c>
      <c r="H254" s="237">
        <v>1.0</v>
      </c>
      <c r="I254" s="237">
        <v>0.0</v>
      </c>
      <c r="J254" s="237">
        <v>1.0</v>
      </c>
      <c r="K254" s="237">
        <v>1.0</v>
      </c>
      <c r="L254" s="237">
        <v>0.0</v>
      </c>
      <c r="M254" s="237">
        <v>4.0</v>
      </c>
      <c r="N254" s="237">
        <v>4.0</v>
      </c>
    </row>
    <row r="255">
      <c r="A255" s="236" t="s">
        <v>1196</v>
      </c>
      <c r="B255" s="237">
        <v>6989.0</v>
      </c>
      <c r="C255" s="236" t="s">
        <v>480</v>
      </c>
      <c r="D255" s="236" t="s">
        <v>481</v>
      </c>
      <c r="E255" s="236" t="s">
        <v>1196</v>
      </c>
      <c r="F255" s="236" t="s">
        <v>998</v>
      </c>
      <c r="G255" s="237">
        <v>1.0</v>
      </c>
      <c r="H255" s="237">
        <v>1.0</v>
      </c>
      <c r="I255" s="237">
        <v>0.0</v>
      </c>
      <c r="J255" s="237">
        <v>1.0</v>
      </c>
      <c r="K255" s="237">
        <v>1.0</v>
      </c>
      <c r="L255" s="237">
        <v>0.0</v>
      </c>
      <c r="M255" s="237">
        <v>1.0</v>
      </c>
      <c r="N255" s="237">
        <v>1.0</v>
      </c>
    </row>
    <row r="256">
      <c r="A256" s="236" t="s">
        <v>125</v>
      </c>
      <c r="B256" s="237">
        <v>2423.0</v>
      </c>
      <c r="C256" s="236" t="s">
        <v>492</v>
      </c>
      <c r="D256" s="236" t="s">
        <v>947</v>
      </c>
      <c r="E256" s="236" t="s">
        <v>125</v>
      </c>
      <c r="F256" s="236" t="s">
        <v>991</v>
      </c>
      <c r="G256" s="237">
        <v>30.0</v>
      </c>
      <c r="H256" s="237">
        <v>30.0</v>
      </c>
      <c r="I256" s="237">
        <v>0.0</v>
      </c>
      <c r="J256" s="237">
        <v>30.0</v>
      </c>
      <c r="K256" s="237">
        <v>29.0</v>
      </c>
      <c r="L256" s="237">
        <v>1.0</v>
      </c>
      <c r="M256" s="237">
        <v>184.0</v>
      </c>
      <c r="N256" s="237">
        <v>184.0</v>
      </c>
    </row>
    <row r="257">
      <c r="A257" s="236" t="s">
        <v>670</v>
      </c>
      <c r="B257" s="237">
        <v>2167.0</v>
      </c>
      <c r="C257" s="236" t="s">
        <v>492</v>
      </c>
      <c r="D257" s="236" t="s">
        <v>563</v>
      </c>
      <c r="E257" s="236" t="s">
        <v>670</v>
      </c>
      <c r="F257" s="236" t="s">
        <v>1009</v>
      </c>
      <c r="G257" s="237">
        <v>28.0</v>
      </c>
      <c r="H257" s="237">
        <v>21.0</v>
      </c>
      <c r="I257" s="237">
        <v>7.0</v>
      </c>
      <c r="J257" s="237">
        <v>28.0</v>
      </c>
      <c r="K257" s="237">
        <v>21.0</v>
      </c>
      <c r="L257" s="237">
        <v>7.0</v>
      </c>
      <c r="M257" s="237">
        <v>170.0</v>
      </c>
      <c r="N257" s="237">
        <v>170.0</v>
      </c>
    </row>
    <row r="258">
      <c r="A258" s="236" t="s">
        <v>752</v>
      </c>
      <c r="B258" s="237">
        <v>632.0</v>
      </c>
      <c r="C258" s="236" t="s">
        <v>492</v>
      </c>
      <c r="D258" s="236" t="s">
        <v>935</v>
      </c>
      <c r="E258" s="236" t="s">
        <v>752</v>
      </c>
      <c r="F258" s="236" t="s">
        <v>1000</v>
      </c>
      <c r="G258" s="237">
        <v>26.0</v>
      </c>
      <c r="H258" s="237">
        <v>27.0</v>
      </c>
      <c r="I258" s="237">
        <v>-1.0</v>
      </c>
      <c r="J258" s="237">
        <v>26.0</v>
      </c>
      <c r="K258" s="237">
        <v>26.0</v>
      </c>
      <c r="L258" s="237">
        <v>0.0</v>
      </c>
      <c r="M258" s="237">
        <v>184.0</v>
      </c>
      <c r="N258" s="237">
        <v>184.0</v>
      </c>
    </row>
    <row r="259">
      <c r="A259" s="236" t="s">
        <v>610</v>
      </c>
      <c r="B259" s="237">
        <v>1870.0</v>
      </c>
      <c r="C259" s="236" t="s">
        <v>492</v>
      </c>
      <c r="D259" s="236" t="s">
        <v>492</v>
      </c>
      <c r="E259" s="236" t="s">
        <v>610</v>
      </c>
      <c r="F259" s="236" t="s">
        <v>973</v>
      </c>
      <c r="G259" s="237">
        <v>25.0</v>
      </c>
      <c r="H259" s="237">
        <v>20.0</v>
      </c>
      <c r="I259" s="237">
        <v>5.0</v>
      </c>
      <c r="J259" s="237">
        <v>25.0</v>
      </c>
      <c r="K259" s="237">
        <v>19.0</v>
      </c>
      <c r="L259" s="237">
        <v>6.0</v>
      </c>
      <c r="M259" s="237">
        <v>99.0</v>
      </c>
      <c r="N259" s="237">
        <v>99.0</v>
      </c>
    </row>
    <row r="260">
      <c r="A260" s="236" t="s">
        <v>636</v>
      </c>
      <c r="B260" s="237">
        <v>6224.0</v>
      </c>
      <c r="C260" s="236" t="s">
        <v>492</v>
      </c>
      <c r="D260" s="236" t="s">
        <v>492</v>
      </c>
      <c r="E260" s="236" t="s">
        <v>636</v>
      </c>
      <c r="F260" s="236" t="s">
        <v>991</v>
      </c>
      <c r="G260" s="237">
        <v>24.0</v>
      </c>
      <c r="H260" s="237">
        <v>12.0</v>
      </c>
      <c r="I260" s="237">
        <v>12.0</v>
      </c>
      <c r="J260" s="237">
        <v>24.0</v>
      </c>
      <c r="K260" s="237">
        <v>11.0</v>
      </c>
      <c r="L260" s="237">
        <v>13.0</v>
      </c>
      <c r="M260" s="237">
        <v>124.0</v>
      </c>
      <c r="N260" s="237">
        <v>124.0</v>
      </c>
    </row>
    <row r="261">
      <c r="A261" s="236" t="s">
        <v>866</v>
      </c>
      <c r="B261" s="237">
        <v>4220.0</v>
      </c>
      <c r="C261" s="236" t="s">
        <v>492</v>
      </c>
      <c r="D261" s="236" t="s">
        <v>930</v>
      </c>
      <c r="E261" s="236" t="s">
        <v>866</v>
      </c>
      <c r="F261" s="236" t="s">
        <v>987</v>
      </c>
      <c r="G261" s="237">
        <v>24.0</v>
      </c>
      <c r="H261" s="237">
        <v>10.0</v>
      </c>
      <c r="I261" s="237">
        <v>14.0</v>
      </c>
      <c r="J261" s="237">
        <v>24.0</v>
      </c>
      <c r="K261" s="237">
        <v>11.0</v>
      </c>
      <c r="L261" s="237">
        <v>13.0</v>
      </c>
      <c r="M261" s="237">
        <v>91.0</v>
      </c>
      <c r="N261" s="237">
        <v>111.0</v>
      </c>
    </row>
    <row r="262">
      <c r="A262" s="236" t="s">
        <v>405</v>
      </c>
      <c r="B262" s="237">
        <v>4777.0</v>
      </c>
      <c r="C262" s="236" t="s">
        <v>492</v>
      </c>
      <c r="D262" s="236" t="s">
        <v>930</v>
      </c>
      <c r="E262" s="236" t="s">
        <v>405</v>
      </c>
      <c r="F262" s="236" t="s">
        <v>987</v>
      </c>
      <c r="G262" s="237">
        <v>24.0</v>
      </c>
      <c r="H262" s="237">
        <v>16.0</v>
      </c>
      <c r="I262" s="237">
        <v>8.0</v>
      </c>
      <c r="J262" s="237">
        <v>24.0</v>
      </c>
      <c r="K262" s="237">
        <v>19.0</v>
      </c>
      <c r="L262" s="237">
        <v>5.0</v>
      </c>
      <c r="M262" s="237">
        <v>103.0</v>
      </c>
      <c r="N262" s="237">
        <v>123.0</v>
      </c>
    </row>
    <row r="263">
      <c r="A263" s="236" t="s">
        <v>449</v>
      </c>
      <c r="B263" s="237">
        <v>6831.0</v>
      </c>
      <c r="C263" s="236" t="s">
        <v>492</v>
      </c>
      <c r="D263" s="236" t="s">
        <v>935</v>
      </c>
      <c r="E263" s="236" t="s">
        <v>449</v>
      </c>
      <c r="F263" s="236" t="s">
        <v>987</v>
      </c>
      <c r="G263" s="237">
        <v>23.0</v>
      </c>
      <c r="H263" s="237">
        <v>20.0</v>
      </c>
      <c r="I263" s="237">
        <v>3.0</v>
      </c>
      <c r="J263" s="237">
        <v>23.0</v>
      </c>
      <c r="K263" s="237">
        <v>19.0</v>
      </c>
      <c r="L263" s="237">
        <v>4.0</v>
      </c>
      <c r="M263" s="237">
        <v>98.0</v>
      </c>
      <c r="N263" s="237">
        <v>98.0</v>
      </c>
    </row>
    <row r="264">
      <c r="A264" s="236" t="s">
        <v>614</v>
      </c>
      <c r="B264" s="237">
        <v>5564.0</v>
      </c>
      <c r="C264" s="236" t="s">
        <v>492</v>
      </c>
      <c r="D264" s="236" t="s">
        <v>563</v>
      </c>
      <c r="E264" s="236" t="s">
        <v>614</v>
      </c>
      <c r="F264" s="236" t="s">
        <v>1009</v>
      </c>
      <c r="G264" s="237">
        <v>21.0</v>
      </c>
      <c r="H264" s="237">
        <v>10.0</v>
      </c>
      <c r="I264" s="237">
        <v>11.0</v>
      </c>
      <c r="J264" s="237">
        <v>21.0</v>
      </c>
      <c r="K264" s="237">
        <v>9.0</v>
      </c>
      <c r="L264" s="237">
        <v>12.0</v>
      </c>
      <c r="M264" s="237">
        <v>37.0</v>
      </c>
      <c r="N264" s="237">
        <v>34.0</v>
      </c>
    </row>
    <row r="265">
      <c r="A265" s="236" t="s">
        <v>843</v>
      </c>
      <c r="B265" s="237">
        <v>5393.0</v>
      </c>
      <c r="C265" s="236" t="s">
        <v>492</v>
      </c>
      <c r="D265" s="236" t="s">
        <v>935</v>
      </c>
      <c r="E265" s="236" t="s">
        <v>843</v>
      </c>
      <c r="F265" s="236" t="s">
        <v>985</v>
      </c>
      <c r="G265" s="237">
        <v>21.0</v>
      </c>
      <c r="H265" s="237">
        <v>19.0</v>
      </c>
      <c r="I265" s="237">
        <v>2.0</v>
      </c>
      <c r="J265" s="237">
        <v>20.0</v>
      </c>
      <c r="K265" s="237">
        <v>18.0</v>
      </c>
      <c r="L265" s="237">
        <v>2.0</v>
      </c>
      <c r="M265" s="237">
        <v>90.0</v>
      </c>
      <c r="N265" s="237">
        <v>90.0</v>
      </c>
    </row>
    <row r="266">
      <c r="A266" s="236" t="s">
        <v>671</v>
      </c>
      <c r="B266" s="237">
        <v>6875.0</v>
      </c>
      <c r="C266" s="236" t="s">
        <v>492</v>
      </c>
      <c r="D266" s="236" t="s">
        <v>947</v>
      </c>
      <c r="E266" s="236" t="s">
        <v>671</v>
      </c>
      <c r="F266" s="236" t="s">
        <v>974</v>
      </c>
      <c r="G266" s="237">
        <v>21.0</v>
      </c>
      <c r="H266" s="237">
        <v>7.0</v>
      </c>
      <c r="I266" s="237">
        <v>14.0</v>
      </c>
      <c r="J266" s="237">
        <v>20.0</v>
      </c>
      <c r="K266" s="237">
        <v>6.0</v>
      </c>
      <c r="L266" s="237">
        <v>14.0</v>
      </c>
      <c r="M266" s="237">
        <v>95.0</v>
      </c>
      <c r="N266" s="237">
        <v>95.0</v>
      </c>
    </row>
    <row r="267">
      <c r="A267" s="236" t="s">
        <v>629</v>
      </c>
      <c r="B267" s="237">
        <v>4486.0</v>
      </c>
      <c r="C267" s="236" t="s">
        <v>492</v>
      </c>
      <c r="D267" s="236" t="s">
        <v>563</v>
      </c>
      <c r="E267" s="236" t="s">
        <v>629</v>
      </c>
      <c r="F267" s="236" t="s">
        <v>974</v>
      </c>
      <c r="G267" s="237">
        <v>20.0</v>
      </c>
      <c r="H267" s="237">
        <v>12.0</v>
      </c>
      <c r="I267" s="237">
        <v>8.0</v>
      </c>
      <c r="J267" s="237">
        <v>20.0</v>
      </c>
      <c r="K267" s="237">
        <v>11.0</v>
      </c>
      <c r="L267" s="237">
        <v>9.0</v>
      </c>
      <c r="M267" s="237">
        <v>50.0</v>
      </c>
      <c r="N267" s="237">
        <v>50.0</v>
      </c>
    </row>
    <row r="268">
      <c r="A268" s="236" t="s">
        <v>256</v>
      </c>
      <c r="B268" s="237">
        <v>2848.0</v>
      </c>
      <c r="C268" s="236" t="s">
        <v>492</v>
      </c>
      <c r="D268" s="236" t="s">
        <v>934</v>
      </c>
      <c r="E268" s="236" t="s">
        <v>256</v>
      </c>
      <c r="F268" s="236" t="s">
        <v>973</v>
      </c>
      <c r="G268" s="237">
        <v>20.0</v>
      </c>
      <c r="H268" s="237">
        <v>18.0</v>
      </c>
      <c r="I268" s="237">
        <v>2.0</v>
      </c>
      <c r="J268" s="237">
        <v>19.0</v>
      </c>
      <c r="K268" s="237">
        <v>17.0</v>
      </c>
      <c r="L268" s="237">
        <v>2.0</v>
      </c>
      <c r="M268" s="237">
        <v>35.0</v>
      </c>
      <c r="N268" s="237">
        <v>35.0</v>
      </c>
    </row>
    <row r="269">
      <c r="A269" s="236" t="s">
        <v>679</v>
      </c>
      <c r="B269" s="237">
        <v>5875.0</v>
      </c>
      <c r="C269" s="236" t="s">
        <v>492</v>
      </c>
      <c r="D269" s="236" t="s">
        <v>930</v>
      </c>
      <c r="E269" s="236" t="s">
        <v>679</v>
      </c>
      <c r="F269" s="236" t="s">
        <v>1033</v>
      </c>
      <c r="G269" s="237">
        <v>20.0</v>
      </c>
      <c r="H269" s="237">
        <v>5.0</v>
      </c>
      <c r="I269" s="237">
        <v>15.0</v>
      </c>
      <c r="J269" s="237">
        <v>19.0</v>
      </c>
      <c r="K269" s="237">
        <v>6.0</v>
      </c>
      <c r="L269" s="237">
        <v>13.0</v>
      </c>
      <c r="M269" s="237">
        <v>43.0</v>
      </c>
      <c r="N269" s="237">
        <v>53.0</v>
      </c>
    </row>
    <row r="270">
      <c r="A270" s="236" t="s">
        <v>719</v>
      </c>
      <c r="B270" s="237">
        <v>2194.0</v>
      </c>
      <c r="C270" s="236" t="s">
        <v>492</v>
      </c>
      <c r="D270" s="236" t="s">
        <v>930</v>
      </c>
      <c r="E270" s="236" t="s">
        <v>719</v>
      </c>
      <c r="F270" s="236" t="s">
        <v>973</v>
      </c>
      <c r="G270" s="237">
        <v>19.0</v>
      </c>
      <c r="H270" s="237">
        <v>28.0</v>
      </c>
      <c r="I270" s="237">
        <v>-9.0</v>
      </c>
      <c r="J270" s="237">
        <v>20.0</v>
      </c>
      <c r="K270" s="237">
        <v>30.0</v>
      </c>
      <c r="L270" s="237">
        <v>-10.0</v>
      </c>
      <c r="M270" s="237">
        <v>120.0</v>
      </c>
      <c r="N270" s="237">
        <v>140.0</v>
      </c>
    </row>
    <row r="271">
      <c r="A271" s="236" t="s">
        <v>317</v>
      </c>
      <c r="B271" s="237">
        <v>5562.0</v>
      </c>
      <c r="C271" s="236" t="s">
        <v>492</v>
      </c>
      <c r="D271" s="236" t="s">
        <v>930</v>
      </c>
      <c r="E271" s="236" t="s">
        <v>317</v>
      </c>
      <c r="F271" s="236" t="s">
        <v>976</v>
      </c>
      <c r="G271" s="237">
        <v>19.0</v>
      </c>
      <c r="H271" s="237">
        <v>10.0</v>
      </c>
      <c r="I271" s="237">
        <v>9.0</v>
      </c>
      <c r="J271" s="237">
        <v>19.0</v>
      </c>
      <c r="K271" s="237">
        <v>12.0</v>
      </c>
      <c r="L271" s="237">
        <v>7.0</v>
      </c>
      <c r="M271" s="237">
        <v>36.0</v>
      </c>
      <c r="N271" s="237">
        <v>46.0</v>
      </c>
    </row>
    <row r="272">
      <c r="A272" s="236" t="s">
        <v>778</v>
      </c>
      <c r="B272" s="237">
        <v>795.0</v>
      </c>
      <c r="C272" s="236" t="s">
        <v>492</v>
      </c>
      <c r="D272" s="236" t="s">
        <v>563</v>
      </c>
      <c r="E272" s="236" t="s">
        <v>778</v>
      </c>
      <c r="F272" s="236" t="s">
        <v>988</v>
      </c>
      <c r="G272" s="237">
        <v>18.0</v>
      </c>
      <c r="H272" s="237">
        <v>8.0</v>
      </c>
      <c r="I272" s="237">
        <v>10.0</v>
      </c>
      <c r="J272" s="237">
        <v>18.0</v>
      </c>
      <c r="K272" s="237">
        <v>7.0</v>
      </c>
      <c r="L272" s="237">
        <v>11.0</v>
      </c>
      <c r="M272" s="237">
        <v>36.0</v>
      </c>
      <c r="N272" s="237">
        <v>36.0</v>
      </c>
    </row>
    <row r="273">
      <c r="A273" s="236" t="s">
        <v>202</v>
      </c>
      <c r="B273" s="237">
        <v>5792.0</v>
      </c>
      <c r="C273" s="236" t="s">
        <v>492</v>
      </c>
      <c r="D273" s="236" t="s">
        <v>930</v>
      </c>
      <c r="E273" s="236" t="s">
        <v>202</v>
      </c>
      <c r="F273" s="236" t="s">
        <v>980</v>
      </c>
      <c r="G273" s="237">
        <v>17.0</v>
      </c>
      <c r="H273" s="237">
        <v>15.0</v>
      </c>
      <c r="I273" s="237">
        <v>2.0</v>
      </c>
      <c r="J273" s="237">
        <v>17.0</v>
      </c>
      <c r="K273" s="237">
        <v>18.0</v>
      </c>
      <c r="L273" s="237">
        <v>-1.0</v>
      </c>
      <c r="M273" s="237">
        <v>61.0</v>
      </c>
      <c r="N273" s="237">
        <v>81.0</v>
      </c>
    </row>
    <row r="274">
      <c r="A274" s="236" t="s">
        <v>842</v>
      </c>
      <c r="B274" s="237">
        <v>4349.0</v>
      </c>
      <c r="C274" s="236" t="s">
        <v>492</v>
      </c>
      <c r="D274" s="236" t="s">
        <v>930</v>
      </c>
      <c r="E274" s="236" t="s">
        <v>842</v>
      </c>
      <c r="F274" s="236" t="s">
        <v>1233</v>
      </c>
      <c r="G274" s="237">
        <v>17.0</v>
      </c>
      <c r="H274" s="237">
        <v>1.0</v>
      </c>
      <c r="I274" s="237">
        <v>16.0</v>
      </c>
      <c r="J274" s="237">
        <v>17.0</v>
      </c>
      <c r="K274" s="237">
        <v>1.0</v>
      </c>
      <c r="L274" s="237">
        <v>16.0</v>
      </c>
      <c r="M274" s="237">
        <v>34.0</v>
      </c>
      <c r="N274" s="237">
        <v>44.0</v>
      </c>
    </row>
    <row r="275">
      <c r="A275" s="236" t="s">
        <v>846</v>
      </c>
      <c r="B275" s="237">
        <v>4662.0</v>
      </c>
      <c r="C275" s="236" t="s">
        <v>492</v>
      </c>
      <c r="D275" s="236" t="s">
        <v>563</v>
      </c>
      <c r="E275" s="236" t="s">
        <v>846</v>
      </c>
      <c r="F275" s="236" t="s">
        <v>976</v>
      </c>
      <c r="G275" s="237">
        <v>17.0</v>
      </c>
      <c r="H275" s="237">
        <v>5.0</v>
      </c>
      <c r="I275" s="237">
        <v>12.0</v>
      </c>
      <c r="J275" s="237">
        <v>17.0</v>
      </c>
      <c r="K275" s="237">
        <v>4.0</v>
      </c>
      <c r="L275" s="237">
        <v>13.0</v>
      </c>
      <c r="M275" s="237">
        <v>42.0</v>
      </c>
      <c r="N275" s="237">
        <v>39.0</v>
      </c>
    </row>
    <row r="276">
      <c r="A276" s="236" t="s">
        <v>387</v>
      </c>
      <c r="B276" s="237">
        <v>5119.0</v>
      </c>
      <c r="C276" s="236" t="s">
        <v>492</v>
      </c>
      <c r="D276" s="236" t="s">
        <v>543</v>
      </c>
      <c r="E276" s="236" t="s">
        <v>387</v>
      </c>
      <c r="F276" s="236" t="s">
        <v>980</v>
      </c>
      <c r="G276" s="237">
        <v>17.0</v>
      </c>
      <c r="H276" s="237">
        <v>17.0</v>
      </c>
      <c r="I276" s="237">
        <v>0.0</v>
      </c>
      <c r="J276" s="237">
        <v>17.0</v>
      </c>
      <c r="K276" s="237">
        <v>16.0</v>
      </c>
      <c r="L276" s="237">
        <v>1.0</v>
      </c>
      <c r="M276" s="237">
        <v>32.0</v>
      </c>
      <c r="N276" s="237">
        <v>29.0</v>
      </c>
    </row>
    <row r="277">
      <c r="A277" s="236" t="s">
        <v>305</v>
      </c>
      <c r="B277" s="237">
        <v>5685.0</v>
      </c>
      <c r="C277" s="236" t="s">
        <v>492</v>
      </c>
      <c r="D277" s="236" t="s">
        <v>543</v>
      </c>
      <c r="E277" s="236" t="s">
        <v>305</v>
      </c>
      <c r="F277" s="236" t="s">
        <v>976</v>
      </c>
      <c r="G277" s="237">
        <v>16.0</v>
      </c>
      <c r="H277" s="237">
        <v>29.0</v>
      </c>
      <c r="I277" s="237">
        <v>-13.0</v>
      </c>
      <c r="J277" s="237">
        <v>15.0</v>
      </c>
      <c r="K277" s="237">
        <v>28.0</v>
      </c>
      <c r="L277" s="237">
        <v>-13.0</v>
      </c>
      <c r="M277" s="237">
        <v>94.0</v>
      </c>
      <c r="N277" s="237">
        <v>94.0</v>
      </c>
    </row>
    <row r="278">
      <c r="A278" s="236" t="s">
        <v>705</v>
      </c>
      <c r="B278" s="237">
        <v>6218.0</v>
      </c>
      <c r="C278" s="236" t="s">
        <v>492</v>
      </c>
      <c r="D278" s="236" t="s">
        <v>1137</v>
      </c>
      <c r="E278" s="236" t="s">
        <v>705</v>
      </c>
      <c r="F278" s="236" t="s">
        <v>1233</v>
      </c>
      <c r="G278" s="237">
        <v>16.0</v>
      </c>
      <c r="H278" s="237">
        <v>9.0</v>
      </c>
      <c r="I278" s="237">
        <v>7.0</v>
      </c>
      <c r="J278" s="237">
        <v>16.0</v>
      </c>
      <c r="K278" s="237">
        <v>10.0</v>
      </c>
      <c r="L278" s="237">
        <v>6.0</v>
      </c>
      <c r="M278" s="237">
        <v>50.0</v>
      </c>
      <c r="N278" s="237">
        <v>53.0</v>
      </c>
    </row>
    <row r="279">
      <c r="A279" s="236" t="s">
        <v>840</v>
      </c>
      <c r="B279" s="237">
        <v>4965.0</v>
      </c>
      <c r="C279" s="236" t="s">
        <v>492</v>
      </c>
      <c r="D279" s="236" t="s">
        <v>930</v>
      </c>
      <c r="E279" s="236" t="s">
        <v>840</v>
      </c>
      <c r="F279" s="236" t="s">
        <v>975</v>
      </c>
      <c r="G279" s="237">
        <v>15.0</v>
      </c>
      <c r="H279" s="237">
        <v>6.0</v>
      </c>
      <c r="I279" s="237">
        <v>9.0</v>
      </c>
      <c r="J279" s="237">
        <v>15.0</v>
      </c>
      <c r="K279" s="237">
        <v>6.0</v>
      </c>
      <c r="L279" s="237">
        <v>9.0</v>
      </c>
      <c r="M279" s="237">
        <v>22.0</v>
      </c>
      <c r="N279" s="237">
        <v>27.0</v>
      </c>
    </row>
    <row r="280">
      <c r="A280" s="236" t="s">
        <v>703</v>
      </c>
      <c r="B280" s="237">
        <v>2529.0</v>
      </c>
      <c r="C280" s="236" t="s">
        <v>492</v>
      </c>
      <c r="D280" s="236" t="s">
        <v>492</v>
      </c>
      <c r="E280" s="236" t="s">
        <v>703</v>
      </c>
      <c r="F280" s="236" t="s">
        <v>973</v>
      </c>
      <c r="G280" s="237">
        <v>15.0</v>
      </c>
      <c r="H280" s="237">
        <v>15.0</v>
      </c>
      <c r="I280" s="237">
        <v>0.0</v>
      </c>
      <c r="J280" s="237">
        <v>15.0</v>
      </c>
      <c r="K280" s="237">
        <v>14.0</v>
      </c>
      <c r="L280" s="237">
        <v>1.0</v>
      </c>
      <c r="M280" s="237">
        <v>45.0</v>
      </c>
      <c r="N280" s="237">
        <v>45.0</v>
      </c>
    </row>
    <row r="281">
      <c r="A281" s="236" t="s">
        <v>225</v>
      </c>
      <c r="B281" s="237">
        <v>152.0</v>
      </c>
      <c r="C281" s="236" t="s">
        <v>492</v>
      </c>
      <c r="D281" s="236" t="s">
        <v>934</v>
      </c>
      <c r="E281" s="236" t="s">
        <v>225</v>
      </c>
      <c r="F281" s="236" t="s">
        <v>973</v>
      </c>
      <c r="G281" s="237">
        <v>15.0</v>
      </c>
      <c r="H281" s="237">
        <v>11.0</v>
      </c>
      <c r="I281" s="237">
        <v>4.0</v>
      </c>
      <c r="J281" s="237">
        <v>15.0</v>
      </c>
      <c r="K281" s="237">
        <v>11.0</v>
      </c>
      <c r="L281" s="237">
        <v>4.0</v>
      </c>
      <c r="M281" s="237">
        <v>22.0</v>
      </c>
      <c r="N281" s="237">
        <v>22.0</v>
      </c>
    </row>
    <row r="282">
      <c r="A282" s="236" t="s">
        <v>862</v>
      </c>
      <c r="B282" s="237">
        <v>6629.0</v>
      </c>
      <c r="C282" s="236" t="s">
        <v>492</v>
      </c>
      <c r="D282" s="236" t="s">
        <v>934</v>
      </c>
      <c r="E282" s="236" t="s">
        <v>862</v>
      </c>
      <c r="F282" s="236" t="s">
        <v>1000</v>
      </c>
      <c r="G282" s="237">
        <v>15.0</v>
      </c>
      <c r="H282" s="237">
        <v>5.0</v>
      </c>
      <c r="I282" s="237">
        <v>10.0</v>
      </c>
      <c r="J282" s="237">
        <v>15.0</v>
      </c>
      <c r="K282" s="237">
        <v>5.0</v>
      </c>
      <c r="L282" s="237">
        <v>10.0</v>
      </c>
      <c r="M282" s="237">
        <v>25.0</v>
      </c>
      <c r="N282" s="237">
        <v>25.0</v>
      </c>
    </row>
    <row r="283">
      <c r="A283" s="236" t="s">
        <v>869</v>
      </c>
      <c r="B283" s="237">
        <v>4892.0</v>
      </c>
      <c r="C283" s="236" t="s">
        <v>492</v>
      </c>
      <c r="D283" s="236" t="s">
        <v>563</v>
      </c>
      <c r="E283" s="236" t="s">
        <v>869</v>
      </c>
      <c r="F283" s="236" t="s">
        <v>988</v>
      </c>
      <c r="G283" s="237">
        <v>15.0</v>
      </c>
      <c r="H283" s="237">
        <v>5.0</v>
      </c>
      <c r="I283" s="237">
        <v>10.0</v>
      </c>
      <c r="J283" s="237">
        <v>15.0</v>
      </c>
      <c r="K283" s="237">
        <v>5.0</v>
      </c>
      <c r="L283" s="237">
        <v>10.0</v>
      </c>
      <c r="M283" s="237">
        <v>64.0</v>
      </c>
      <c r="N283" s="237">
        <v>61.0</v>
      </c>
    </row>
    <row r="284">
      <c r="A284" s="236" t="s">
        <v>887</v>
      </c>
      <c r="B284" s="237">
        <v>536.0</v>
      </c>
      <c r="C284" s="236" t="s">
        <v>492</v>
      </c>
      <c r="D284" s="236" t="s">
        <v>563</v>
      </c>
      <c r="E284" s="236" t="s">
        <v>887</v>
      </c>
      <c r="F284" s="236" t="s">
        <v>987</v>
      </c>
      <c r="G284" s="237">
        <v>15.0</v>
      </c>
      <c r="H284" s="237">
        <v>24.0</v>
      </c>
      <c r="I284" s="237">
        <v>-9.0</v>
      </c>
      <c r="J284" s="237">
        <v>15.0</v>
      </c>
      <c r="K284" s="237">
        <v>23.0</v>
      </c>
      <c r="L284" s="237">
        <v>-8.0</v>
      </c>
      <c r="M284" s="237">
        <v>63.0</v>
      </c>
      <c r="N284" s="237">
        <v>60.0</v>
      </c>
    </row>
    <row r="285">
      <c r="A285" s="236" t="s">
        <v>904</v>
      </c>
      <c r="B285" s="237">
        <v>6815.0</v>
      </c>
      <c r="C285" s="236" t="s">
        <v>492</v>
      </c>
      <c r="D285" s="236" t="s">
        <v>935</v>
      </c>
      <c r="E285" s="236" t="s">
        <v>904</v>
      </c>
      <c r="F285" s="236" t="s">
        <v>974</v>
      </c>
      <c r="G285" s="237">
        <v>15.0</v>
      </c>
      <c r="H285" s="237">
        <v>6.0</v>
      </c>
      <c r="I285" s="237">
        <v>9.0</v>
      </c>
      <c r="J285" s="237">
        <v>15.0</v>
      </c>
      <c r="K285" s="237">
        <v>5.0</v>
      </c>
      <c r="L285" s="237">
        <v>10.0</v>
      </c>
      <c r="M285" s="237">
        <v>32.0</v>
      </c>
      <c r="N285" s="237">
        <v>32.0</v>
      </c>
    </row>
    <row r="286">
      <c r="A286" s="236" t="s">
        <v>247</v>
      </c>
      <c r="B286" s="237">
        <v>6884.0</v>
      </c>
      <c r="C286" s="236" t="s">
        <v>492</v>
      </c>
      <c r="D286" s="236" t="s">
        <v>935</v>
      </c>
      <c r="E286" s="236" t="s">
        <v>247</v>
      </c>
      <c r="F286" s="236" t="s">
        <v>976</v>
      </c>
      <c r="G286" s="237">
        <v>15.0</v>
      </c>
      <c r="H286" s="237">
        <v>11.0</v>
      </c>
      <c r="I286" s="237">
        <v>4.0</v>
      </c>
      <c r="J286" s="237">
        <v>15.0</v>
      </c>
      <c r="K286" s="237">
        <v>10.0</v>
      </c>
      <c r="L286" s="237">
        <v>5.0</v>
      </c>
      <c r="M286" s="237">
        <v>40.0</v>
      </c>
      <c r="N286" s="237">
        <v>40.0</v>
      </c>
    </row>
    <row r="287">
      <c r="A287" s="236" t="s">
        <v>790</v>
      </c>
      <c r="B287" s="237">
        <v>5589.0</v>
      </c>
      <c r="C287" s="236" t="s">
        <v>492</v>
      </c>
      <c r="D287" s="236" t="s">
        <v>930</v>
      </c>
      <c r="E287" s="236" t="s">
        <v>790</v>
      </c>
      <c r="F287" s="236" t="s">
        <v>988</v>
      </c>
      <c r="G287" s="237">
        <v>15.0</v>
      </c>
      <c r="H287" s="237">
        <v>8.0</v>
      </c>
      <c r="I287" s="237">
        <v>7.0</v>
      </c>
      <c r="J287" s="237">
        <v>16.0</v>
      </c>
      <c r="K287" s="237">
        <v>9.0</v>
      </c>
      <c r="L287" s="237">
        <v>7.0</v>
      </c>
      <c r="M287" s="237">
        <v>35.0</v>
      </c>
      <c r="N287" s="237">
        <v>45.0</v>
      </c>
    </row>
    <row r="288">
      <c r="A288" s="236" t="s">
        <v>748</v>
      </c>
      <c r="B288" s="237">
        <v>22.0</v>
      </c>
      <c r="C288" s="236" t="s">
        <v>492</v>
      </c>
      <c r="D288" s="236" t="s">
        <v>930</v>
      </c>
      <c r="E288" s="236" t="s">
        <v>748</v>
      </c>
      <c r="F288" s="236" t="s">
        <v>980</v>
      </c>
      <c r="G288" s="237">
        <v>14.0</v>
      </c>
      <c r="H288" s="237">
        <v>8.0</v>
      </c>
      <c r="I288" s="237">
        <v>6.0</v>
      </c>
      <c r="J288" s="237">
        <v>14.0</v>
      </c>
      <c r="K288" s="237">
        <v>9.0</v>
      </c>
      <c r="L288" s="237">
        <v>5.0</v>
      </c>
      <c r="M288" s="237">
        <v>33.0</v>
      </c>
      <c r="N288" s="237">
        <v>43.0</v>
      </c>
    </row>
    <row r="289">
      <c r="A289" s="236" t="s">
        <v>732</v>
      </c>
      <c r="B289" s="237">
        <v>4973.0</v>
      </c>
      <c r="C289" s="236" t="s">
        <v>492</v>
      </c>
      <c r="D289" s="236" t="s">
        <v>930</v>
      </c>
      <c r="E289" s="236" t="s">
        <v>732</v>
      </c>
      <c r="F289" s="236" t="s">
        <v>976</v>
      </c>
      <c r="G289" s="237">
        <v>14.0</v>
      </c>
      <c r="H289" s="237">
        <v>7.0</v>
      </c>
      <c r="I289" s="237">
        <v>7.0</v>
      </c>
      <c r="J289" s="237">
        <v>14.0</v>
      </c>
      <c r="K289" s="237">
        <v>8.0</v>
      </c>
      <c r="L289" s="237">
        <v>6.0</v>
      </c>
      <c r="M289" s="237">
        <v>41.0</v>
      </c>
      <c r="N289" s="237">
        <v>51.0</v>
      </c>
    </row>
    <row r="290">
      <c r="A290" s="236" t="s">
        <v>699</v>
      </c>
      <c r="B290" s="237">
        <v>4423.0</v>
      </c>
      <c r="C290" s="236" t="s">
        <v>492</v>
      </c>
      <c r="D290" s="236" t="s">
        <v>492</v>
      </c>
      <c r="E290" s="236" t="s">
        <v>699</v>
      </c>
      <c r="F290" s="236" t="s">
        <v>985</v>
      </c>
      <c r="G290" s="237">
        <v>14.0</v>
      </c>
      <c r="H290" s="237">
        <v>6.0</v>
      </c>
      <c r="I290" s="237">
        <v>8.0</v>
      </c>
      <c r="J290" s="237">
        <v>14.0</v>
      </c>
      <c r="K290" s="237">
        <v>5.0</v>
      </c>
      <c r="L290" s="237">
        <v>9.0</v>
      </c>
      <c r="M290" s="237">
        <v>33.0</v>
      </c>
      <c r="N290" s="237">
        <v>33.0</v>
      </c>
    </row>
    <row r="291">
      <c r="A291" s="236" t="s">
        <v>675</v>
      </c>
      <c r="B291" s="237">
        <v>5319.0</v>
      </c>
      <c r="C291" s="236" t="s">
        <v>492</v>
      </c>
      <c r="D291" s="236" t="s">
        <v>492</v>
      </c>
      <c r="E291" s="236" t="s">
        <v>675</v>
      </c>
      <c r="F291" s="236" t="s">
        <v>985</v>
      </c>
      <c r="G291" s="237">
        <v>14.0</v>
      </c>
      <c r="H291" s="237">
        <v>5.0</v>
      </c>
      <c r="I291" s="237">
        <v>9.0</v>
      </c>
      <c r="J291" s="237">
        <v>14.0</v>
      </c>
      <c r="K291" s="237">
        <v>4.0</v>
      </c>
      <c r="L291" s="237">
        <v>10.0</v>
      </c>
      <c r="M291" s="237">
        <v>27.0</v>
      </c>
      <c r="N291" s="237">
        <v>27.0</v>
      </c>
    </row>
    <row r="292">
      <c r="A292" s="236" t="s">
        <v>905</v>
      </c>
      <c r="B292" s="237">
        <v>5687.0</v>
      </c>
      <c r="C292" s="236" t="s">
        <v>492</v>
      </c>
      <c r="D292" s="236" t="s">
        <v>543</v>
      </c>
      <c r="E292" s="236" t="s">
        <v>905</v>
      </c>
      <c r="F292" s="236" t="s">
        <v>972</v>
      </c>
      <c r="G292" s="237">
        <v>14.0</v>
      </c>
      <c r="H292" s="237">
        <v>15.0</v>
      </c>
      <c r="I292" s="237">
        <v>-1.0</v>
      </c>
      <c r="J292" s="237">
        <v>14.0</v>
      </c>
      <c r="K292" s="237">
        <v>14.0</v>
      </c>
      <c r="L292" s="237">
        <v>0.0</v>
      </c>
      <c r="M292" s="237">
        <v>35.0</v>
      </c>
      <c r="N292" s="237">
        <v>32.0</v>
      </c>
    </row>
    <row r="293">
      <c r="A293" s="236" t="s">
        <v>139</v>
      </c>
      <c r="B293" s="237">
        <v>4947.0</v>
      </c>
      <c r="C293" s="236" t="s">
        <v>492</v>
      </c>
      <c r="D293" s="236" t="s">
        <v>930</v>
      </c>
      <c r="E293" s="236" t="s">
        <v>139</v>
      </c>
      <c r="F293" s="236" t="s">
        <v>980</v>
      </c>
      <c r="G293" s="237">
        <v>14.0</v>
      </c>
      <c r="H293" s="237">
        <v>4.0</v>
      </c>
      <c r="I293" s="237">
        <v>10.0</v>
      </c>
      <c r="J293" s="237">
        <v>14.0</v>
      </c>
      <c r="K293" s="237">
        <v>5.0</v>
      </c>
      <c r="L293" s="237">
        <v>9.0</v>
      </c>
      <c r="M293" s="237">
        <v>26.0</v>
      </c>
      <c r="N293" s="237">
        <v>36.0</v>
      </c>
    </row>
    <row r="294">
      <c r="A294" s="236" t="s">
        <v>821</v>
      </c>
      <c r="B294" s="237">
        <v>788.0</v>
      </c>
      <c r="C294" s="236" t="s">
        <v>492</v>
      </c>
      <c r="D294" s="236" t="s">
        <v>930</v>
      </c>
      <c r="E294" s="236" t="s">
        <v>821</v>
      </c>
      <c r="F294" s="236" t="s">
        <v>1009</v>
      </c>
      <c r="G294" s="237">
        <v>13.0</v>
      </c>
      <c r="H294" s="237">
        <v>9.0</v>
      </c>
      <c r="I294" s="237">
        <v>4.0</v>
      </c>
      <c r="J294" s="237">
        <v>13.0</v>
      </c>
      <c r="K294" s="237">
        <v>10.0</v>
      </c>
      <c r="L294" s="237">
        <v>3.0</v>
      </c>
      <c r="M294" s="237">
        <v>25.0</v>
      </c>
      <c r="N294" s="237">
        <v>30.0</v>
      </c>
    </row>
    <row r="295">
      <c r="A295" s="236" t="s">
        <v>1265</v>
      </c>
      <c r="B295" s="237">
        <v>4992.0</v>
      </c>
      <c r="C295" s="236" t="s">
        <v>492</v>
      </c>
      <c r="D295" s="236" t="s">
        <v>563</v>
      </c>
      <c r="E295" s="236" t="s">
        <v>1265</v>
      </c>
      <c r="F295" s="236" t="s">
        <v>1222</v>
      </c>
      <c r="G295" s="237">
        <v>13.0</v>
      </c>
      <c r="H295" s="237">
        <v>5.0</v>
      </c>
      <c r="I295" s="237">
        <v>8.0</v>
      </c>
      <c r="J295" s="237">
        <v>13.0</v>
      </c>
      <c r="K295" s="237">
        <v>5.0</v>
      </c>
      <c r="L295" s="237">
        <v>8.0</v>
      </c>
      <c r="M295" s="237">
        <v>19.0</v>
      </c>
      <c r="N295" s="237">
        <v>16.0</v>
      </c>
    </row>
    <row r="296">
      <c r="A296" s="236" t="s">
        <v>901</v>
      </c>
      <c r="B296" s="237">
        <v>6020.0</v>
      </c>
      <c r="C296" s="236" t="s">
        <v>492</v>
      </c>
      <c r="D296" s="236" t="s">
        <v>1056</v>
      </c>
      <c r="E296" s="236" t="s">
        <v>901</v>
      </c>
      <c r="F296" s="236" t="s">
        <v>1233</v>
      </c>
      <c r="G296" s="237">
        <v>13.0</v>
      </c>
      <c r="H296" s="237">
        <v>2.0</v>
      </c>
      <c r="I296" s="237">
        <v>11.0</v>
      </c>
      <c r="J296" s="237">
        <v>13.0</v>
      </c>
      <c r="K296" s="237">
        <v>2.0</v>
      </c>
      <c r="L296" s="237">
        <v>11.0</v>
      </c>
      <c r="M296" s="237">
        <v>21.0</v>
      </c>
      <c r="N296" s="237">
        <v>23.0</v>
      </c>
    </row>
    <row r="297">
      <c r="A297" s="236" t="s">
        <v>839</v>
      </c>
      <c r="B297" s="237">
        <v>236.0</v>
      </c>
      <c r="C297" s="236" t="s">
        <v>492</v>
      </c>
      <c r="D297" s="236" t="s">
        <v>563</v>
      </c>
      <c r="E297" s="236" t="s">
        <v>839</v>
      </c>
      <c r="F297" s="236" t="s">
        <v>983</v>
      </c>
      <c r="G297" s="237">
        <v>13.0</v>
      </c>
      <c r="H297" s="237">
        <v>10.0</v>
      </c>
      <c r="I297" s="237">
        <v>3.0</v>
      </c>
      <c r="J297" s="237">
        <v>13.0</v>
      </c>
      <c r="K297" s="237">
        <v>9.0</v>
      </c>
      <c r="L297" s="237">
        <v>4.0</v>
      </c>
      <c r="M297" s="237">
        <v>14.0</v>
      </c>
      <c r="N297" s="237">
        <v>11.0</v>
      </c>
    </row>
    <row r="298">
      <c r="A298" s="236" t="s">
        <v>727</v>
      </c>
      <c r="B298" s="237">
        <v>6889.0</v>
      </c>
      <c r="C298" s="236" t="s">
        <v>492</v>
      </c>
      <c r="D298" s="236" t="s">
        <v>1057</v>
      </c>
      <c r="E298" s="236" t="s">
        <v>727</v>
      </c>
      <c r="F298" s="236" t="s">
        <v>1222</v>
      </c>
      <c r="G298" s="237">
        <v>13.0</v>
      </c>
      <c r="H298" s="237">
        <v>2.0</v>
      </c>
      <c r="I298" s="237">
        <v>11.0</v>
      </c>
      <c r="J298" s="237">
        <v>13.0</v>
      </c>
      <c r="K298" s="237">
        <v>2.0</v>
      </c>
      <c r="L298" s="237">
        <v>11.0</v>
      </c>
      <c r="M298" s="237">
        <v>30.0</v>
      </c>
      <c r="N298" s="237">
        <v>33.0</v>
      </c>
    </row>
    <row r="299">
      <c r="A299" s="236" t="s">
        <v>787</v>
      </c>
      <c r="B299" s="237">
        <v>2766.0</v>
      </c>
      <c r="C299" s="236" t="s">
        <v>492</v>
      </c>
      <c r="D299" s="236" t="s">
        <v>947</v>
      </c>
      <c r="E299" s="236" t="s">
        <v>787</v>
      </c>
      <c r="F299" s="236" t="s">
        <v>980</v>
      </c>
      <c r="G299" s="237">
        <v>12.0</v>
      </c>
      <c r="H299" s="237">
        <v>13.0</v>
      </c>
      <c r="I299" s="237">
        <v>-1.0</v>
      </c>
      <c r="J299" s="237">
        <v>12.0</v>
      </c>
      <c r="K299" s="237">
        <v>12.0</v>
      </c>
      <c r="L299" s="237">
        <v>0.0</v>
      </c>
      <c r="M299" s="237">
        <v>23.0</v>
      </c>
      <c r="N299" s="237">
        <v>23.0</v>
      </c>
    </row>
    <row r="300">
      <c r="A300" s="236" t="s">
        <v>757</v>
      </c>
      <c r="B300" s="237">
        <v>5858.0</v>
      </c>
      <c r="C300" s="236" t="s">
        <v>492</v>
      </c>
      <c r="D300" s="236" t="s">
        <v>934</v>
      </c>
      <c r="E300" s="236" t="s">
        <v>757</v>
      </c>
      <c r="F300" s="236" t="s">
        <v>1009</v>
      </c>
      <c r="G300" s="237">
        <v>12.0</v>
      </c>
      <c r="H300" s="237">
        <v>18.0</v>
      </c>
      <c r="I300" s="237">
        <v>-6.0</v>
      </c>
      <c r="J300" s="237">
        <v>12.0</v>
      </c>
      <c r="K300" s="237">
        <v>18.0</v>
      </c>
      <c r="L300" s="237">
        <v>-6.0</v>
      </c>
      <c r="M300" s="237">
        <v>30.0</v>
      </c>
      <c r="N300" s="237">
        <v>30.0</v>
      </c>
    </row>
    <row r="301">
      <c r="A301" s="236" t="s">
        <v>691</v>
      </c>
      <c r="B301" s="237">
        <v>5791.0</v>
      </c>
      <c r="C301" s="236" t="s">
        <v>492</v>
      </c>
      <c r="D301" s="236" t="s">
        <v>1152</v>
      </c>
      <c r="E301" s="236" t="s">
        <v>691</v>
      </c>
      <c r="F301" s="236" t="s">
        <v>1026</v>
      </c>
      <c r="G301" s="237">
        <v>12.0</v>
      </c>
      <c r="H301" s="237">
        <v>11.0</v>
      </c>
      <c r="I301" s="237">
        <v>1.0</v>
      </c>
      <c r="J301" s="237">
        <v>12.0</v>
      </c>
      <c r="K301" s="237">
        <v>13.0</v>
      </c>
      <c r="L301" s="237">
        <v>-1.0</v>
      </c>
      <c r="M301" s="237">
        <v>31.0</v>
      </c>
      <c r="N301" s="237">
        <v>41.0</v>
      </c>
    </row>
    <row r="302">
      <c r="A302" s="236" t="s">
        <v>886</v>
      </c>
      <c r="B302" s="237">
        <v>5813.0</v>
      </c>
      <c r="C302" s="236" t="s">
        <v>492</v>
      </c>
      <c r="D302" s="236" t="s">
        <v>934</v>
      </c>
      <c r="E302" s="236" t="s">
        <v>886</v>
      </c>
      <c r="F302" s="236" t="s">
        <v>1026</v>
      </c>
      <c r="G302" s="237">
        <v>12.0</v>
      </c>
      <c r="H302" s="237">
        <v>4.0</v>
      </c>
      <c r="I302" s="237">
        <v>8.0</v>
      </c>
      <c r="J302" s="237">
        <v>12.0</v>
      </c>
      <c r="K302" s="237">
        <v>4.0</v>
      </c>
      <c r="L302" s="237">
        <v>8.0</v>
      </c>
      <c r="M302" s="237">
        <v>24.0</v>
      </c>
      <c r="N302" s="237">
        <v>24.0</v>
      </c>
    </row>
    <row r="303">
      <c r="A303" s="236" t="s">
        <v>850</v>
      </c>
      <c r="B303" s="237">
        <v>333.0</v>
      </c>
      <c r="C303" s="236" t="s">
        <v>492</v>
      </c>
      <c r="D303" s="236" t="s">
        <v>930</v>
      </c>
      <c r="E303" s="236" t="s">
        <v>850</v>
      </c>
      <c r="F303" s="236" t="s">
        <v>1033</v>
      </c>
      <c r="G303" s="237">
        <v>12.0</v>
      </c>
      <c r="H303" s="237">
        <v>3.0</v>
      </c>
      <c r="I303" s="237">
        <v>9.0</v>
      </c>
      <c r="J303" s="237">
        <v>12.0</v>
      </c>
      <c r="K303" s="237">
        <v>3.0</v>
      </c>
      <c r="L303" s="237">
        <v>9.0</v>
      </c>
      <c r="M303" s="237">
        <v>19.0</v>
      </c>
      <c r="N303" s="237">
        <v>24.0</v>
      </c>
    </row>
    <row r="304">
      <c r="A304" s="236" t="s">
        <v>438</v>
      </c>
      <c r="B304" s="237">
        <v>4186.0</v>
      </c>
      <c r="C304" s="236" t="s">
        <v>492</v>
      </c>
      <c r="D304" s="236" t="s">
        <v>492</v>
      </c>
      <c r="E304" s="236" t="s">
        <v>438</v>
      </c>
      <c r="F304" s="236" t="s">
        <v>1000</v>
      </c>
      <c r="G304" s="237">
        <v>12.0</v>
      </c>
      <c r="H304" s="237">
        <v>10.0</v>
      </c>
      <c r="I304" s="237">
        <v>2.0</v>
      </c>
      <c r="J304" s="237">
        <v>12.0</v>
      </c>
      <c r="K304" s="237">
        <v>9.0</v>
      </c>
      <c r="L304" s="237">
        <v>3.0</v>
      </c>
      <c r="M304" s="237">
        <v>27.0</v>
      </c>
      <c r="N304" s="237">
        <v>27.0</v>
      </c>
    </row>
    <row r="305">
      <c r="A305" s="236" t="s">
        <v>1193</v>
      </c>
      <c r="B305" s="237">
        <v>6634.0</v>
      </c>
      <c r="C305" s="236" t="s">
        <v>492</v>
      </c>
      <c r="D305" s="236" t="s">
        <v>563</v>
      </c>
      <c r="E305" s="236" t="s">
        <v>1193</v>
      </c>
      <c r="F305" s="236" t="s">
        <v>998</v>
      </c>
      <c r="G305" s="237">
        <v>12.0</v>
      </c>
      <c r="H305" s="237">
        <v>9.0</v>
      </c>
      <c r="I305" s="237">
        <v>3.0</v>
      </c>
      <c r="J305" s="237">
        <v>12.0</v>
      </c>
      <c r="K305" s="237">
        <v>8.0</v>
      </c>
      <c r="L305" s="237">
        <v>4.0</v>
      </c>
      <c r="M305" s="237">
        <v>36.0</v>
      </c>
      <c r="N305" s="237">
        <v>33.0</v>
      </c>
    </row>
    <row r="306">
      <c r="A306" s="236" t="s">
        <v>79</v>
      </c>
      <c r="B306" s="237">
        <v>5453.0</v>
      </c>
      <c r="C306" s="236" t="s">
        <v>492</v>
      </c>
      <c r="D306" s="236" t="s">
        <v>930</v>
      </c>
      <c r="E306" s="236" t="s">
        <v>79</v>
      </c>
      <c r="F306" s="236" t="s">
        <v>972</v>
      </c>
      <c r="G306" s="237">
        <v>12.0</v>
      </c>
      <c r="H306" s="237">
        <v>8.0</v>
      </c>
      <c r="I306" s="237">
        <v>4.0</v>
      </c>
      <c r="J306" s="237">
        <v>11.0</v>
      </c>
      <c r="K306" s="237">
        <v>9.0</v>
      </c>
      <c r="L306" s="237">
        <v>2.0</v>
      </c>
      <c r="M306" s="237">
        <v>33.0</v>
      </c>
      <c r="N306" s="237">
        <v>43.0</v>
      </c>
    </row>
    <row r="307">
      <c r="A307" s="236" t="s">
        <v>64</v>
      </c>
      <c r="B307" s="237">
        <v>5850.0</v>
      </c>
      <c r="C307" s="236" t="s">
        <v>492</v>
      </c>
      <c r="D307" s="236" t="s">
        <v>492</v>
      </c>
      <c r="E307" s="236" t="s">
        <v>64</v>
      </c>
      <c r="F307" s="236" t="s">
        <v>993</v>
      </c>
      <c r="G307" s="237">
        <v>12.0</v>
      </c>
      <c r="H307" s="237">
        <v>10.0</v>
      </c>
      <c r="I307" s="237">
        <v>2.0</v>
      </c>
      <c r="J307" s="237">
        <v>12.0</v>
      </c>
      <c r="K307" s="237">
        <v>10.0</v>
      </c>
      <c r="L307" s="237">
        <v>2.0</v>
      </c>
      <c r="M307" s="237">
        <v>25.0</v>
      </c>
      <c r="N307" s="237">
        <v>25.0</v>
      </c>
    </row>
    <row r="308">
      <c r="A308" s="236" t="s">
        <v>750</v>
      </c>
      <c r="B308" s="237">
        <v>4686.0</v>
      </c>
      <c r="C308" s="236" t="s">
        <v>492</v>
      </c>
      <c r="D308" s="236" t="s">
        <v>930</v>
      </c>
      <c r="E308" s="236" t="s">
        <v>750</v>
      </c>
      <c r="F308" s="236" t="s">
        <v>991</v>
      </c>
      <c r="G308" s="237">
        <v>12.0</v>
      </c>
      <c r="H308" s="237">
        <v>8.0</v>
      </c>
      <c r="I308" s="237">
        <v>4.0</v>
      </c>
      <c r="J308" s="237">
        <v>13.0</v>
      </c>
      <c r="K308" s="237">
        <v>9.0</v>
      </c>
      <c r="L308" s="237">
        <v>4.0</v>
      </c>
      <c r="M308" s="237">
        <v>35.0</v>
      </c>
      <c r="N308" s="237">
        <v>45.0</v>
      </c>
    </row>
    <row r="309">
      <c r="A309" s="236" t="s">
        <v>786</v>
      </c>
      <c r="B309" s="237">
        <v>6206.0</v>
      </c>
      <c r="C309" s="236" t="s">
        <v>492</v>
      </c>
      <c r="D309" s="236" t="s">
        <v>934</v>
      </c>
      <c r="E309" s="236" t="s">
        <v>786</v>
      </c>
      <c r="F309" s="236" t="s">
        <v>1009</v>
      </c>
      <c r="G309" s="237">
        <v>11.0</v>
      </c>
      <c r="H309" s="237">
        <v>13.0</v>
      </c>
      <c r="I309" s="237">
        <v>-2.0</v>
      </c>
      <c r="J309" s="237">
        <v>11.0</v>
      </c>
      <c r="K309" s="237">
        <v>13.0</v>
      </c>
      <c r="L309" s="237">
        <v>-2.0</v>
      </c>
      <c r="M309" s="237">
        <v>14.0</v>
      </c>
      <c r="N309" s="237">
        <v>14.0</v>
      </c>
    </row>
    <row r="310">
      <c r="A310" s="236" t="s">
        <v>762</v>
      </c>
      <c r="B310" s="237">
        <v>6640.0</v>
      </c>
      <c r="C310" s="236" t="s">
        <v>492</v>
      </c>
      <c r="D310" s="236" t="s">
        <v>1089</v>
      </c>
      <c r="E310" s="236" t="s">
        <v>762</v>
      </c>
      <c r="F310" s="236" t="s">
        <v>975</v>
      </c>
      <c r="G310" s="237">
        <v>11.0</v>
      </c>
      <c r="H310" s="237">
        <v>5.0</v>
      </c>
      <c r="I310" s="237">
        <v>6.0</v>
      </c>
      <c r="J310" s="237">
        <v>11.0</v>
      </c>
      <c r="K310" s="237">
        <v>6.0</v>
      </c>
      <c r="L310" s="237">
        <v>5.0</v>
      </c>
      <c r="M310" s="237">
        <v>26.0</v>
      </c>
      <c r="N310" s="237">
        <v>26.0</v>
      </c>
    </row>
    <row r="311">
      <c r="A311" s="236" t="s">
        <v>1277</v>
      </c>
      <c r="B311" s="237">
        <v>5516.0</v>
      </c>
      <c r="C311" s="236" t="s">
        <v>492</v>
      </c>
      <c r="D311" s="236" t="s">
        <v>930</v>
      </c>
      <c r="E311" s="236" t="s">
        <v>1277</v>
      </c>
      <c r="F311" s="236" t="s">
        <v>1225</v>
      </c>
      <c r="G311" s="237">
        <v>11.0</v>
      </c>
      <c r="H311" s="237">
        <v>2.0</v>
      </c>
      <c r="I311" s="237">
        <v>9.0</v>
      </c>
      <c r="J311" s="237">
        <v>11.0</v>
      </c>
      <c r="K311" s="237">
        <v>2.0</v>
      </c>
      <c r="L311" s="237">
        <v>9.0</v>
      </c>
      <c r="M311" s="237">
        <v>13.0</v>
      </c>
      <c r="N311" s="237">
        <v>16.0</v>
      </c>
    </row>
    <row r="312">
      <c r="A312" s="236" t="s">
        <v>1185</v>
      </c>
      <c r="B312" s="237">
        <v>2839.0</v>
      </c>
      <c r="C312" s="236" t="s">
        <v>492</v>
      </c>
      <c r="D312" s="236" t="s">
        <v>563</v>
      </c>
      <c r="E312" s="236" t="s">
        <v>1185</v>
      </c>
      <c r="F312" s="236" t="s">
        <v>1033</v>
      </c>
      <c r="G312" s="237">
        <v>11.0</v>
      </c>
      <c r="H312" s="237">
        <v>9.0</v>
      </c>
      <c r="I312" s="237">
        <v>2.0</v>
      </c>
      <c r="J312" s="237">
        <v>11.0</v>
      </c>
      <c r="K312" s="237">
        <v>9.0</v>
      </c>
      <c r="L312" s="237">
        <v>2.0</v>
      </c>
      <c r="M312" s="237">
        <v>25.0</v>
      </c>
      <c r="N312" s="237">
        <v>22.0</v>
      </c>
    </row>
    <row r="313">
      <c r="A313" s="236" t="s">
        <v>817</v>
      </c>
      <c r="B313" s="237">
        <v>5878.0</v>
      </c>
      <c r="C313" s="236" t="s">
        <v>492</v>
      </c>
      <c r="D313" s="236" t="s">
        <v>543</v>
      </c>
      <c r="E313" s="236" t="s">
        <v>817</v>
      </c>
      <c r="F313" s="236" t="s">
        <v>1033</v>
      </c>
      <c r="G313" s="237">
        <v>11.0</v>
      </c>
      <c r="H313" s="237">
        <v>23.0</v>
      </c>
      <c r="I313" s="237">
        <v>-12.0</v>
      </c>
      <c r="J313" s="237">
        <v>11.0</v>
      </c>
      <c r="K313" s="237">
        <v>22.0</v>
      </c>
      <c r="L313" s="237">
        <v>-11.0</v>
      </c>
      <c r="M313" s="237">
        <v>30.0</v>
      </c>
      <c r="N313" s="237">
        <v>27.0</v>
      </c>
    </row>
    <row r="314">
      <c r="A314" s="236" t="s">
        <v>789</v>
      </c>
      <c r="B314" s="237">
        <v>827.0</v>
      </c>
      <c r="C314" s="236" t="s">
        <v>492</v>
      </c>
      <c r="D314" s="236" t="s">
        <v>930</v>
      </c>
      <c r="E314" s="236" t="s">
        <v>789</v>
      </c>
      <c r="F314" s="236" t="s">
        <v>976</v>
      </c>
      <c r="G314" s="237">
        <v>11.0</v>
      </c>
      <c r="H314" s="237">
        <v>8.0</v>
      </c>
      <c r="I314" s="237">
        <v>3.0</v>
      </c>
      <c r="J314" s="237">
        <v>11.0</v>
      </c>
      <c r="K314" s="237">
        <v>9.0</v>
      </c>
      <c r="L314" s="237">
        <v>2.0</v>
      </c>
      <c r="M314" s="237">
        <v>28.0</v>
      </c>
      <c r="N314" s="237">
        <v>38.0</v>
      </c>
    </row>
    <row r="315">
      <c r="A315" s="236" t="s">
        <v>645</v>
      </c>
      <c r="B315" s="237">
        <v>4896.0</v>
      </c>
      <c r="C315" s="236" t="s">
        <v>492</v>
      </c>
      <c r="D315" s="236" t="s">
        <v>947</v>
      </c>
      <c r="E315" s="236" t="s">
        <v>645</v>
      </c>
      <c r="F315" s="236" t="s">
        <v>980</v>
      </c>
      <c r="G315" s="237">
        <v>11.0</v>
      </c>
      <c r="H315" s="237">
        <v>9.0</v>
      </c>
      <c r="I315" s="237">
        <v>2.0</v>
      </c>
      <c r="J315" s="237">
        <v>11.0</v>
      </c>
      <c r="K315" s="237">
        <v>8.0</v>
      </c>
      <c r="L315" s="237">
        <v>3.0</v>
      </c>
      <c r="M315" s="237">
        <v>41.0</v>
      </c>
      <c r="N315" s="237">
        <v>41.0</v>
      </c>
    </row>
    <row r="316">
      <c r="A316" s="236" t="s">
        <v>739</v>
      </c>
      <c r="B316" s="237">
        <v>468.0</v>
      </c>
      <c r="C316" s="236" t="s">
        <v>492</v>
      </c>
      <c r="D316" s="236" t="s">
        <v>930</v>
      </c>
      <c r="E316" s="236" t="s">
        <v>739</v>
      </c>
      <c r="F316" s="236" t="s">
        <v>988</v>
      </c>
      <c r="G316" s="237">
        <v>11.0</v>
      </c>
      <c r="H316" s="237">
        <v>7.0</v>
      </c>
      <c r="I316" s="237">
        <v>4.0</v>
      </c>
      <c r="J316" s="237">
        <v>11.0</v>
      </c>
      <c r="K316" s="237">
        <v>8.0</v>
      </c>
      <c r="L316" s="237">
        <v>3.0</v>
      </c>
      <c r="M316" s="237">
        <v>30.0</v>
      </c>
      <c r="N316" s="237">
        <v>40.0</v>
      </c>
    </row>
    <row r="317">
      <c r="A317" s="236" t="s">
        <v>281</v>
      </c>
      <c r="B317" s="237">
        <v>530.0</v>
      </c>
      <c r="C317" s="236" t="s">
        <v>492</v>
      </c>
      <c r="D317" s="236" t="s">
        <v>934</v>
      </c>
      <c r="E317" s="236" t="s">
        <v>281</v>
      </c>
      <c r="F317" s="236" t="s">
        <v>988</v>
      </c>
      <c r="G317" s="237">
        <v>11.0</v>
      </c>
      <c r="H317" s="237">
        <v>22.0</v>
      </c>
      <c r="I317" s="237">
        <v>-11.0</v>
      </c>
      <c r="J317" s="237">
        <v>11.0</v>
      </c>
      <c r="K317" s="237">
        <v>22.0</v>
      </c>
      <c r="L317" s="237">
        <v>-11.0</v>
      </c>
      <c r="M317" s="237">
        <v>32.0</v>
      </c>
      <c r="N317" s="237">
        <v>32.0</v>
      </c>
    </row>
    <row r="318">
      <c r="A318" s="236" t="s">
        <v>160</v>
      </c>
      <c r="B318" s="237">
        <v>6170.0</v>
      </c>
      <c r="C318" s="236" t="s">
        <v>492</v>
      </c>
      <c r="D318" s="236" t="s">
        <v>492</v>
      </c>
      <c r="E318" s="236" t="s">
        <v>160</v>
      </c>
      <c r="F318" s="236" t="s">
        <v>972</v>
      </c>
      <c r="G318" s="237">
        <v>11.0</v>
      </c>
      <c r="H318" s="237">
        <v>4.0</v>
      </c>
      <c r="I318" s="237">
        <v>7.0</v>
      </c>
      <c r="J318" s="237">
        <v>11.0</v>
      </c>
      <c r="K318" s="237">
        <v>4.0</v>
      </c>
      <c r="L318" s="237">
        <v>7.0</v>
      </c>
      <c r="M318" s="237">
        <v>15.0</v>
      </c>
      <c r="N318" s="237">
        <v>15.0</v>
      </c>
    </row>
    <row r="319">
      <c r="A319" s="236" t="s">
        <v>189</v>
      </c>
      <c r="B319" s="237">
        <v>6190.0</v>
      </c>
      <c r="C319" s="236" t="s">
        <v>492</v>
      </c>
      <c r="D319" s="236" t="s">
        <v>492</v>
      </c>
      <c r="E319" s="236" t="s">
        <v>189</v>
      </c>
      <c r="F319" s="236" t="s">
        <v>988</v>
      </c>
      <c r="G319" s="237">
        <v>11.0</v>
      </c>
      <c r="H319" s="237">
        <v>1.0</v>
      </c>
      <c r="I319" s="237">
        <v>10.0</v>
      </c>
      <c r="J319" s="237">
        <v>11.0</v>
      </c>
      <c r="K319" s="237">
        <v>1.0</v>
      </c>
      <c r="L319" s="237">
        <v>10.0</v>
      </c>
      <c r="M319" s="237">
        <v>20.0</v>
      </c>
      <c r="N319" s="237">
        <v>20.0</v>
      </c>
    </row>
    <row r="320">
      <c r="A320" s="236" t="s">
        <v>253</v>
      </c>
      <c r="B320" s="237">
        <v>4479.0</v>
      </c>
      <c r="C320" s="236" t="s">
        <v>492</v>
      </c>
      <c r="D320" s="236" t="s">
        <v>1057</v>
      </c>
      <c r="E320" s="236" t="s">
        <v>253</v>
      </c>
      <c r="F320" s="236" t="s">
        <v>972</v>
      </c>
      <c r="G320" s="237">
        <v>11.0</v>
      </c>
      <c r="H320" s="237">
        <v>11.0</v>
      </c>
      <c r="I320" s="237">
        <v>0.0</v>
      </c>
      <c r="J320" s="237">
        <v>11.0</v>
      </c>
      <c r="K320" s="237">
        <v>11.0</v>
      </c>
      <c r="L320" s="237">
        <v>0.0</v>
      </c>
      <c r="M320" s="237">
        <v>25.0</v>
      </c>
      <c r="N320" s="237">
        <v>25.0</v>
      </c>
    </row>
    <row r="321">
      <c r="A321" s="236" t="s">
        <v>803</v>
      </c>
      <c r="B321" s="237">
        <v>2077.0</v>
      </c>
      <c r="C321" s="236" t="s">
        <v>492</v>
      </c>
      <c r="D321" s="236" t="s">
        <v>934</v>
      </c>
      <c r="E321" s="236" t="s">
        <v>803</v>
      </c>
      <c r="F321" s="236" t="s">
        <v>980</v>
      </c>
      <c r="G321" s="237">
        <v>10.0</v>
      </c>
      <c r="H321" s="237">
        <v>15.0</v>
      </c>
      <c r="I321" s="237">
        <v>-5.0</v>
      </c>
      <c r="J321" s="237">
        <v>10.0</v>
      </c>
      <c r="K321" s="237">
        <v>15.0</v>
      </c>
      <c r="L321" s="237">
        <v>-5.0</v>
      </c>
      <c r="M321" s="237">
        <v>31.0</v>
      </c>
      <c r="N321" s="237">
        <v>31.0</v>
      </c>
    </row>
    <row r="322">
      <c r="A322" s="236" t="s">
        <v>617</v>
      </c>
      <c r="B322" s="237">
        <v>5559.0</v>
      </c>
      <c r="C322" s="236" t="s">
        <v>492</v>
      </c>
      <c r="D322" s="236" t="s">
        <v>1057</v>
      </c>
      <c r="E322" s="236" t="s">
        <v>617</v>
      </c>
      <c r="F322" s="236" t="s">
        <v>974</v>
      </c>
      <c r="G322" s="237">
        <v>10.0</v>
      </c>
      <c r="H322" s="237">
        <v>12.0</v>
      </c>
      <c r="I322" s="237">
        <v>-2.0</v>
      </c>
      <c r="J322" s="237">
        <v>10.0</v>
      </c>
      <c r="K322" s="237">
        <v>12.0</v>
      </c>
      <c r="L322" s="237">
        <v>-2.0</v>
      </c>
      <c r="M322" s="237">
        <v>21.0</v>
      </c>
      <c r="N322" s="237">
        <v>24.0</v>
      </c>
    </row>
    <row r="323">
      <c r="A323" s="236" t="s">
        <v>754</v>
      </c>
      <c r="B323" s="237">
        <v>4911.0</v>
      </c>
      <c r="C323" s="236" t="s">
        <v>492</v>
      </c>
      <c r="D323" s="236" t="s">
        <v>492</v>
      </c>
      <c r="E323" s="236" t="s">
        <v>754</v>
      </c>
      <c r="F323" s="236" t="s">
        <v>976</v>
      </c>
      <c r="G323" s="237">
        <v>10.0</v>
      </c>
      <c r="H323" s="237">
        <v>20.0</v>
      </c>
      <c r="I323" s="237">
        <v>-10.0</v>
      </c>
      <c r="J323" s="237">
        <v>9.0</v>
      </c>
      <c r="K323" s="237">
        <v>19.0</v>
      </c>
      <c r="L323" s="237">
        <v>-10.0</v>
      </c>
      <c r="M323" s="237">
        <v>17.0</v>
      </c>
      <c r="N323" s="237">
        <v>17.0</v>
      </c>
    </row>
    <row r="324">
      <c r="A324" s="236" t="s">
        <v>863</v>
      </c>
      <c r="B324" s="237">
        <v>4364.0</v>
      </c>
      <c r="C324" s="236" t="s">
        <v>492</v>
      </c>
      <c r="D324" s="236" t="s">
        <v>543</v>
      </c>
      <c r="E324" s="236" t="s">
        <v>863</v>
      </c>
      <c r="F324" s="236" t="s">
        <v>975</v>
      </c>
      <c r="G324" s="237">
        <v>10.0</v>
      </c>
      <c r="H324" s="237">
        <v>9.0</v>
      </c>
      <c r="I324" s="237">
        <v>1.0</v>
      </c>
      <c r="J324" s="237">
        <v>10.0</v>
      </c>
      <c r="K324" s="237">
        <v>8.0</v>
      </c>
      <c r="L324" s="237">
        <v>2.0</v>
      </c>
      <c r="M324" s="237">
        <v>17.0</v>
      </c>
      <c r="N324" s="237">
        <v>14.0</v>
      </c>
    </row>
    <row r="325">
      <c r="A325" s="236" t="s">
        <v>808</v>
      </c>
      <c r="B325" s="237">
        <v>5423.0</v>
      </c>
      <c r="C325" s="236" t="s">
        <v>492</v>
      </c>
      <c r="D325" s="236" t="s">
        <v>930</v>
      </c>
      <c r="E325" s="236" t="s">
        <v>808</v>
      </c>
      <c r="F325" s="236" t="s">
        <v>1033</v>
      </c>
      <c r="G325" s="237">
        <v>10.0</v>
      </c>
      <c r="H325" s="237">
        <v>5.0</v>
      </c>
      <c r="I325" s="237">
        <v>5.0</v>
      </c>
      <c r="J325" s="237">
        <v>11.0</v>
      </c>
      <c r="K325" s="237">
        <v>6.0</v>
      </c>
      <c r="L325" s="237">
        <v>5.0</v>
      </c>
      <c r="M325" s="237">
        <v>20.0</v>
      </c>
      <c r="N325" s="237">
        <v>25.0</v>
      </c>
    </row>
    <row r="326">
      <c r="A326" s="236" t="s">
        <v>1276</v>
      </c>
      <c r="B326" s="237">
        <v>5507.0</v>
      </c>
      <c r="C326" s="236" t="s">
        <v>492</v>
      </c>
      <c r="D326" s="236" t="s">
        <v>492</v>
      </c>
      <c r="E326" s="236" t="s">
        <v>1276</v>
      </c>
      <c r="F326" s="236" t="s">
        <v>1233</v>
      </c>
      <c r="G326" s="237">
        <v>10.0</v>
      </c>
      <c r="H326" s="237">
        <v>7.0</v>
      </c>
      <c r="I326" s="237">
        <v>3.0</v>
      </c>
      <c r="J326" s="237">
        <v>10.0</v>
      </c>
      <c r="K326" s="237">
        <v>7.0</v>
      </c>
      <c r="L326" s="237">
        <v>3.0</v>
      </c>
      <c r="M326" s="237">
        <v>17.0</v>
      </c>
      <c r="N326" s="237">
        <v>17.0</v>
      </c>
    </row>
    <row r="327">
      <c r="A327" s="236" t="s">
        <v>156</v>
      </c>
      <c r="B327" s="237">
        <v>6967.0</v>
      </c>
      <c r="C327" s="236" t="s">
        <v>492</v>
      </c>
      <c r="D327" s="236" t="s">
        <v>935</v>
      </c>
      <c r="E327" s="236" t="s">
        <v>156</v>
      </c>
      <c r="F327" s="236" t="s">
        <v>974</v>
      </c>
      <c r="G327" s="237">
        <v>10.0</v>
      </c>
      <c r="H327" s="237">
        <v>8.0</v>
      </c>
      <c r="I327" s="237">
        <v>2.0</v>
      </c>
      <c r="J327" s="237">
        <v>10.0</v>
      </c>
      <c r="K327" s="237">
        <v>7.0</v>
      </c>
      <c r="L327" s="237">
        <v>3.0</v>
      </c>
      <c r="M327" s="237">
        <v>38.0</v>
      </c>
      <c r="N327" s="237">
        <v>38.0</v>
      </c>
    </row>
    <row r="328">
      <c r="A328" s="236" t="s">
        <v>150</v>
      </c>
      <c r="B328" s="237">
        <v>5888.0</v>
      </c>
      <c r="C328" s="236" t="s">
        <v>492</v>
      </c>
      <c r="D328" s="236" t="s">
        <v>934</v>
      </c>
      <c r="E328" s="236" t="s">
        <v>150</v>
      </c>
      <c r="F328" s="236" t="s">
        <v>972</v>
      </c>
      <c r="G328" s="237">
        <v>10.0</v>
      </c>
      <c r="H328" s="237">
        <v>10.0</v>
      </c>
      <c r="I328" s="237">
        <v>0.0</v>
      </c>
      <c r="J328" s="237">
        <v>11.0</v>
      </c>
      <c r="K328" s="237">
        <v>11.0</v>
      </c>
      <c r="L328" s="237">
        <v>0.0</v>
      </c>
      <c r="M328" s="237">
        <v>23.0</v>
      </c>
      <c r="N328" s="237">
        <v>26.0</v>
      </c>
    </row>
    <row r="329">
      <c r="A329" s="236" t="s">
        <v>1230</v>
      </c>
      <c r="B329" s="237">
        <v>440.0</v>
      </c>
      <c r="C329" s="236" t="s">
        <v>492</v>
      </c>
      <c r="D329" s="236" t="s">
        <v>934</v>
      </c>
      <c r="E329" s="236" t="s">
        <v>1230</v>
      </c>
      <c r="F329" s="236" t="s">
        <v>975</v>
      </c>
      <c r="G329" s="237">
        <v>9.0</v>
      </c>
      <c r="H329" s="237">
        <v>6.0</v>
      </c>
      <c r="I329" s="237">
        <v>3.0</v>
      </c>
      <c r="J329" s="237">
        <v>9.0</v>
      </c>
      <c r="K329" s="237">
        <v>6.0</v>
      </c>
      <c r="L329" s="237">
        <v>3.0</v>
      </c>
      <c r="M329" s="237">
        <v>13.0</v>
      </c>
      <c r="N329" s="237">
        <v>10.0</v>
      </c>
    </row>
    <row r="330">
      <c r="A330" s="236" t="s">
        <v>285</v>
      </c>
      <c r="B330" s="237">
        <v>6010.0</v>
      </c>
      <c r="C330" s="236" t="s">
        <v>492</v>
      </c>
      <c r="D330" s="236" t="s">
        <v>934</v>
      </c>
      <c r="E330" s="236" t="s">
        <v>285</v>
      </c>
      <c r="F330" s="236" t="s">
        <v>1222</v>
      </c>
      <c r="G330" s="237">
        <v>9.0</v>
      </c>
      <c r="H330" s="237">
        <v>4.0</v>
      </c>
      <c r="I330" s="237">
        <v>5.0</v>
      </c>
      <c r="J330" s="237">
        <v>9.0</v>
      </c>
      <c r="K330" s="237">
        <v>4.0</v>
      </c>
      <c r="L330" s="237">
        <v>5.0</v>
      </c>
      <c r="M330" s="237">
        <v>17.0</v>
      </c>
      <c r="N330" s="237">
        <v>17.0</v>
      </c>
    </row>
    <row r="331">
      <c r="A331" s="236" t="s">
        <v>832</v>
      </c>
      <c r="B331" s="237">
        <v>170.0</v>
      </c>
      <c r="C331" s="236" t="s">
        <v>492</v>
      </c>
      <c r="D331" s="236" t="s">
        <v>930</v>
      </c>
      <c r="E331" s="236" t="s">
        <v>832</v>
      </c>
      <c r="F331" s="236" t="s">
        <v>1026</v>
      </c>
      <c r="G331" s="237">
        <v>9.0</v>
      </c>
      <c r="H331" s="237">
        <v>6.0</v>
      </c>
      <c r="I331" s="237">
        <v>3.0</v>
      </c>
      <c r="J331" s="237">
        <v>9.0</v>
      </c>
      <c r="K331" s="237">
        <v>6.0</v>
      </c>
      <c r="L331" s="237">
        <v>3.0</v>
      </c>
      <c r="M331" s="237">
        <v>16.0</v>
      </c>
      <c r="N331" s="237">
        <v>21.0</v>
      </c>
    </row>
    <row r="332">
      <c r="A332" s="236" t="s">
        <v>713</v>
      </c>
      <c r="B332" s="237">
        <v>5719.0</v>
      </c>
      <c r="C332" s="236" t="s">
        <v>492</v>
      </c>
      <c r="D332" s="236" t="s">
        <v>930</v>
      </c>
      <c r="E332" s="236" t="s">
        <v>713</v>
      </c>
      <c r="F332" s="236" t="s">
        <v>973</v>
      </c>
      <c r="G332" s="237">
        <v>9.0</v>
      </c>
      <c r="H332" s="237">
        <v>5.0</v>
      </c>
      <c r="I332" s="237">
        <v>4.0</v>
      </c>
      <c r="J332" s="237">
        <v>9.0</v>
      </c>
      <c r="K332" s="237">
        <v>6.0</v>
      </c>
      <c r="L332" s="237">
        <v>3.0</v>
      </c>
      <c r="M332" s="237">
        <v>17.0</v>
      </c>
      <c r="N332" s="237">
        <v>22.0</v>
      </c>
    </row>
    <row r="333">
      <c r="A333" s="236" t="s">
        <v>637</v>
      </c>
      <c r="B333" s="237">
        <v>4459.0</v>
      </c>
      <c r="C333" s="236" t="s">
        <v>492</v>
      </c>
      <c r="D333" s="236" t="s">
        <v>930</v>
      </c>
      <c r="E333" s="236" t="s">
        <v>637</v>
      </c>
      <c r="F333" s="236" t="s">
        <v>1000</v>
      </c>
      <c r="G333" s="237">
        <v>9.0</v>
      </c>
      <c r="H333" s="237">
        <v>7.0</v>
      </c>
      <c r="I333" s="237">
        <v>2.0</v>
      </c>
      <c r="J333" s="237">
        <v>9.0</v>
      </c>
      <c r="K333" s="237">
        <v>7.0</v>
      </c>
      <c r="L333" s="237">
        <v>2.0</v>
      </c>
      <c r="M333" s="237">
        <v>24.0</v>
      </c>
      <c r="N333" s="237">
        <v>29.0</v>
      </c>
    </row>
    <row r="334">
      <c r="A334" s="236" t="s">
        <v>771</v>
      </c>
      <c r="B334" s="237">
        <v>181.0</v>
      </c>
      <c r="C334" s="236" t="s">
        <v>492</v>
      </c>
      <c r="D334" s="236" t="s">
        <v>930</v>
      </c>
      <c r="E334" s="236" t="s">
        <v>771</v>
      </c>
      <c r="F334" s="236" t="s">
        <v>1000</v>
      </c>
      <c r="G334" s="237">
        <v>9.0</v>
      </c>
      <c r="H334" s="237">
        <v>7.0</v>
      </c>
      <c r="I334" s="237">
        <v>2.0</v>
      </c>
      <c r="J334" s="237">
        <v>9.0</v>
      </c>
      <c r="K334" s="237">
        <v>8.0</v>
      </c>
      <c r="L334" s="237">
        <v>1.0</v>
      </c>
      <c r="M334" s="237">
        <v>11.0</v>
      </c>
      <c r="N334" s="237">
        <v>14.0</v>
      </c>
    </row>
    <row r="335">
      <c r="A335" s="236" t="s">
        <v>444</v>
      </c>
      <c r="B335" s="237">
        <v>4199.0</v>
      </c>
      <c r="C335" s="236" t="s">
        <v>492</v>
      </c>
      <c r="D335" s="236" t="s">
        <v>934</v>
      </c>
      <c r="E335" s="236" t="s">
        <v>444</v>
      </c>
      <c r="F335" s="236" t="s">
        <v>991</v>
      </c>
      <c r="G335" s="237">
        <v>9.0</v>
      </c>
      <c r="H335" s="237">
        <v>19.0</v>
      </c>
      <c r="I335" s="237">
        <v>-10.0</v>
      </c>
      <c r="J335" s="237">
        <v>9.0</v>
      </c>
      <c r="K335" s="237">
        <v>19.0</v>
      </c>
      <c r="L335" s="237">
        <v>-10.0</v>
      </c>
      <c r="M335" s="237">
        <v>12.0</v>
      </c>
      <c r="N335" s="237">
        <v>12.0</v>
      </c>
    </row>
    <row r="336">
      <c r="A336" s="236" t="s">
        <v>151</v>
      </c>
      <c r="B336" s="237">
        <v>4856.0</v>
      </c>
      <c r="C336" s="236" t="s">
        <v>492</v>
      </c>
      <c r="D336" s="236" t="s">
        <v>935</v>
      </c>
      <c r="E336" s="236" t="s">
        <v>151</v>
      </c>
      <c r="F336" s="236" t="s">
        <v>991</v>
      </c>
      <c r="G336" s="237">
        <v>9.0</v>
      </c>
      <c r="H336" s="237">
        <v>11.0</v>
      </c>
      <c r="I336" s="237">
        <v>-2.0</v>
      </c>
      <c r="J336" s="237">
        <v>9.0</v>
      </c>
      <c r="K336" s="237">
        <v>10.0</v>
      </c>
      <c r="L336" s="237">
        <v>-1.0</v>
      </c>
      <c r="M336" s="237">
        <v>26.0</v>
      </c>
      <c r="N336" s="237">
        <v>26.0</v>
      </c>
    </row>
    <row r="337">
      <c r="A337" s="236" t="s">
        <v>609</v>
      </c>
      <c r="B337" s="237">
        <v>4287.0</v>
      </c>
      <c r="C337" s="236" t="s">
        <v>492</v>
      </c>
      <c r="D337" s="236" t="s">
        <v>930</v>
      </c>
      <c r="E337" s="236" t="s">
        <v>609</v>
      </c>
      <c r="F337" s="236" t="s">
        <v>987</v>
      </c>
      <c r="G337" s="237">
        <v>9.0</v>
      </c>
      <c r="H337" s="237">
        <v>9.0</v>
      </c>
      <c r="I337" s="237">
        <v>0.0</v>
      </c>
      <c r="J337" s="237">
        <v>9.0</v>
      </c>
      <c r="K337" s="237">
        <v>10.0</v>
      </c>
      <c r="L337" s="237">
        <v>-1.0</v>
      </c>
      <c r="M337" s="237">
        <v>23.0</v>
      </c>
      <c r="N337" s="237">
        <v>28.0</v>
      </c>
    </row>
    <row r="338">
      <c r="A338" s="236" t="s">
        <v>773</v>
      </c>
      <c r="B338" s="237">
        <v>6666.0</v>
      </c>
      <c r="C338" s="236" t="s">
        <v>492</v>
      </c>
      <c r="D338" s="236" t="s">
        <v>934</v>
      </c>
      <c r="E338" s="236" t="s">
        <v>773</v>
      </c>
      <c r="F338" s="236" t="s">
        <v>985</v>
      </c>
      <c r="G338" s="237">
        <v>9.0</v>
      </c>
      <c r="H338" s="237">
        <v>14.0</v>
      </c>
      <c r="I338" s="237">
        <v>-5.0</v>
      </c>
      <c r="J338" s="237">
        <v>9.0</v>
      </c>
      <c r="K338" s="237">
        <v>14.0</v>
      </c>
      <c r="L338" s="237">
        <v>-5.0</v>
      </c>
      <c r="M338" s="237">
        <v>20.0</v>
      </c>
      <c r="N338" s="237">
        <v>20.0</v>
      </c>
    </row>
    <row r="339">
      <c r="A339" s="236" t="s">
        <v>324</v>
      </c>
      <c r="B339" s="237">
        <v>5823.0</v>
      </c>
      <c r="C339" s="236" t="s">
        <v>492</v>
      </c>
      <c r="D339" s="236" t="s">
        <v>947</v>
      </c>
      <c r="E339" s="236" t="s">
        <v>324</v>
      </c>
      <c r="F339" s="236" t="s">
        <v>988</v>
      </c>
      <c r="G339" s="237">
        <v>9.0</v>
      </c>
      <c r="H339" s="237">
        <v>8.0</v>
      </c>
      <c r="I339" s="237">
        <v>1.0</v>
      </c>
      <c r="J339" s="237">
        <v>9.0</v>
      </c>
      <c r="K339" s="237">
        <v>8.0</v>
      </c>
      <c r="L339" s="237">
        <v>1.0</v>
      </c>
      <c r="M339" s="237">
        <v>10.0</v>
      </c>
      <c r="N339" s="237">
        <v>10.0</v>
      </c>
    </row>
    <row r="340">
      <c r="A340" s="236" t="s">
        <v>1035</v>
      </c>
      <c r="B340" s="237">
        <v>4677.0</v>
      </c>
      <c r="C340" s="236" t="s">
        <v>492</v>
      </c>
      <c r="D340" s="236" t="s">
        <v>935</v>
      </c>
      <c r="E340" s="236" t="s">
        <v>1035</v>
      </c>
      <c r="F340" s="236" t="s">
        <v>1026</v>
      </c>
      <c r="G340" s="237">
        <v>9.0</v>
      </c>
      <c r="H340" s="237">
        <v>8.0</v>
      </c>
      <c r="I340" s="237">
        <v>1.0</v>
      </c>
      <c r="J340" s="237">
        <v>8.0</v>
      </c>
      <c r="K340" s="237">
        <v>7.0</v>
      </c>
      <c r="L340" s="237">
        <v>1.0</v>
      </c>
      <c r="M340" s="237">
        <v>24.0</v>
      </c>
      <c r="N340" s="237">
        <v>24.0</v>
      </c>
    </row>
    <row r="341">
      <c r="A341" s="236" t="s">
        <v>280</v>
      </c>
      <c r="B341" s="237">
        <v>1976.0</v>
      </c>
      <c r="C341" s="236" t="s">
        <v>492</v>
      </c>
      <c r="D341" s="236" t="s">
        <v>930</v>
      </c>
      <c r="E341" s="236" t="s">
        <v>280</v>
      </c>
      <c r="F341" s="236" t="s">
        <v>974</v>
      </c>
      <c r="G341" s="237">
        <v>8.0</v>
      </c>
      <c r="H341" s="237">
        <v>8.0</v>
      </c>
      <c r="I341" s="237">
        <v>0.0</v>
      </c>
      <c r="J341" s="237">
        <v>8.0</v>
      </c>
      <c r="K341" s="237">
        <v>9.0</v>
      </c>
      <c r="L341" s="237">
        <v>-1.0</v>
      </c>
      <c r="M341" s="237">
        <v>9.0</v>
      </c>
      <c r="N341" s="237">
        <v>12.0</v>
      </c>
    </row>
    <row r="342">
      <c r="A342" s="236" t="s">
        <v>902</v>
      </c>
      <c r="B342" s="237">
        <v>4498.0</v>
      </c>
      <c r="C342" s="236" t="s">
        <v>492</v>
      </c>
      <c r="D342" s="236" t="s">
        <v>934</v>
      </c>
      <c r="E342" s="236" t="s">
        <v>902</v>
      </c>
      <c r="F342" s="236" t="s">
        <v>1222</v>
      </c>
      <c r="G342" s="237">
        <v>8.0</v>
      </c>
      <c r="H342" s="237">
        <v>4.0</v>
      </c>
      <c r="I342" s="237">
        <v>4.0</v>
      </c>
      <c r="J342" s="237">
        <v>8.0</v>
      </c>
      <c r="K342" s="237">
        <v>4.0</v>
      </c>
      <c r="L342" s="237">
        <v>4.0</v>
      </c>
      <c r="M342" s="237">
        <v>15.0</v>
      </c>
      <c r="N342" s="237">
        <v>15.0</v>
      </c>
    </row>
    <row r="343">
      <c r="A343" s="236" t="s">
        <v>1286</v>
      </c>
      <c r="B343" s="237">
        <v>5880.0</v>
      </c>
      <c r="C343" s="236" t="s">
        <v>492</v>
      </c>
      <c r="D343" s="236" t="s">
        <v>1089</v>
      </c>
      <c r="E343" s="236" t="s">
        <v>1286</v>
      </c>
      <c r="F343" s="236" t="s">
        <v>1225</v>
      </c>
      <c r="G343" s="237">
        <v>8.0</v>
      </c>
      <c r="H343" s="237">
        <v>5.0</v>
      </c>
      <c r="I343" s="237">
        <v>3.0</v>
      </c>
      <c r="J343" s="237">
        <v>8.0</v>
      </c>
      <c r="K343" s="237">
        <v>6.0</v>
      </c>
      <c r="L343" s="237">
        <v>2.0</v>
      </c>
      <c r="M343" s="237">
        <v>23.0</v>
      </c>
      <c r="N343" s="237">
        <v>23.0</v>
      </c>
    </row>
    <row r="344">
      <c r="A344" s="236" t="s">
        <v>747</v>
      </c>
      <c r="B344" s="237">
        <v>779.0</v>
      </c>
      <c r="C344" s="236" t="s">
        <v>492</v>
      </c>
      <c r="D344" s="236" t="s">
        <v>930</v>
      </c>
      <c r="E344" s="236" t="s">
        <v>747</v>
      </c>
      <c r="F344" s="236" t="s">
        <v>988</v>
      </c>
      <c r="G344" s="237">
        <v>8.0</v>
      </c>
      <c r="H344" s="237">
        <v>9.0</v>
      </c>
      <c r="I344" s="237">
        <v>-1.0</v>
      </c>
      <c r="J344" s="237">
        <v>8.0</v>
      </c>
      <c r="K344" s="237">
        <v>10.0</v>
      </c>
      <c r="L344" s="237">
        <v>-2.0</v>
      </c>
      <c r="M344" s="237">
        <v>10.0</v>
      </c>
      <c r="N344" s="237">
        <v>13.0</v>
      </c>
    </row>
    <row r="345">
      <c r="A345" s="236" t="s">
        <v>730</v>
      </c>
      <c r="B345" s="237">
        <v>5007.0</v>
      </c>
      <c r="C345" s="236" t="s">
        <v>492</v>
      </c>
      <c r="D345" s="236" t="s">
        <v>492</v>
      </c>
      <c r="E345" s="236" t="s">
        <v>730</v>
      </c>
      <c r="F345" s="236" t="s">
        <v>972</v>
      </c>
      <c r="G345" s="237">
        <v>8.0</v>
      </c>
      <c r="H345" s="237">
        <v>7.0</v>
      </c>
      <c r="I345" s="237">
        <v>1.0</v>
      </c>
      <c r="J345" s="237">
        <v>8.0</v>
      </c>
      <c r="K345" s="237">
        <v>7.0</v>
      </c>
      <c r="L345" s="237">
        <v>1.0</v>
      </c>
      <c r="M345" s="237">
        <v>16.0</v>
      </c>
      <c r="N345" s="237">
        <v>16.0</v>
      </c>
    </row>
    <row r="346">
      <c r="A346" s="236" t="s">
        <v>729</v>
      </c>
      <c r="B346" s="237">
        <v>5688.0</v>
      </c>
      <c r="C346" s="236" t="s">
        <v>492</v>
      </c>
      <c r="D346" s="236" t="s">
        <v>1057</v>
      </c>
      <c r="E346" s="236" t="s">
        <v>729</v>
      </c>
      <c r="F346" s="236" t="s">
        <v>983</v>
      </c>
      <c r="G346" s="237">
        <v>8.0</v>
      </c>
      <c r="H346" s="237">
        <v>13.0</v>
      </c>
      <c r="I346" s="237">
        <v>-5.0</v>
      </c>
      <c r="J346" s="237">
        <v>8.0</v>
      </c>
      <c r="K346" s="237">
        <v>13.0</v>
      </c>
      <c r="L346" s="237">
        <v>-5.0</v>
      </c>
      <c r="M346" s="237">
        <v>20.0</v>
      </c>
      <c r="N346" s="237">
        <v>23.0</v>
      </c>
    </row>
    <row r="347">
      <c r="A347" s="236" t="s">
        <v>1320</v>
      </c>
      <c r="B347" s="237">
        <v>6676.0</v>
      </c>
      <c r="C347" s="236" t="s">
        <v>492</v>
      </c>
      <c r="D347" s="236" t="s">
        <v>930</v>
      </c>
      <c r="E347" s="236" t="s">
        <v>1320</v>
      </c>
      <c r="F347" s="236" t="s">
        <v>974</v>
      </c>
      <c r="G347" s="237">
        <v>8.0</v>
      </c>
      <c r="H347" s="237">
        <v>4.0</v>
      </c>
      <c r="I347" s="237">
        <v>4.0</v>
      </c>
      <c r="J347" s="237">
        <v>8.0</v>
      </c>
      <c r="K347" s="237">
        <v>4.0</v>
      </c>
      <c r="L347" s="237">
        <v>4.0</v>
      </c>
      <c r="M347" s="237">
        <v>14.0</v>
      </c>
      <c r="N347" s="237">
        <v>17.0</v>
      </c>
    </row>
    <row r="348">
      <c r="A348" s="236" t="s">
        <v>749</v>
      </c>
      <c r="B348" s="237">
        <v>6684.0</v>
      </c>
      <c r="C348" s="236" t="s">
        <v>492</v>
      </c>
      <c r="D348" s="236" t="s">
        <v>934</v>
      </c>
      <c r="E348" s="236" t="s">
        <v>749</v>
      </c>
      <c r="F348" s="236" t="s">
        <v>993</v>
      </c>
      <c r="G348" s="237">
        <v>8.0</v>
      </c>
      <c r="H348" s="237">
        <v>6.0</v>
      </c>
      <c r="I348" s="237">
        <v>2.0</v>
      </c>
      <c r="J348" s="237">
        <v>8.0</v>
      </c>
      <c r="K348" s="237">
        <v>6.0</v>
      </c>
      <c r="L348" s="237">
        <v>2.0</v>
      </c>
      <c r="M348" s="237">
        <v>21.0</v>
      </c>
      <c r="N348" s="237">
        <v>21.0</v>
      </c>
    </row>
    <row r="349">
      <c r="A349" s="236" t="s">
        <v>95</v>
      </c>
      <c r="B349" s="237">
        <v>5036.0</v>
      </c>
      <c r="C349" s="236" t="s">
        <v>492</v>
      </c>
      <c r="D349" s="236" t="s">
        <v>492</v>
      </c>
      <c r="E349" s="236" t="s">
        <v>95</v>
      </c>
      <c r="F349" s="236" t="s">
        <v>974</v>
      </c>
      <c r="G349" s="237">
        <v>8.0</v>
      </c>
      <c r="H349" s="237">
        <v>8.0</v>
      </c>
      <c r="I349" s="237">
        <v>0.0</v>
      </c>
      <c r="J349" s="237">
        <v>7.0</v>
      </c>
      <c r="K349" s="237">
        <v>7.0</v>
      </c>
      <c r="L349" s="237">
        <v>0.0</v>
      </c>
      <c r="M349" s="237">
        <v>22.0</v>
      </c>
      <c r="N349" s="237">
        <v>22.0</v>
      </c>
    </row>
    <row r="350">
      <c r="A350" s="236" t="s">
        <v>673</v>
      </c>
      <c r="B350" s="237">
        <v>6394.0</v>
      </c>
      <c r="C350" s="236" t="s">
        <v>492</v>
      </c>
      <c r="D350" s="236" t="s">
        <v>930</v>
      </c>
      <c r="E350" s="236" t="s">
        <v>673</v>
      </c>
      <c r="F350" s="236" t="s">
        <v>998</v>
      </c>
      <c r="G350" s="237">
        <v>7.0</v>
      </c>
      <c r="H350" s="237">
        <v>5.0</v>
      </c>
      <c r="I350" s="237">
        <v>2.0</v>
      </c>
      <c r="J350" s="237">
        <v>7.0</v>
      </c>
      <c r="K350" s="237">
        <v>6.0</v>
      </c>
      <c r="L350" s="237">
        <v>1.0</v>
      </c>
      <c r="M350" s="237">
        <v>12.0</v>
      </c>
      <c r="N350" s="237">
        <v>17.0</v>
      </c>
    </row>
    <row r="351">
      <c r="A351" s="236" t="s">
        <v>1101</v>
      </c>
      <c r="B351" s="237">
        <v>5457.0</v>
      </c>
      <c r="C351" s="236" t="s">
        <v>492</v>
      </c>
      <c r="D351" s="236" t="s">
        <v>492</v>
      </c>
      <c r="E351" s="236" t="s">
        <v>1101</v>
      </c>
      <c r="F351" s="236" t="s">
        <v>1222</v>
      </c>
      <c r="G351" s="237">
        <v>7.0</v>
      </c>
      <c r="H351" s="237">
        <v>3.0</v>
      </c>
      <c r="I351" s="237">
        <v>4.0</v>
      </c>
      <c r="J351" s="237">
        <v>7.0</v>
      </c>
      <c r="K351" s="237">
        <v>3.0</v>
      </c>
      <c r="L351" s="237">
        <v>4.0</v>
      </c>
      <c r="M351" s="237">
        <v>13.0</v>
      </c>
      <c r="N351" s="237">
        <v>13.0</v>
      </c>
    </row>
    <row r="352">
      <c r="A352" s="236" t="s">
        <v>1013</v>
      </c>
      <c r="B352" s="237">
        <v>5992.0</v>
      </c>
      <c r="C352" s="236" t="s">
        <v>492</v>
      </c>
      <c r="D352" s="236" t="s">
        <v>930</v>
      </c>
      <c r="E352" s="236" t="s">
        <v>1013</v>
      </c>
      <c r="F352" s="236" t="s">
        <v>1225</v>
      </c>
      <c r="G352" s="237">
        <v>7.0</v>
      </c>
      <c r="H352" s="237">
        <v>3.0</v>
      </c>
      <c r="I352" s="237">
        <v>4.0</v>
      </c>
      <c r="J352" s="237">
        <v>7.0</v>
      </c>
      <c r="K352" s="237">
        <v>3.0</v>
      </c>
      <c r="L352" s="237">
        <v>4.0</v>
      </c>
      <c r="M352" s="237">
        <v>14.0</v>
      </c>
      <c r="N352" s="237">
        <v>17.0</v>
      </c>
    </row>
    <row r="353">
      <c r="A353" s="236" t="s">
        <v>1084</v>
      </c>
      <c r="B353" s="237">
        <v>2117.0</v>
      </c>
      <c r="C353" s="236" t="s">
        <v>492</v>
      </c>
      <c r="D353" s="236" t="s">
        <v>934</v>
      </c>
      <c r="E353" s="236" t="s">
        <v>1084</v>
      </c>
      <c r="F353" s="236" t="s">
        <v>983</v>
      </c>
      <c r="G353" s="237">
        <v>7.0</v>
      </c>
      <c r="H353" s="237">
        <v>4.0</v>
      </c>
      <c r="I353" s="237">
        <v>3.0</v>
      </c>
      <c r="J353" s="237">
        <v>7.0</v>
      </c>
      <c r="K353" s="237">
        <v>4.0</v>
      </c>
      <c r="L353" s="237">
        <v>3.0</v>
      </c>
      <c r="M353" s="237">
        <v>9.0</v>
      </c>
      <c r="N353" s="237">
        <v>9.0</v>
      </c>
    </row>
    <row r="354">
      <c r="A354" s="236" t="s">
        <v>1037</v>
      </c>
      <c r="B354" s="237">
        <v>5504.0</v>
      </c>
      <c r="C354" s="236" t="s">
        <v>492</v>
      </c>
      <c r="D354" s="236" t="s">
        <v>930</v>
      </c>
      <c r="E354" s="236" t="s">
        <v>1037</v>
      </c>
      <c r="F354" s="236" t="s">
        <v>998</v>
      </c>
      <c r="G354" s="237">
        <v>7.0</v>
      </c>
      <c r="H354" s="237">
        <v>5.0</v>
      </c>
      <c r="I354" s="237">
        <v>2.0</v>
      </c>
      <c r="J354" s="237">
        <v>7.0</v>
      </c>
      <c r="K354" s="237">
        <v>5.0</v>
      </c>
      <c r="L354" s="237">
        <v>2.0</v>
      </c>
      <c r="M354" s="237">
        <v>14.0</v>
      </c>
      <c r="N354" s="237">
        <v>19.0</v>
      </c>
    </row>
    <row r="355">
      <c r="A355" s="236" t="s">
        <v>1543</v>
      </c>
      <c r="B355" s="237">
        <v>6821.0</v>
      </c>
      <c r="C355" s="236" t="s">
        <v>492</v>
      </c>
      <c r="D355" s="236" t="s">
        <v>1242</v>
      </c>
      <c r="E355" s="236" t="s">
        <v>1543</v>
      </c>
      <c r="F355" s="236" t="s">
        <v>985</v>
      </c>
      <c r="G355" s="237">
        <v>7.0</v>
      </c>
      <c r="H355" s="237">
        <v>1.0</v>
      </c>
      <c r="I355" s="237">
        <v>6.0</v>
      </c>
      <c r="J355" s="237">
        <v>7.0</v>
      </c>
      <c r="K355" s="237">
        <v>1.0</v>
      </c>
      <c r="L355" s="237">
        <v>6.0</v>
      </c>
      <c r="M355" s="237">
        <v>12.0</v>
      </c>
      <c r="N355" s="237">
        <v>15.0</v>
      </c>
    </row>
    <row r="356">
      <c r="A356" s="236" t="s">
        <v>1134</v>
      </c>
      <c r="B356" s="237">
        <v>6984.0</v>
      </c>
      <c r="C356" s="236" t="s">
        <v>492</v>
      </c>
      <c r="D356" s="236" t="s">
        <v>935</v>
      </c>
      <c r="E356" s="236" t="s">
        <v>1134</v>
      </c>
      <c r="F356" s="236" t="s">
        <v>985</v>
      </c>
      <c r="G356" s="237">
        <v>7.0</v>
      </c>
      <c r="H356" s="237">
        <v>7.0</v>
      </c>
      <c r="I356" s="237">
        <v>0.0</v>
      </c>
      <c r="J356" s="237">
        <v>6.0</v>
      </c>
      <c r="K356" s="237">
        <v>6.0</v>
      </c>
      <c r="L356" s="237">
        <v>0.0</v>
      </c>
      <c r="M356" s="237">
        <v>15.0</v>
      </c>
      <c r="N356" s="237">
        <v>13.0</v>
      </c>
    </row>
    <row r="357">
      <c r="A357" s="236" t="s">
        <v>826</v>
      </c>
      <c r="B357" s="237">
        <v>6054.0</v>
      </c>
      <c r="C357" s="236" t="s">
        <v>492</v>
      </c>
      <c r="D357" s="236" t="s">
        <v>930</v>
      </c>
      <c r="E357" s="236" t="s">
        <v>826</v>
      </c>
      <c r="F357" s="236" t="s">
        <v>1009</v>
      </c>
      <c r="G357" s="237">
        <v>6.0</v>
      </c>
      <c r="H357" s="237">
        <v>2.0</v>
      </c>
      <c r="I357" s="237">
        <v>4.0</v>
      </c>
      <c r="J357" s="237">
        <v>6.0</v>
      </c>
      <c r="K357" s="237">
        <v>2.0</v>
      </c>
      <c r="L357" s="237">
        <v>4.0</v>
      </c>
      <c r="M357" s="237">
        <v>12.0</v>
      </c>
      <c r="N357" s="237">
        <v>15.0</v>
      </c>
    </row>
    <row r="358">
      <c r="A358" s="236" t="s">
        <v>827</v>
      </c>
      <c r="B358" s="237">
        <v>5425.0</v>
      </c>
      <c r="C358" s="236" t="s">
        <v>492</v>
      </c>
      <c r="D358" s="236" t="s">
        <v>1038</v>
      </c>
      <c r="E358" s="236" t="s">
        <v>827</v>
      </c>
      <c r="F358" s="236" t="s">
        <v>1225</v>
      </c>
      <c r="G358" s="237">
        <v>6.0</v>
      </c>
      <c r="H358" s="237">
        <v>5.0</v>
      </c>
      <c r="I358" s="237">
        <v>1.0</v>
      </c>
      <c r="J358" s="237">
        <v>6.0</v>
      </c>
      <c r="K358" s="237">
        <v>6.0</v>
      </c>
      <c r="L358" s="237">
        <v>0.0</v>
      </c>
      <c r="M358" s="237">
        <v>15.0</v>
      </c>
      <c r="N358" s="237">
        <v>17.0</v>
      </c>
    </row>
    <row r="359">
      <c r="A359" s="236" t="s">
        <v>763</v>
      </c>
      <c r="B359" s="237">
        <v>4870.0</v>
      </c>
      <c r="C359" s="236" t="s">
        <v>492</v>
      </c>
      <c r="D359" s="236" t="s">
        <v>930</v>
      </c>
      <c r="E359" s="236" t="s">
        <v>763</v>
      </c>
      <c r="F359" s="236" t="s">
        <v>975</v>
      </c>
      <c r="G359" s="237">
        <v>6.0</v>
      </c>
      <c r="H359" s="237">
        <v>2.0</v>
      </c>
      <c r="I359" s="237">
        <v>4.0</v>
      </c>
      <c r="J359" s="237">
        <v>6.0</v>
      </c>
      <c r="K359" s="237">
        <v>2.0</v>
      </c>
      <c r="L359" s="237">
        <v>4.0</v>
      </c>
      <c r="M359" s="237">
        <v>14.0</v>
      </c>
      <c r="N359" s="237">
        <v>17.0</v>
      </c>
    </row>
    <row r="360">
      <c r="A360" s="236" t="s">
        <v>1262</v>
      </c>
      <c r="B360" s="237">
        <v>4658.0</v>
      </c>
      <c r="C360" s="236" t="s">
        <v>492</v>
      </c>
      <c r="D360" s="236" t="s">
        <v>563</v>
      </c>
      <c r="E360" s="236" t="s">
        <v>1262</v>
      </c>
      <c r="F360" s="236" t="s">
        <v>974</v>
      </c>
      <c r="G360" s="237">
        <v>6.0</v>
      </c>
      <c r="H360" s="237">
        <v>5.0</v>
      </c>
      <c r="I360" s="237">
        <v>1.0</v>
      </c>
      <c r="J360" s="237">
        <v>6.0</v>
      </c>
      <c r="K360" s="237">
        <v>5.0</v>
      </c>
      <c r="L360" s="237">
        <v>1.0</v>
      </c>
      <c r="M360" s="237">
        <v>10.0</v>
      </c>
      <c r="N360" s="237">
        <v>10.0</v>
      </c>
    </row>
    <row r="361">
      <c r="A361" s="236" t="s">
        <v>1194</v>
      </c>
      <c r="B361" s="237">
        <v>4404.0</v>
      </c>
      <c r="C361" s="236" t="s">
        <v>492</v>
      </c>
      <c r="D361" s="236" t="s">
        <v>492</v>
      </c>
      <c r="E361" s="236" t="s">
        <v>1194</v>
      </c>
      <c r="F361" s="236" t="s">
        <v>1026</v>
      </c>
      <c r="G361" s="237">
        <v>6.0</v>
      </c>
      <c r="H361" s="237">
        <v>5.0</v>
      </c>
      <c r="I361" s="237">
        <v>1.0</v>
      </c>
      <c r="J361" s="237">
        <v>6.0</v>
      </c>
      <c r="K361" s="237">
        <v>4.0</v>
      </c>
      <c r="L361" s="237">
        <v>2.0</v>
      </c>
      <c r="M361" s="237">
        <v>15.0</v>
      </c>
      <c r="N361" s="237">
        <v>20.0</v>
      </c>
    </row>
    <row r="362">
      <c r="A362" s="236" t="s">
        <v>829</v>
      </c>
      <c r="B362" s="237">
        <v>5298.0</v>
      </c>
      <c r="C362" s="236" t="s">
        <v>492</v>
      </c>
      <c r="D362" s="236" t="s">
        <v>930</v>
      </c>
      <c r="E362" s="236" t="s">
        <v>829</v>
      </c>
      <c r="F362" s="236" t="s">
        <v>1009</v>
      </c>
      <c r="G362" s="237">
        <v>6.0</v>
      </c>
      <c r="H362" s="237">
        <v>2.0</v>
      </c>
      <c r="I362" s="237">
        <v>4.0</v>
      </c>
      <c r="J362" s="237">
        <v>6.0</v>
      </c>
      <c r="K362" s="237">
        <v>3.0</v>
      </c>
      <c r="L362" s="237">
        <v>3.0</v>
      </c>
      <c r="M362" s="237">
        <v>17.0</v>
      </c>
      <c r="N362" s="237">
        <v>22.0</v>
      </c>
    </row>
    <row r="363">
      <c r="A363" s="236" t="s">
        <v>1115</v>
      </c>
      <c r="B363" s="237">
        <v>5295.0</v>
      </c>
      <c r="C363" s="236" t="s">
        <v>492</v>
      </c>
      <c r="D363" s="236" t="s">
        <v>1056</v>
      </c>
      <c r="E363" s="236" t="s">
        <v>1115</v>
      </c>
      <c r="F363" s="236" t="s">
        <v>991</v>
      </c>
      <c r="G363" s="237">
        <v>6.0</v>
      </c>
      <c r="H363" s="237">
        <v>4.0</v>
      </c>
      <c r="I363" s="237">
        <v>2.0</v>
      </c>
      <c r="J363" s="237">
        <v>6.0</v>
      </c>
      <c r="K363" s="237">
        <v>4.0</v>
      </c>
      <c r="L363" s="237">
        <v>2.0</v>
      </c>
      <c r="M363" s="237">
        <v>20.0</v>
      </c>
      <c r="N363" s="237">
        <v>22.0</v>
      </c>
    </row>
    <row r="364">
      <c r="A364" s="236" t="s">
        <v>819</v>
      </c>
      <c r="B364" s="237">
        <v>2741.0</v>
      </c>
      <c r="C364" s="236" t="s">
        <v>492</v>
      </c>
      <c r="D364" s="236" t="s">
        <v>930</v>
      </c>
      <c r="E364" s="236" t="s">
        <v>819</v>
      </c>
      <c r="F364" s="236" t="s">
        <v>1225</v>
      </c>
      <c r="G364" s="237">
        <v>6.0</v>
      </c>
      <c r="H364" s="237">
        <v>12.0</v>
      </c>
      <c r="I364" s="237">
        <v>-6.0</v>
      </c>
      <c r="J364" s="237">
        <v>6.0</v>
      </c>
      <c r="K364" s="237">
        <v>13.0</v>
      </c>
      <c r="L364" s="237">
        <v>-7.0</v>
      </c>
      <c r="M364" s="237">
        <v>20.0</v>
      </c>
      <c r="N364" s="237">
        <v>25.0</v>
      </c>
    </row>
    <row r="365">
      <c r="A365" s="236" t="s">
        <v>891</v>
      </c>
      <c r="B365" s="237">
        <v>4890.0</v>
      </c>
      <c r="C365" s="236" t="s">
        <v>492</v>
      </c>
      <c r="D365" s="236" t="s">
        <v>930</v>
      </c>
      <c r="E365" s="236" t="s">
        <v>891</v>
      </c>
      <c r="F365" s="236" t="s">
        <v>972</v>
      </c>
      <c r="G365" s="237">
        <v>6.0</v>
      </c>
      <c r="H365" s="237">
        <v>5.0</v>
      </c>
      <c r="I365" s="237">
        <v>1.0</v>
      </c>
      <c r="J365" s="237">
        <v>6.0</v>
      </c>
      <c r="K365" s="237">
        <v>6.0</v>
      </c>
      <c r="L365" s="237">
        <v>0.0</v>
      </c>
      <c r="M365" s="237">
        <v>8.0</v>
      </c>
      <c r="N365" s="237">
        <v>10.0</v>
      </c>
    </row>
    <row r="366">
      <c r="A366" s="236" t="s">
        <v>865</v>
      </c>
      <c r="B366" s="237">
        <v>6481.0</v>
      </c>
      <c r="C366" s="236" t="s">
        <v>492</v>
      </c>
      <c r="D366" s="236" t="s">
        <v>492</v>
      </c>
      <c r="E366" s="236" t="s">
        <v>865</v>
      </c>
      <c r="F366" s="236" t="s">
        <v>993</v>
      </c>
      <c r="G366" s="237">
        <v>6.0</v>
      </c>
      <c r="H366" s="237">
        <v>8.0</v>
      </c>
      <c r="I366" s="237">
        <v>-2.0</v>
      </c>
      <c r="J366" s="237">
        <v>6.0</v>
      </c>
      <c r="K366" s="237">
        <v>7.0</v>
      </c>
      <c r="L366" s="237">
        <v>-1.0</v>
      </c>
      <c r="M366" s="237">
        <v>14.0</v>
      </c>
      <c r="N366" s="237">
        <v>14.0</v>
      </c>
    </row>
    <row r="367">
      <c r="A367" s="236" t="s">
        <v>288</v>
      </c>
      <c r="B367" s="237">
        <v>6191.0</v>
      </c>
      <c r="C367" s="236" t="s">
        <v>492</v>
      </c>
      <c r="D367" s="236" t="s">
        <v>930</v>
      </c>
      <c r="E367" s="236" t="s">
        <v>288</v>
      </c>
      <c r="F367" s="236" t="s">
        <v>983</v>
      </c>
      <c r="G367" s="237">
        <v>6.0</v>
      </c>
      <c r="H367" s="237">
        <v>1.0</v>
      </c>
      <c r="I367" s="237">
        <v>5.0</v>
      </c>
      <c r="J367" s="237">
        <v>6.0</v>
      </c>
      <c r="K367" s="237">
        <v>1.0</v>
      </c>
      <c r="L367" s="237">
        <v>5.0</v>
      </c>
      <c r="M367" s="237">
        <v>15.0</v>
      </c>
      <c r="N367" s="237">
        <v>20.0</v>
      </c>
    </row>
    <row r="368">
      <c r="A368" s="236" t="s">
        <v>658</v>
      </c>
      <c r="B368" s="237">
        <v>4342.0</v>
      </c>
      <c r="C368" s="236" t="s">
        <v>492</v>
      </c>
      <c r="D368" s="236" t="s">
        <v>930</v>
      </c>
      <c r="E368" s="236" t="s">
        <v>658</v>
      </c>
      <c r="F368" s="236" t="s">
        <v>983</v>
      </c>
      <c r="G368" s="237">
        <v>6.0</v>
      </c>
      <c r="H368" s="237">
        <v>7.0</v>
      </c>
      <c r="I368" s="237">
        <v>-1.0</v>
      </c>
      <c r="J368" s="237">
        <v>6.0</v>
      </c>
      <c r="K368" s="237">
        <v>8.0</v>
      </c>
      <c r="L368" s="237">
        <v>-2.0</v>
      </c>
      <c r="M368" s="237">
        <v>13.0</v>
      </c>
      <c r="N368" s="237">
        <v>16.0</v>
      </c>
    </row>
    <row r="369">
      <c r="A369" s="236" t="s">
        <v>851</v>
      </c>
      <c r="B369" s="237">
        <v>6458.0</v>
      </c>
      <c r="C369" s="236" t="s">
        <v>492</v>
      </c>
      <c r="D369" s="236" t="s">
        <v>930</v>
      </c>
      <c r="E369" s="236" t="s">
        <v>851</v>
      </c>
      <c r="F369" s="236" t="s">
        <v>983</v>
      </c>
      <c r="G369" s="237">
        <v>6.0</v>
      </c>
      <c r="H369" s="237">
        <v>5.0</v>
      </c>
      <c r="I369" s="237">
        <v>1.0</v>
      </c>
      <c r="J369" s="237">
        <v>6.0</v>
      </c>
      <c r="K369" s="237">
        <v>6.0</v>
      </c>
      <c r="L369" s="237">
        <v>0.0</v>
      </c>
      <c r="M369" s="237">
        <v>15.0</v>
      </c>
      <c r="N369" s="237">
        <v>15.0</v>
      </c>
    </row>
    <row r="370">
      <c r="A370" s="236" t="s">
        <v>616</v>
      </c>
      <c r="B370" s="237">
        <v>6486.0</v>
      </c>
      <c r="C370" s="236" t="s">
        <v>492</v>
      </c>
      <c r="D370" s="236" t="s">
        <v>1057</v>
      </c>
      <c r="E370" s="236" t="s">
        <v>616</v>
      </c>
      <c r="F370" s="236" t="s">
        <v>983</v>
      </c>
      <c r="G370" s="237">
        <v>6.0</v>
      </c>
      <c r="H370" s="237">
        <v>13.0</v>
      </c>
      <c r="I370" s="237">
        <v>-7.0</v>
      </c>
      <c r="J370" s="237">
        <v>6.0</v>
      </c>
      <c r="K370" s="237">
        <v>13.0</v>
      </c>
      <c r="L370" s="237">
        <v>-7.0</v>
      </c>
      <c r="M370" s="237">
        <v>22.0</v>
      </c>
      <c r="N370" s="237">
        <v>25.0</v>
      </c>
    </row>
    <row r="371">
      <c r="A371" s="236" t="s">
        <v>1149</v>
      </c>
      <c r="B371" s="237">
        <v>6151.0</v>
      </c>
      <c r="C371" s="236" t="s">
        <v>492</v>
      </c>
      <c r="D371" s="236" t="s">
        <v>930</v>
      </c>
      <c r="E371" s="236" t="s">
        <v>1149</v>
      </c>
      <c r="F371" s="236" t="s">
        <v>974</v>
      </c>
      <c r="G371" s="237">
        <v>6.0</v>
      </c>
      <c r="H371" s="237">
        <v>4.0</v>
      </c>
      <c r="I371" s="237">
        <v>2.0</v>
      </c>
      <c r="J371" s="237">
        <v>6.0</v>
      </c>
      <c r="K371" s="237">
        <v>4.0</v>
      </c>
      <c r="L371" s="237">
        <v>2.0</v>
      </c>
      <c r="M371" s="237">
        <v>14.0</v>
      </c>
      <c r="N371" s="237">
        <v>19.0</v>
      </c>
    </row>
    <row r="372">
      <c r="A372" s="236" t="s">
        <v>710</v>
      </c>
      <c r="B372" s="237">
        <v>6904.0</v>
      </c>
      <c r="C372" s="236" t="s">
        <v>492</v>
      </c>
      <c r="D372" s="236" t="s">
        <v>1057</v>
      </c>
      <c r="E372" s="236" t="s">
        <v>710</v>
      </c>
      <c r="F372" s="236" t="s">
        <v>1233</v>
      </c>
      <c r="G372" s="237">
        <v>6.0</v>
      </c>
      <c r="H372" s="237">
        <v>3.0</v>
      </c>
      <c r="I372" s="237">
        <v>3.0</v>
      </c>
      <c r="J372" s="237">
        <v>6.0</v>
      </c>
      <c r="K372" s="237">
        <v>3.0</v>
      </c>
      <c r="L372" s="237">
        <v>3.0</v>
      </c>
      <c r="M372" s="237">
        <v>13.0</v>
      </c>
      <c r="N372" s="237">
        <v>15.0</v>
      </c>
    </row>
    <row r="373">
      <c r="A373" s="236" t="s">
        <v>1544</v>
      </c>
      <c r="B373" s="237">
        <v>6920.0</v>
      </c>
      <c r="C373" s="236" t="s">
        <v>492</v>
      </c>
      <c r="D373" s="236" t="s">
        <v>1089</v>
      </c>
      <c r="E373" s="236" t="s">
        <v>1544</v>
      </c>
      <c r="F373" s="236" t="s">
        <v>1225</v>
      </c>
      <c r="G373" s="237">
        <v>6.0</v>
      </c>
      <c r="H373" s="237">
        <v>1.0</v>
      </c>
      <c r="I373" s="237">
        <v>5.0</v>
      </c>
      <c r="J373" s="237">
        <v>6.0</v>
      </c>
      <c r="K373" s="237">
        <v>1.0</v>
      </c>
      <c r="L373" s="237">
        <v>5.0</v>
      </c>
      <c r="M373" s="237">
        <v>5.0</v>
      </c>
      <c r="N373" s="237">
        <v>5.0</v>
      </c>
    </row>
    <row r="374">
      <c r="A374" s="236" t="s">
        <v>792</v>
      </c>
      <c r="B374" s="237">
        <v>6459.0</v>
      </c>
      <c r="C374" s="236" t="s">
        <v>492</v>
      </c>
      <c r="D374" s="236" t="s">
        <v>935</v>
      </c>
      <c r="E374" s="236" t="s">
        <v>792</v>
      </c>
      <c r="F374" s="236" t="s">
        <v>998</v>
      </c>
      <c r="G374" s="237">
        <v>5.0</v>
      </c>
      <c r="H374" s="237">
        <v>7.0</v>
      </c>
      <c r="I374" s="237">
        <v>-2.0</v>
      </c>
      <c r="J374" s="237">
        <v>5.0</v>
      </c>
      <c r="K374" s="237">
        <v>6.0</v>
      </c>
      <c r="L374" s="237">
        <v>-1.0</v>
      </c>
      <c r="M374" s="237">
        <v>12.0</v>
      </c>
      <c r="N374" s="237">
        <v>10.0</v>
      </c>
    </row>
    <row r="375">
      <c r="A375" s="236" t="s">
        <v>1044</v>
      </c>
      <c r="B375" s="237">
        <v>1871.0</v>
      </c>
      <c r="C375" s="236" t="s">
        <v>492</v>
      </c>
      <c r="D375" s="236" t="s">
        <v>930</v>
      </c>
      <c r="E375" s="236" t="s">
        <v>1044</v>
      </c>
      <c r="F375" s="236" t="s">
        <v>975</v>
      </c>
      <c r="G375" s="237">
        <v>5.0</v>
      </c>
      <c r="H375" s="237">
        <v>4.0</v>
      </c>
      <c r="I375" s="237">
        <v>1.0</v>
      </c>
      <c r="J375" s="237">
        <v>5.0</v>
      </c>
      <c r="K375" s="237">
        <v>5.0</v>
      </c>
      <c r="L375" s="237">
        <v>0.0</v>
      </c>
      <c r="M375" s="237">
        <v>11.0</v>
      </c>
      <c r="N375" s="237">
        <v>14.0</v>
      </c>
    </row>
    <row r="376">
      <c r="A376" s="236" t="s">
        <v>884</v>
      </c>
      <c r="B376" s="237">
        <v>1933.0</v>
      </c>
      <c r="C376" s="236" t="s">
        <v>492</v>
      </c>
      <c r="D376" s="236" t="s">
        <v>930</v>
      </c>
      <c r="E376" s="236" t="s">
        <v>884</v>
      </c>
      <c r="F376" s="236" t="s">
        <v>1033</v>
      </c>
      <c r="G376" s="237">
        <v>5.0</v>
      </c>
      <c r="H376" s="237">
        <v>8.0</v>
      </c>
      <c r="I376" s="237">
        <v>-3.0</v>
      </c>
      <c r="J376" s="237">
        <v>5.0</v>
      </c>
      <c r="K376" s="237">
        <v>9.0</v>
      </c>
      <c r="L376" s="237">
        <v>-4.0</v>
      </c>
      <c r="M376" s="237">
        <v>17.0</v>
      </c>
      <c r="N376" s="237">
        <v>22.0</v>
      </c>
    </row>
    <row r="377">
      <c r="A377" s="236" t="s">
        <v>1269</v>
      </c>
      <c r="B377" s="237">
        <v>5421.0</v>
      </c>
      <c r="C377" s="236" t="s">
        <v>492</v>
      </c>
      <c r="D377" s="236" t="s">
        <v>934</v>
      </c>
      <c r="E377" s="236" t="s">
        <v>1269</v>
      </c>
      <c r="F377" s="236" t="s">
        <v>985</v>
      </c>
      <c r="G377" s="237">
        <v>5.0</v>
      </c>
      <c r="H377" s="237">
        <v>1.0</v>
      </c>
      <c r="I377" s="237">
        <v>4.0</v>
      </c>
      <c r="J377" s="237">
        <v>5.0</v>
      </c>
      <c r="K377" s="237">
        <v>1.0</v>
      </c>
      <c r="L377" s="237">
        <v>4.0</v>
      </c>
      <c r="M377" s="237">
        <v>8.0</v>
      </c>
      <c r="N377" s="237">
        <v>8.0</v>
      </c>
    </row>
    <row r="378">
      <c r="A378" s="236" t="s">
        <v>1243</v>
      </c>
      <c r="B378" s="237">
        <v>2008.0</v>
      </c>
      <c r="C378" s="236" t="s">
        <v>492</v>
      </c>
      <c r="D378" s="236" t="s">
        <v>930</v>
      </c>
      <c r="E378" s="236" t="s">
        <v>1243</v>
      </c>
      <c r="F378" s="236" t="s">
        <v>972</v>
      </c>
      <c r="G378" s="237">
        <v>5.0</v>
      </c>
      <c r="H378" s="237">
        <v>3.0</v>
      </c>
      <c r="I378" s="237">
        <v>2.0</v>
      </c>
      <c r="J378" s="237">
        <v>5.0</v>
      </c>
      <c r="K378" s="237">
        <v>3.0</v>
      </c>
      <c r="L378" s="237">
        <v>2.0</v>
      </c>
      <c r="M378" s="237">
        <v>13.0</v>
      </c>
      <c r="N378" s="237">
        <v>16.0</v>
      </c>
    </row>
    <row r="379">
      <c r="A379" s="236" t="s">
        <v>460</v>
      </c>
      <c r="B379" s="237">
        <v>5998.0</v>
      </c>
      <c r="C379" s="236" t="s">
        <v>492</v>
      </c>
      <c r="D379" s="236" t="s">
        <v>1089</v>
      </c>
      <c r="E379" s="236" t="s">
        <v>460</v>
      </c>
      <c r="F379" s="236" t="s">
        <v>1233</v>
      </c>
      <c r="G379" s="237">
        <v>5.0</v>
      </c>
      <c r="H379" s="237">
        <v>2.0</v>
      </c>
      <c r="I379" s="237">
        <v>3.0</v>
      </c>
      <c r="J379" s="237">
        <v>5.0</v>
      </c>
      <c r="K379" s="237">
        <v>2.0</v>
      </c>
      <c r="L379" s="237">
        <v>3.0</v>
      </c>
      <c r="M379" s="237">
        <v>23.0</v>
      </c>
      <c r="N379" s="237">
        <v>26.0</v>
      </c>
    </row>
    <row r="380">
      <c r="A380" s="236" t="s">
        <v>874</v>
      </c>
      <c r="B380" s="237">
        <v>6680.0</v>
      </c>
      <c r="C380" s="236" t="s">
        <v>492</v>
      </c>
      <c r="D380" s="236" t="s">
        <v>930</v>
      </c>
      <c r="E380" s="236" t="s">
        <v>874</v>
      </c>
      <c r="F380" s="236" t="s">
        <v>993</v>
      </c>
      <c r="G380" s="237">
        <v>5.0</v>
      </c>
      <c r="H380" s="237">
        <v>5.0</v>
      </c>
      <c r="I380" s="237">
        <v>0.0</v>
      </c>
      <c r="J380" s="237">
        <v>5.0</v>
      </c>
      <c r="K380" s="237">
        <v>5.0</v>
      </c>
      <c r="L380" s="237">
        <v>0.0</v>
      </c>
      <c r="M380" s="237">
        <v>18.0</v>
      </c>
      <c r="N380" s="237">
        <v>23.0</v>
      </c>
    </row>
    <row r="381">
      <c r="A381" s="236" t="s">
        <v>1006</v>
      </c>
      <c r="B381" s="237">
        <v>6015.0</v>
      </c>
      <c r="C381" s="236" t="s">
        <v>492</v>
      </c>
      <c r="D381" s="236" t="s">
        <v>934</v>
      </c>
      <c r="E381" s="236" t="s">
        <v>1006</v>
      </c>
      <c r="F381" s="236" t="s">
        <v>998</v>
      </c>
      <c r="G381" s="237">
        <v>5.0</v>
      </c>
      <c r="H381" s="237">
        <v>1.0</v>
      </c>
      <c r="I381" s="237">
        <v>4.0</v>
      </c>
      <c r="J381" s="237">
        <v>5.0</v>
      </c>
      <c r="K381" s="237">
        <v>1.0</v>
      </c>
      <c r="L381" s="237">
        <v>4.0</v>
      </c>
      <c r="M381" s="237">
        <v>9.0</v>
      </c>
      <c r="N381" s="237">
        <v>9.0</v>
      </c>
    </row>
    <row r="382">
      <c r="A382" s="236" t="s">
        <v>278</v>
      </c>
      <c r="B382" s="237">
        <v>6112.0</v>
      </c>
      <c r="C382" s="236" t="s">
        <v>492</v>
      </c>
      <c r="D382" s="236" t="s">
        <v>563</v>
      </c>
      <c r="E382" s="236" t="s">
        <v>278</v>
      </c>
      <c r="F382" s="236" t="s">
        <v>1009</v>
      </c>
      <c r="G382" s="237">
        <v>5.0</v>
      </c>
      <c r="H382" s="237">
        <v>6.0</v>
      </c>
      <c r="I382" s="237">
        <v>-1.0</v>
      </c>
      <c r="J382" s="237">
        <v>5.0</v>
      </c>
      <c r="K382" s="237">
        <v>6.0</v>
      </c>
      <c r="L382" s="237">
        <v>-1.0</v>
      </c>
      <c r="M382" s="237">
        <v>10.0</v>
      </c>
      <c r="N382" s="237">
        <v>10.0</v>
      </c>
    </row>
    <row r="383">
      <c r="A383" s="236" t="s">
        <v>1133</v>
      </c>
      <c r="B383" s="237">
        <v>6538.0</v>
      </c>
      <c r="C383" s="236" t="s">
        <v>492</v>
      </c>
      <c r="D383" s="236" t="s">
        <v>930</v>
      </c>
      <c r="E383" s="236" t="s">
        <v>1133</v>
      </c>
      <c r="F383" s="236" t="s">
        <v>1026</v>
      </c>
      <c r="G383" s="237">
        <v>5.0</v>
      </c>
      <c r="H383" s="237">
        <v>5.0</v>
      </c>
      <c r="I383" s="237">
        <v>0.0</v>
      </c>
      <c r="J383" s="237">
        <v>6.0</v>
      </c>
      <c r="K383" s="237">
        <v>6.0</v>
      </c>
      <c r="L383" s="237">
        <v>0.0</v>
      </c>
      <c r="M383" s="237">
        <v>11.0</v>
      </c>
      <c r="N383" s="237">
        <v>13.0</v>
      </c>
    </row>
    <row r="384">
      <c r="A384" s="236" t="s">
        <v>900</v>
      </c>
      <c r="B384" s="237">
        <v>6232.0</v>
      </c>
      <c r="C384" s="236" t="s">
        <v>492</v>
      </c>
      <c r="D384" s="236" t="s">
        <v>930</v>
      </c>
      <c r="E384" s="236" t="s">
        <v>900</v>
      </c>
      <c r="F384" s="236" t="s">
        <v>975</v>
      </c>
      <c r="G384" s="237">
        <v>4.0</v>
      </c>
      <c r="H384" s="237">
        <v>4.0</v>
      </c>
      <c r="I384" s="237">
        <v>0.0</v>
      </c>
      <c r="J384" s="237">
        <v>4.0</v>
      </c>
      <c r="K384" s="237">
        <v>5.0</v>
      </c>
      <c r="L384" s="237">
        <v>-1.0</v>
      </c>
      <c r="M384" s="237">
        <v>12.0</v>
      </c>
      <c r="N384" s="237">
        <v>15.0</v>
      </c>
    </row>
    <row r="385">
      <c r="A385" s="236" t="s">
        <v>1068</v>
      </c>
      <c r="B385" s="237">
        <v>27.0</v>
      </c>
      <c r="C385" s="236" t="s">
        <v>492</v>
      </c>
      <c r="D385" s="236" t="s">
        <v>930</v>
      </c>
      <c r="E385" s="236" t="s">
        <v>1068</v>
      </c>
      <c r="F385" s="236" t="s">
        <v>1222</v>
      </c>
      <c r="G385" s="237">
        <v>4.0</v>
      </c>
      <c r="H385" s="237">
        <v>3.0</v>
      </c>
      <c r="I385" s="237">
        <v>1.0</v>
      </c>
      <c r="J385" s="237">
        <v>5.0</v>
      </c>
      <c r="K385" s="237">
        <v>4.0</v>
      </c>
      <c r="L385" s="237">
        <v>1.0</v>
      </c>
      <c r="M385" s="237">
        <v>12.0</v>
      </c>
      <c r="N385" s="237">
        <v>15.0</v>
      </c>
    </row>
    <row r="386">
      <c r="A386" s="236" t="s">
        <v>702</v>
      </c>
      <c r="B386" s="237">
        <v>4970.0</v>
      </c>
      <c r="C386" s="236" t="s">
        <v>492</v>
      </c>
      <c r="D386" s="236" t="s">
        <v>1056</v>
      </c>
      <c r="E386" s="236" t="s">
        <v>702</v>
      </c>
      <c r="F386" s="236" t="s">
        <v>1026</v>
      </c>
      <c r="G386" s="237">
        <v>4.0</v>
      </c>
      <c r="H386" s="237">
        <v>9.0</v>
      </c>
      <c r="I386" s="237">
        <v>-5.0</v>
      </c>
      <c r="J386" s="237">
        <v>4.0</v>
      </c>
      <c r="K386" s="237">
        <v>9.0</v>
      </c>
      <c r="L386" s="237">
        <v>-5.0</v>
      </c>
      <c r="M386" s="237">
        <v>10.0</v>
      </c>
      <c r="N386" s="237">
        <v>12.0</v>
      </c>
    </row>
    <row r="387">
      <c r="A387" s="236" t="s">
        <v>462</v>
      </c>
      <c r="B387" s="237">
        <v>4427.0</v>
      </c>
      <c r="C387" s="236" t="s">
        <v>492</v>
      </c>
      <c r="D387" s="236" t="s">
        <v>934</v>
      </c>
      <c r="E387" s="236" t="s">
        <v>462</v>
      </c>
      <c r="F387" s="236" t="s">
        <v>1026</v>
      </c>
      <c r="G387" s="237">
        <v>4.0</v>
      </c>
      <c r="H387" s="237">
        <v>11.0</v>
      </c>
      <c r="I387" s="237">
        <v>-7.0</v>
      </c>
      <c r="J387" s="237">
        <v>4.0</v>
      </c>
      <c r="K387" s="237">
        <v>11.0</v>
      </c>
      <c r="L387" s="237">
        <v>-7.0</v>
      </c>
      <c r="M387" s="237">
        <v>18.0</v>
      </c>
      <c r="N387" s="237">
        <v>18.0</v>
      </c>
    </row>
    <row r="388">
      <c r="A388" s="236" t="s">
        <v>741</v>
      </c>
      <c r="B388" s="237">
        <v>5919.0</v>
      </c>
      <c r="C388" s="236" t="s">
        <v>492</v>
      </c>
      <c r="D388" s="236" t="s">
        <v>563</v>
      </c>
      <c r="E388" s="236" t="s">
        <v>741</v>
      </c>
      <c r="F388" s="236" t="s">
        <v>1000</v>
      </c>
      <c r="G388" s="237">
        <v>4.0</v>
      </c>
      <c r="H388" s="237">
        <v>9.0</v>
      </c>
      <c r="I388" s="237">
        <v>-5.0</v>
      </c>
      <c r="J388" s="237">
        <v>4.0</v>
      </c>
      <c r="K388" s="237">
        <v>9.0</v>
      </c>
      <c r="L388" s="237">
        <v>-5.0</v>
      </c>
      <c r="M388" s="237">
        <v>14.0</v>
      </c>
      <c r="N388" s="237">
        <v>11.0</v>
      </c>
    </row>
    <row r="389">
      <c r="A389" s="236" t="s">
        <v>672</v>
      </c>
      <c r="B389" s="237">
        <v>6633.0</v>
      </c>
      <c r="C389" s="236" t="s">
        <v>492</v>
      </c>
      <c r="D389" s="236" t="s">
        <v>930</v>
      </c>
      <c r="E389" s="236" t="s">
        <v>672</v>
      </c>
      <c r="F389" s="236" t="s">
        <v>998</v>
      </c>
      <c r="G389" s="237">
        <v>4.0</v>
      </c>
      <c r="H389" s="237">
        <v>4.0</v>
      </c>
      <c r="I389" s="237">
        <v>0.0</v>
      </c>
      <c r="J389" s="237">
        <v>4.0</v>
      </c>
      <c r="K389" s="237">
        <v>5.0</v>
      </c>
      <c r="L389" s="237">
        <v>-1.0</v>
      </c>
      <c r="M389" s="237">
        <v>16.0</v>
      </c>
      <c r="N389" s="237">
        <v>21.0</v>
      </c>
    </row>
    <row r="390">
      <c r="A390" s="236" t="s">
        <v>1158</v>
      </c>
      <c r="B390" s="237">
        <v>6222.0</v>
      </c>
      <c r="C390" s="236" t="s">
        <v>492</v>
      </c>
      <c r="D390" s="236" t="s">
        <v>934</v>
      </c>
      <c r="E390" s="236" t="s">
        <v>1158</v>
      </c>
      <c r="F390" s="236" t="s">
        <v>998</v>
      </c>
      <c r="G390" s="237">
        <v>4.0</v>
      </c>
      <c r="H390" s="237">
        <v>4.0</v>
      </c>
      <c r="I390" s="237">
        <v>0.0</v>
      </c>
      <c r="J390" s="237">
        <v>4.0</v>
      </c>
      <c r="K390" s="237">
        <v>4.0</v>
      </c>
      <c r="L390" s="237">
        <v>0.0</v>
      </c>
      <c r="M390" s="237">
        <v>12.0</v>
      </c>
      <c r="N390" s="237">
        <v>12.0</v>
      </c>
    </row>
    <row r="391">
      <c r="A391" s="236" t="s">
        <v>656</v>
      </c>
      <c r="B391" s="237">
        <v>5422.0</v>
      </c>
      <c r="C391" s="236" t="s">
        <v>492</v>
      </c>
      <c r="D391" s="236" t="s">
        <v>563</v>
      </c>
      <c r="E391" s="236" t="s">
        <v>656</v>
      </c>
      <c r="F391" s="236" t="s">
        <v>973</v>
      </c>
      <c r="G391" s="237">
        <v>4.0</v>
      </c>
      <c r="H391" s="237">
        <v>2.0</v>
      </c>
      <c r="I391" s="237">
        <v>2.0</v>
      </c>
      <c r="J391" s="237">
        <v>4.0</v>
      </c>
      <c r="K391" s="237">
        <v>2.0</v>
      </c>
      <c r="L391" s="237">
        <v>2.0</v>
      </c>
      <c r="M391" s="237">
        <v>8.0</v>
      </c>
      <c r="N391" s="237">
        <v>8.0</v>
      </c>
    </row>
    <row r="392">
      <c r="A392" s="236" t="s">
        <v>854</v>
      </c>
      <c r="B392" s="237">
        <v>6804.0</v>
      </c>
      <c r="C392" s="236" t="s">
        <v>492</v>
      </c>
      <c r="D392" s="236" t="s">
        <v>930</v>
      </c>
      <c r="E392" s="236" t="s">
        <v>854</v>
      </c>
      <c r="F392" s="236" t="s">
        <v>1033</v>
      </c>
      <c r="G392" s="237">
        <v>4.0</v>
      </c>
      <c r="H392" s="237">
        <v>8.0</v>
      </c>
      <c r="I392" s="237">
        <v>-4.0</v>
      </c>
      <c r="J392" s="237">
        <v>4.0</v>
      </c>
      <c r="K392" s="237">
        <v>8.0</v>
      </c>
      <c r="L392" s="237">
        <v>-4.0</v>
      </c>
      <c r="M392" s="237">
        <v>9.0</v>
      </c>
      <c r="N392" s="237">
        <v>12.0</v>
      </c>
    </row>
    <row r="393">
      <c r="A393" s="236" t="s">
        <v>1085</v>
      </c>
      <c r="B393" s="237">
        <v>6898.0</v>
      </c>
      <c r="C393" s="236" t="s">
        <v>492</v>
      </c>
      <c r="D393" s="236" t="s">
        <v>930</v>
      </c>
      <c r="E393" s="236" t="s">
        <v>1085</v>
      </c>
      <c r="F393" s="236" t="s">
        <v>985</v>
      </c>
      <c r="G393" s="237">
        <v>4.0</v>
      </c>
      <c r="H393" s="237">
        <v>6.0</v>
      </c>
      <c r="I393" s="237">
        <v>-2.0</v>
      </c>
      <c r="J393" s="237">
        <v>4.0</v>
      </c>
      <c r="K393" s="237">
        <v>7.0</v>
      </c>
      <c r="L393" s="237">
        <v>-3.0</v>
      </c>
      <c r="M393" s="237">
        <v>14.0</v>
      </c>
      <c r="N393" s="237">
        <v>17.0</v>
      </c>
    </row>
    <row r="394">
      <c r="A394" s="236" t="s">
        <v>992</v>
      </c>
      <c r="B394" s="237">
        <v>6908.0</v>
      </c>
      <c r="C394" s="236" t="s">
        <v>492</v>
      </c>
      <c r="D394" s="236" t="s">
        <v>930</v>
      </c>
      <c r="E394" s="236" t="s">
        <v>992</v>
      </c>
      <c r="F394" s="236" t="s">
        <v>993</v>
      </c>
      <c r="G394" s="237">
        <v>4.0</v>
      </c>
      <c r="H394" s="237">
        <v>1.0</v>
      </c>
      <c r="I394" s="237">
        <v>3.0</v>
      </c>
      <c r="J394" s="237">
        <v>4.0</v>
      </c>
      <c r="K394" s="237">
        <v>1.0</v>
      </c>
      <c r="L394" s="237">
        <v>3.0</v>
      </c>
      <c r="M394" s="237">
        <v>8.0</v>
      </c>
      <c r="N394" s="237">
        <v>8.0</v>
      </c>
    </row>
    <row r="395">
      <c r="A395" s="236" t="s">
        <v>852</v>
      </c>
      <c r="B395" s="237">
        <v>6917.0</v>
      </c>
      <c r="C395" s="236" t="s">
        <v>492</v>
      </c>
      <c r="D395" s="236" t="s">
        <v>492</v>
      </c>
      <c r="E395" s="236" t="s">
        <v>852</v>
      </c>
      <c r="F395" s="236" t="s">
        <v>1026</v>
      </c>
      <c r="G395" s="237">
        <v>4.0</v>
      </c>
      <c r="H395" s="237">
        <v>1.0</v>
      </c>
      <c r="I395" s="237">
        <v>3.0</v>
      </c>
      <c r="J395" s="237">
        <v>4.0</v>
      </c>
      <c r="K395" s="237">
        <v>1.0</v>
      </c>
      <c r="L395" s="237">
        <v>3.0</v>
      </c>
      <c r="M395" s="237">
        <v>12.0</v>
      </c>
      <c r="N395" s="237">
        <v>12.0</v>
      </c>
    </row>
    <row r="396">
      <c r="A396" s="236" t="s">
        <v>1545</v>
      </c>
      <c r="B396" s="237">
        <v>6969.0</v>
      </c>
      <c r="C396" s="236" t="s">
        <v>492</v>
      </c>
      <c r="D396" s="236" t="s">
        <v>934</v>
      </c>
      <c r="E396" s="236" t="s">
        <v>1545</v>
      </c>
      <c r="F396" s="236" t="s">
        <v>987</v>
      </c>
      <c r="G396" s="237">
        <v>4.0</v>
      </c>
      <c r="H396" s="237">
        <v>5.0</v>
      </c>
      <c r="I396" s="237">
        <v>-1.0</v>
      </c>
      <c r="J396" s="237">
        <v>4.0</v>
      </c>
      <c r="K396" s="237">
        <v>5.0</v>
      </c>
      <c r="L396" s="237">
        <v>-1.0</v>
      </c>
      <c r="M396" s="237">
        <v>12.0</v>
      </c>
      <c r="N396" s="237">
        <v>12.0</v>
      </c>
    </row>
    <row r="397">
      <c r="A397" s="236" t="s">
        <v>1419</v>
      </c>
      <c r="B397" s="237">
        <v>6492.0</v>
      </c>
      <c r="C397" s="236" t="s">
        <v>492</v>
      </c>
      <c r="D397" s="236" t="s">
        <v>1057</v>
      </c>
      <c r="E397" s="236" t="s">
        <v>1419</v>
      </c>
      <c r="F397" s="236" t="s">
        <v>1000</v>
      </c>
      <c r="G397" s="237">
        <v>4.0</v>
      </c>
      <c r="H397" s="237">
        <v>4.0</v>
      </c>
      <c r="I397" s="237">
        <v>0.0</v>
      </c>
      <c r="J397" s="237">
        <v>3.0</v>
      </c>
      <c r="K397" s="237">
        <v>3.0</v>
      </c>
      <c r="L397" s="237">
        <v>0.0</v>
      </c>
      <c r="M397" s="237">
        <v>13.0</v>
      </c>
      <c r="N397" s="237">
        <v>15.0</v>
      </c>
    </row>
    <row r="398">
      <c r="A398" s="236" t="s">
        <v>712</v>
      </c>
      <c r="B398" s="237">
        <v>5784.0</v>
      </c>
      <c r="C398" s="236" t="s">
        <v>492</v>
      </c>
      <c r="D398" s="236" t="s">
        <v>934</v>
      </c>
      <c r="E398" s="236" t="s">
        <v>712</v>
      </c>
      <c r="F398" s="236" t="s">
        <v>1009</v>
      </c>
      <c r="G398" s="237">
        <v>3.0</v>
      </c>
      <c r="H398" s="237">
        <v>10.0</v>
      </c>
      <c r="I398" s="237">
        <v>-7.0</v>
      </c>
      <c r="J398" s="237">
        <v>3.0</v>
      </c>
      <c r="K398" s="237">
        <v>10.0</v>
      </c>
      <c r="L398" s="237">
        <v>-7.0</v>
      </c>
      <c r="M398" s="237">
        <v>12.0</v>
      </c>
      <c r="N398" s="237">
        <v>12.0</v>
      </c>
    </row>
    <row r="399">
      <c r="A399" s="236" t="s">
        <v>1246</v>
      </c>
      <c r="B399" s="237">
        <v>2161.0</v>
      </c>
      <c r="C399" s="236" t="s">
        <v>492</v>
      </c>
      <c r="D399" s="236" t="s">
        <v>930</v>
      </c>
      <c r="E399" s="236" t="s">
        <v>1246</v>
      </c>
      <c r="F399" s="236" t="s">
        <v>1222</v>
      </c>
      <c r="G399" s="237">
        <v>3.0</v>
      </c>
      <c r="H399" s="237">
        <v>2.0</v>
      </c>
      <c r="I399" s="237">
        <v>1.0</v>
      </c>
      <c r="J399" s="237">
        <v>3.0</v>
      </c>
      <c r="K399" s="237">
        <v>2.0</v>
      </c>
      <c r="L399" s="237">
        <v>1.0</v>
      </c>
      <c r="M399" s="237">
        <v>3.0</v>
      </c>
      <c r="N399" s="237">
        <v>3.0</v>
      </c>
    </row>
    <row r="400">
      <c r="A400" s="236" t="s">
        <v>779</v>
      </c>
      <c r="B400" s="237">
        <v>4465.0</v>
      </c>
      <c r="C400" s="236" t="s">
        <v>492</v>
      </c>
      <c r="D400" s="236" t="s">
        <v>934</v>
      </c>
      <c r="E400" s="236" t="s">
        <v>779</v>
      </c>
      <c r="F400" s="236" t="s">
        <v>976</v>
      </c>
      <c r="G400" s="237">
        <v>3.0</v>
      </c>
      <c r="H400" s="237">
        <v>10.0</v>
      </c>
      <c r="I400" s="237">
        <v>-7.0</v>
      </c>
      <c r="J400" s="237">
        <v>2.0</v>
      </c>
      <c r="K400" s="237">
        <v>9.0</v>
      </c>
      <c r="L400" s="237">
        <v>-7.0</v>
      </c>
      <c r="M400" s="237">
        <v>9.0</v>
      </c>
      <c r="N400" s="237">
        <v>9.0</v>
      </c>
    </row>
    <row r="401">
      <c r="A401" s="236" t="s">
        <v>1083</v>
      </c>
      <c r="B401" s="237">
        <v>6410.0</v>
      </c>
      <c r="C401" s="236" t="s">
        <v>492</v>
      </c>
      <c r="D401" s="236" t="s">
        <v>930</v>
      </c>
      <c r="E401" s="236" t="s">
        <v>1083</v>
      </c>
      <c r="F401" s="236" t="s">
        <v>998</v>
      </c>
      <c r="G401" s="237">
        <v>3.0</v>
      </c>
      <c r="H401" s="237">
        <v>1.0</v>
      </c>
      <c r="I401" s="237">
        <v>2.0</v>
      </c>
      <c r="J401" s="237">
        <v>3.0</v>
      </c>
      <c r="K401" s="237">
        <v>1.0</v>
      </c>
      <c r="L401" s="237">
        <v>2.0</v>
      </c>
      <c r="M401" s="237">
        <v>7.0</v>
      </c>
      <c r="N401" s="237">
        <v>10.0</v>
      </c>
    </row>
    <row r="402">
      <c r="A402" s="236" t="s">
        <v>1254</v>
      </c>
      <c r="B402" s="237">
        <v>2818.0</v>
      </c>
      <c r="C402" s="236" t="s">
        <v>492</v>
      </c>
      <c r="D402" s="236" t="s">
        <v>930</v>
      </c>
      <c r="E402" s="236" t="s">
        <v>1254</v>
      </c>
      <c r="F402" s="236" t="s">
        <v>991</v>
      </c>
      <c r="G402" s="237">
        <v>3.0</v>
      </c>
      <c r="H402" s="237">
        <v>7.0</v>
      </c>
      <c r="I402" s="237">
        <v>-4.0</v>
      </c>
      <c r="J402" s="237">
        <v>4.0</v>
      </c>
      <c r="K402" s="237">
        <v>8.0</v>
      </c>
      <c r="L402" s="237">
        <v>-4.0</v>
      </c>
      <c r="M402" s="237">
        <v>20.0</v>
      </c>
      <c r="N402" s="237">
        <v>25.0</v>
      </c>
    </row>
    <row r="403">
      <c r="A403" s="236" t="s">
        <v>366</v>
      </c>
      <c r="B403" s="237">
        <v>6252.0</v>
      </c>
      <c r="C403" s="236" t="s">
        <v>492</v>
      </c>
      <c r="D403" s="236" t="s">
        <v>934</v>
      </c>
      <c r="E403" s="236" t="s">
        <v>366</v>
      </c>
      <c r="F403" s="236" t="s">
        <v>1033</v>
      </c>
      <c r="G403" s="237">
        <v>3.0</v>
      </c>
      <c r="H403" s="237">
        <v>7.0</v>
      </c>
      <c r="I403" s="237">
        <v>-4.0</v>
      </c>
      <c r="J403" s="237">
        <v>3.0</v>
      </c>
      <c r="K403" s="237">
        <v>7.0</v>
      </c>
      <c r="L403" s="237">
        <v>-4.0</v>
      </c>
      <c r="M403" s="237">
        <v>23.0</v>
      </c>
      <c r="N403" s="237">
        <v>23.0</v>
      </c>
    </row>
    <row r="404">
      <c r="A404" s="236" t="s">
        <v>1216</v>
      </c>
      <c r="B404" s="237">
        <v>6212.0</v>
      </c>
      <c r="C404" s="236" t="s">
        <v>492</v>
      </c>
      <c r="D404" s="236" t="s">
        <v>930</v>
      </c>
      <c r="E404" s="236" t="s">
        <v>1216</v>
      </c>
      <c r="F404" s="236" t="s">
        <v>993</v>
      </c>
      <c r="G404" s="237">
        <v>3.0</v>
      </c>
      <c r="H404" s="237">
        <v>3.0</v>
      </c>
      <c r="I404" s="237">
        <v>0.0</v>
      </c>
      <c r="J404" s="237">
        <v>4.0</v>
      </c>
      <c r="K404" s="237">
        <v>4.0</v>
      </c>
      <c r="L404" s="237">
        <v>0.0</v>
      </c>
      <c r="M404" s="237">
        <v>9.0</v>
      </c>
      <c r="N404" s="237">
        <v>9.0</v>
      </c>
    </row>
    <row r="405">
      <c r="A405" s="236" t="s">
        <v>1232</v>
      </c>
      <c r="B405" s="237">
        <v>526.0</v>
      </c>
      <c r="C405" s="236" t="s">
        <v>492</v>
      </c>
      <c r="D405" s="236" t="s">
        <v>492</v>
      </c>
      <c r="E405" s="236" t="s">
        <v>1232</v>
      </c>
      <c r="F405" s="236" t="s">
        <v>1233</v>
      </c>
      <c r="G405" s="237">
        <v>3.0</v>
      </c>
      <c r="H405" s="237">
        <v>8.0</v>
      </c>
      <c r="I405" s="237">
        <v>-5.0</v>
      </c>
      <c r="J405" s="237">
        <v>3.0</v>
      </c>
      <c r="K405" s="237">
        <v>8.0</v>
      </c>
      <c r="L405" s="237">
        <v>-5.0</v>
      </c>
      <c r="M405" s="237">
        <v>10.0</v>
      </c>
      <c r="N405" s="237">
        <v>10.0</v>
      </c>
    </row>
    <row r="406">
      <c r="A406" s="236" t="s">
        <v>1322</v>
      </c>
      <c r="B406" s="237">
        <v>6683.0</v>
      </c>
      <c r="C406" s="236" t="s">
        <v>492</v>
      </c>
      <c r="D406" s="236" t="s">
        <v>930</v>
      </c>
      <c r="E406" s="236" t="s">
        <v>1322</v>
      </c>
      <c r="F406" s="236" t="s">
        <v>1233</v>
      </c>
      <c r="G406" s="237">
        <v>3.0</v>
      </c>
      <c r="H406" s="237">
        <v>1.0</v>
      </c>
      <c r="I406" s="237">
        <v>2.0</v>
      </c>
      <c r="J406" s="237">
        <v>3.0</v>
      </c>
      <c r="K406" s="237">
        <v>1.0</v>
      </c>
      <c r="L406" s="237">
        <v>2.0</v>
      </c>
      <c r="M406" s="237">
        <v>10.0</v>
      </c>
      <c r="N406" s="237">
        <v>13.0</v>
      </c>
    </row>
    <row r="407">
      <c r="A407" s="236" t="s">
        <v>1167</v>
      </c>
      <c r="B407" s="237">
        <v>6900.0</v>
      </c>
      <c r="C407" s="236" t="s">
        <v>492</v>
      </c>
      <c r="D407" s="236" t="s">
        <v>1089</v>
      </c>
      <c r="E407" s="236" t="s">
        <v>1167</v>
      </c>
      <c r="F407" s="236" t="s">
        <v>993</v>
      </c>
      <c r="G407" s="237">
        <v>3.0</v>
      </c>
      <c r="H407" s="237">
        <v>3.0</v>
      </c>
      <c r="I407" s="237">
        <v>0.0</v>
      </c>
      <c r="J407" s="237">
        <v>3.0</v>
      </c>
      <c r="K407" s="237">
        <v>4.0</v>
      </c>
      <c r="L407" s="237">
        <v>-1.0</v>
      </c>
      <c r="M407" s="237">
        <v>14.0</v>
      </c>
      <c r="N407" s="237">
        <v>16.0</v>
      </c>
    </row>
    <row r="408">
      <c r="A408" s="236" t="s">
        <v>621</v>
      </c>
      <c r="B408" s="237">
        <v>5131.0</v>
      </c>
      <c r="C408" s="236" t="s">
        <v>492</v>
      </c>
      <c r="D408" s="236" t="s">
        <v>930</v>
      </c>
      <c r="E408" s="236" t="s">
        <v>621</v>
      </c>
      <c r="F408" s="236" t="s">
        <v>987</v>
      </c>
      <c r="G408" s="237">
        <v>3.0</v>
      </c>
      <c r="H408" s="237">
        <v>7.0</v>
      </c>
      <c r="I408" s="237">
        <v>-4.0</v>
      </c>
      <c r="J408" s="237">
        <v>3.0</v>
      </c>
      <c r="K408" s="237">
        <v>8.0</v>
      </c>
      <c r="L408" s="237">
        <v>-5.0</v>
      </c>
      <c r="M408" s="237">
        <v>10.0</v>
      </c>
      <c r="N408" s="237">
        <v>13.0</v>
      </c>
    </row>
    <row r="409">
      <c r="A409" s="236" t="s">
        <v>1546</v>
      </c>
      <c r="B409" s="237">
        <v>2553.0</v>
      </c>
      <c r="C409" s="236" t="s">
        <v>492</v>
      </c>
      <c r="D409" s="236" t="s">
        <v>543</v>
      </c>
      <c r="E409" s="236" t="s">
        <v>1546</v>
      </c>
      <c r="F409" s="236" t="s">
        <v>974</v>
      </c>
      <c r="G409" s="237">
        <v>3.0</v>
      </c>
      <c r="H409" s="237">
        <v>3.0</v>
      </c>
      <c r="I409" s="237">
        <v>0.0</v>
      </c>
      <c r="J409" s="237">
        <v>3.0</v>
      </c>
      <c r="K409" s="237">
        <v>3.0</v>
      </c>
      <c r="L409" s="237">
        <v>0.0</v>
      </c>
      <c r="M409" s="237">
        <v>10.0</v>
      </c>
      <c r="N409" s="237">
        <v>8.0</v>
      </c>
    </row>
    <row r="410">
      <c r="A410" s="236" t="s">
        <v>725</v>
      </c>
      <c r="B410" s="237">
        <v>6761.0</v>
      </c>
      <c r="C410" s="236" t="s">
        <v>492</v>
      </c>
      <c r="D410" s="236" t="s">
        <v>930</v>
      </c>
      <c r="E410" s="236" t="s">
        <v>725</v>
      </c>
      <c r="F410" s="236" t="s">
        <v>976</v>
      </c>
      <c r="G410" s="237">
        <v>3.0</v>
      </c>
      <c r="H410" s="237">
        <v>3.0</v>
      </c>
      <c r="I410" s="237">
        <v>0.0</v>
      </c>
      <c r="J410" s="237">
        <v>3.0</v>
      </c>
      <c r="K410" s="237">
        <v>3.0</v>
      </c>
      <c r="L410" s="237">
        <v>0.0</v>
      </c>
      <c r="M410" s="237">
        <v>8.0</v>
      </c>
      <c r="N410" s="237">
        <v>8.0</v>
      </c>
    </row>
    <row r="411">
      <c r="A411" s="236" t="s">
        <v>643</v>
      </c>
      <c r="B411" s="237">
        <v>6424.0</v>
      </c>
      <c r="C411" s="236" t="s">
        <v>492</v>
      </c>
      <c r="D411" s="236" t="s">
        <v>930</v>
      </c>
      <c r="E411" s="236" t="s">
        <v>643</v>
      </c>
      <c r="F411" s="236" t="s">
        <v>975</v>
      </c>
      <c r="G411" s="237">
        <v>2.0</v>
      </c>
      <c r="H411" s="237">
        <v>4.0</v>
      </c>
      <c r="I411" s="237">
        <v>-2.0</v>
      </c>
      <c r="J411" s="237">
        <v>1.0</v>
      </c>
      <c r="K411" s="237">
        <v>5.0</v>
      </c>
      <c r="L411" s="237">
        <v>-4.0</v>
      </c>
      <c r="M411" s="237">
        <v>5.0</v>
      </c>
      <c r="N411" s="237">
        <v>7.0</v>
      </c>
    </row>
    <row r="412">
      <c r="A412" s="236" t="s">
        <v>774</v>
      </c>
      <c r="B412" s="237">
        <v>6656.0</v>
      </c>
      <c r="C412" s="236" t="s">
        <v>492</v>
      </c>
      <c r="D412" s="236" t="s">
        <v>930</v>
      </c>
      <c r="E412" s="236" t="s">
        <v>774</v>
      </c>
      <c r="F412" s="236" t="s">
        <v>974</v>
      </c>
      <c r="G412" s="237">
        <v>2.0</v>
      </c>
      <c r="H412" s="237">
        <v>3.0</v>
      </c>
      <c r="I412" s="237">
        <v>-1.0</v>
      </c>
      <c r="J412" s="237">
        <v>1.0</v>
      </c>
      <c r="K412" s="237">
        <v>4.0</v>
      </c>
      <c r="L412" s="237">
        <v>-3.0</v>
      </c>
      <c r="M412" s="237">
        <v>5.0</v>
      </c>
      <c r="N412" s="237">
        <v>8.0</v>
      </c>
    </row>
    <row r="413">
      <c r="A413" s="236" t="s">
        <v>831</v>
      </c>
      <c r="B413" s="237">
        <v>376.0</v>
      </c>
      <c r="C413" s="236" t="s">
        <v>492</v>
      </c>
      <c r="D413" s="236" t="s">
        <v>1057</v>
      </c>
      <c r="E413" s="236" t="s">
        <v>831</v>
      </c>
      <c r="F413" s="236" t="s">
        <v>974</v>
      </c>
      <c r="G413" s="237">
        <v>2.0</v>
      </c>
      <c r="H413" s="237">
        <v>9.0</v>
      </c>
      <c r="I413" s="237">
        <v>-7.0</v>
      </c>
      <c r="J413" s="237">
        <v>2.0</v>
      </c>
      <c r="K413" s="237">
        <v>9.0</v>
      </c>
      <c r="L413" s="237">
        <v>-7.0</v>
      </c>
      <c r="M413" s="237">
        <v>5.0</v>
      </c>
      <c r="N413" s="237">
        <v>7.0</v>
      </c>
    </row>
    <row r="414">
      <c r="A414" s="236" t="s">
        <v>1283</v>
      </c>
      <c r="B414" s="237">
        <v>5798.0</v>
      </c>
      <c r="C414" s="236" t="s">
        <v>492</v>
      </c>
      <c r="D414" s="236" t="s">
        <v>930</v>
      </c>
      <c r="E414" s="236" t="s">
        <v>1283</v>
      </c>
      <c r="F414" s="236" t="s">
        <v>1026</v>
      </c>
      <c r="G414" s="237">
        <v>2.0</v>
      </c>
      <c r="H414" s="237">
        <v>1.0</v>
      </c>
      <c r="I414" s="237">
        <v>1.0</v>
      </c>
      <c r="J414" s="237">
        <v>2.0</v>
      </c>
      <c r="K414" s="237">
        <v>1.0</v>
      </c>
      <c r="L414" s="237">
        <v>1.0</v>
      </c>
      <c r="M414" s="237">
        <v>1.0</v>
      </c>
      <c r="N414" s="237">
        <v>1.0</v>
      </c>
    </row>
    <row r="415">
      <c r="A415" s="236" t="s">
        <v>1266</v>
      </c>
      <c r="B415" s="237">
        <v>5286.0</v>
      </c>
      <c r="C415" s="236" t="s">
        <v>492</v>
      </c>
      <c r="D415" s="236" t="s">
        <v>930</v>
      </c>
      <c r="E415" s="236" t="s">
        <v>1266</v>
      </c>
      <c r="F415" s="236" t="s">
        <v>1225</v>
      </c>
      <c r="G415" s="237">
        <v>2.0</v>
      </c>
      <c r="H415" s="237">
        <v>1.0</v>
      </c>
      <c r="I415" s="237">
        <v>1.0</v>
      </c>
      <c r="J415" s="237">
        <v>2.0</v>
      </c>
      <c r="K415" s="237">
        <v>1.0</v>
      </c>
      <c r="L415" s="237">
        <v>1.0</v>
      </c>
      <c r="M415" s="237">
        <v>8.0</v>
      </c>
      <c r="N415" s="237">
        <v>8.0</v>
      </c>
    </row>
    <row r="416">
      <c r="A416" s="236" t="s">
        <v>714</v>
      </c>
      <c r="B416" s="237">
        <v>4377.0</v>
      </c>
      <c r="C416" s="236" t="s">
        <v>492</v>
      </c>
      <c r="D416" s="236" t="s">
        <v>934</v>
      </c>
      <c r="E416" s="236" t="s">
        <v>714</v>
      </c>
      <c r="F416" s="236" t="s">
        <v>1225</v>
      </c>
      <c r="G416" s="237">
        <v>2.0</v>
      </c>
      <c r="H416" s="237">
        <v>10.0</v>
      </c>
      <c r="I416" s="237">
        <v>-8.0</v>
      </c>
      <c r="J416" s="237">
        <v>2.0</v>
      </c>
      <c r="K416" s="237">
        <v>10.0</v>
      </c>
      <c r="L416" s="237">
        <v>-8.0</v>
      </c>
      <c r="M416" s="237">
        <v>8.0</v>
      </c>
      <c r="N416" s="237">
        <v>8.0</v>
      </c>
    </row>
    <row r="417">
      <c r="A417" s="236" t="s">
        <v>1285</v>
      </c>
      <c r="B417" s="237">
        <v>5879.0</v>
      </c>
      <c r="C417" s="236" t="s">
        <v>492</v>
      </c>
      <c r="D417" s="236" t="s">
        <v>947</v>
      </c>
      <c r="E417" s="236" t="s">
        <v>1285</v>
      </c>
      <c r="F417" s="236" t="s">
        <v>1225</v>
      </c>
      <c r="G417" s="237">
        <v>2.0</v>
      </c>
      <c r="H417" s="237">
        <v>2.0</v>
      </c>
      <c r="I417" s="237">
        <v>0.0</v>
      </c>
      <c r="J417" s="237">
        <v>2.0</v>
      </c>
      <c r="K417" s="237">
        <v>2.0</v>
      </c>
      <c r="L417" s="237">
        <v>0.0</v>
      </c>
      <c r="M417" s="237">
        <v>7.0</v>
      </c>
      <c r="N417" s="237">
        <v>9.0</v>
      </c>
    </row>
    <row r="418">
      <c r="A418" s="236" t="s">
        <v>1275</v>
      </c>
      <c r="B418" s="237">
        <v>5486.0</v>
      </c>
      <c r="C418" s="236" t="s">
        <v>492</v>
      </c>
      <c r="D418" s="236" t="s">
        <v>492</v>
      </c>
      <c r="E418" s="236" t="s">
        <v>1275</v>
      </c>
      <c r="F418" s="236" t="s">
        <v>1233</v>
      </c>
      <c r="G418" s="237">
        <v>2.0</v>
      </c>
      <c r="H418" s="237">
        <v>1.0</v>
      </c>
      <c r="I418" s="237">
        <v>1.0</v>
      </c>
      <c r="J418" s="237">
        <v>2.0</v>
      </c>
      <c r="K418" s="237">
        <v>1.0</v>
      </c>
      <c r="L418" s="237">
        <v>1.0</v>
      </c>
      <c r="M418" s="237">
        <v>1.0</v>
      </c>
      <c r="N418" s="237">
        <v>1.0</v>
      </c>
    </row>
    <row r="419">
      <c r="A419" s="236" t="s">
        <v>1274</v>
      </c>
      <c r="B419" s="237">
        <v>5485.0</v>
      </c>
      <c r="C419" s="236" t="s">
        <v>492</v>
      </c>
      <c r="D419" s="236" t="s">
        <v>1056</v>
      </c>
      <c r="E419" s="236" t="s">
        <v>1274</v>
      </c>
      <c r="F419" s="236" t="s">
        <v>1233</v>
      </c>
      <c r="G419" s="237">
        <v>2.0</v>
      </c>
      <c r="H419" s="237">
        <v>4.0</v>
      </c>
      <c r="I419" s="237">
        <v>-2.0</v>
      </c>
      <c r="J419" s="237">
        <v>2.0</v>
      </c>
      <c r="K419" s="237">
        <v>4.0</v>
      </c>
      <c r="L419" s="237">
        <v>-2.0</v>
      </c>
      <c r="M419" s="237">
        <v>6.0</v>
      </c>
      <c r="N419" s="237">
        <v>6.0</v>
      </c>
    </row>
    <row r="420">
      <c r="A420" s="236" t="s">
        <v>1303</v>
      </c>
      <c r="B420" s="237">
        <v>6562.0</v>
      </c>
      <c r="C420" s="236" t="s">
        <v>492</v>
      </c>
      <c r="D420" s="236" t="s">
        <v>930</v>
      </c>
      <c r="E420" s="236" t="s">
        <v>1303</v>
      </c>
      <c r="F420" s="236" t="s">
        <v>983</v>
      </c>
      <c r="G420" s="237">
        <v>2.0</v>
      </c>
      <c r="H420" s="237">
        <v>3.0</v>
      </c>
      <c r="I420" s="237">
        <v>-1.0</v>
      </c>
      <c r="J420" s="237">
        <v>2.0</v>
      </c>
      <c r="K420" s="237">
        <v>3.0</v>
      </c>
      <c r="L420" s="237">
        <v>-1.0</v>
      </c>
      <c r="M420" s="237">
        <v>9.0</v>
      </c>
      <c r="N420" s="237">
        <v>9.0</v>
      </c>
    </row>
    <row r="421">
      <c r="A421" s="236" t="s">
        <v>1240</v>
      </c>
      <c r="B421" s="237">
        <v>1978.0</v>
      </c>
      <c r="C421" s="236" t="s">
        <v>492</v>
      </c>
      <c r="D421" s="236" t="s">
        <v>934</v>
      </c>
      <c r="E421" s="236" t="s">
        <v>1240</v>
      </c>
      <c r="F421" s="236" t="s">
        <v>1225</v>
      </c>
      <c r="G421" s="237">
        <v>2.0</v>
      </c>
      <c r="H421" s="237">
        <v>7.0</v>
      </c>
      <c r="I421" s="237">
        <v>-5.0</v>
      </c>
      <c r="J421" s="237">
        <v>2.0</v>
      </c>
      <c r="K421" s="237">
        <v>7.0</v>
      </c>
      <c r="L421" s="237">
        <v>-5.0</v>
      </c>
      <c r="M421" s="237">
        <v>7.0</v>
      </c>
      <c r="N421" s="237">
        <v>7.0</v>
      </c>
    </row>
    <row r="422">
      <c r="A422" s="236" t="s">
        <v>726</v>
      </c>
      <c r="B422" s="237">
        <v>5872.0</v>
      </c>
      <c r="C422" s="236" t="s">
        <v>492</v>
      </c>
      <c r="D422" s="236" t="s">
        <v>934</v>
      </c>
      <c r="E422" s="236" t="s">
        <v>726</v>
      </c>
      <c r="F422" s="236" t="s">
        <v>998</v>
      </c>
      <c r="G422" s="237">
        <v>2.0</v>
      </c>
      <c r="H422" s="237">
        <v>1.0</v>
      </c>
      <c r="I422" s="237">
        <v>1.0</v>
      </c>
      <c r="J422" s="237">
        <v>2.0</v>
      </c>
      <c r="K422" s="237">
        <v>1.0</v>
      </c>
      <c r="L422" s="237">
        <v>1.0</v>
      </c>
      <c r="M422" s="237">
        <v>3.0</v>
      </c>
      <c r="N422" s="237">
        <v>3.0</v>
      </c>
    </row>
    <row r="423">
      <c r="A423" s="236" t="s">
        <v>1547</v>
      </c>
      <c r="B423" s="237">
        <v>6922.0</v>
      </c>
      <c r="C423" s="236" t="s">
        <v>492</v>
      </c>
      <c r="D423" s="236" t="s">
        <v>930</v>
      </c>
      <c r="E423" s="236" t="s">
        <v>1547</v>
      </c>
      <c r="F423" s="236" t="s">
        <v>1026</v>
      </c>
      <c r="G423" s="237">
        <v>2.0</v>
      </c>
      <c r="H423" s="237">
        <v>1.0</v>
      </c>
      <c r="I423" s="237">
        <v>1.0</v>
      </c>
      <c r="J423" s="237">
        <v>2.0</v>
      </c>
      <c r="K423" s="237">
        <v>1.0</v>
      </c>
      <c r="L423" s="237">
        <v>1.0</v>
      </c>
      <c r="M423" s="237">
        <v>1.0</v>
      </c>
      <c r="N423" s="237">
        <v>1.0</v>
      </c>
    </row>
    <row r="424">
      <c r="A424" s="236" t="s">
        <v>1122</v>
      </c>
      <c r="B424" s="237">
        <v>5540.0</v>
      </c>
      <c r="C424" s="236" t="s">
        <v>492</v>
      </c>
      <c r="D424" s="236" t="s">
        <v>930</v>
      </c>
      <c r="E424" s="236" t="s">
        <v>1122</v>
      </c>
      <c r="F424" s="236" t="s">
        <v>983</v>
      </c>
      <c r="G424" s="237">
        <v>2.0</v>
      </c>
      <c r="H424" s="237">
        <v>2.0</v>
      </c>
      <c r="I424" s="237">
        <v>0.0</v>
      </c>
      <c r="J424" s="237">
        <v>2.0</v>
      </c>
      <c r="K424" s="237">
        <v>2.0</v>
      </c>
      <c r="L424" s="237">
        <v>0.0</v>
      </c>
      <c r="M424" s="237">
        <v>4.0</v>
      </c>
      <c r="N424" s="237">
        <v>4.0</v>
      </c>
    </row>
    <row r="425">
      <c r="A425" s="236" t="s">
        <v>1191</v>
      </c>
      <c r="B425" s="237">
        <v>6024.0</v>
      </c>
      <c r="C425" s="236" t="s">
        <v>492</v>
      </c>
      <c r="D425" s="236" t="s">
        <v>930</v>
      </c>
      <c r="E425" s="236" t="s">
        <v>1191</v>
      </c>
      <c r="F425" s="236" t="s">
        <v>980</v>
      </c>
      <c r="G425" s="237">
        <v>1.0</v>
      </c>
      <c r="H425" s="237">
        <v>2.0</v>
      </c>
      <c r="I425" s="237">
        <v>-1.0</v>
      </c>
      <c r="J425" s="237">
        <v>1.0</v>
      </c>
      <c r="K425" s="237">
        <v>3.0</v>
      </c>
      <c r="L425" s="237">
        <v>-2.0</v>
      </c>
      <c r="M425" s="237">
        <v>4.0</v>
      </c>
      <c r="N425" s="237">
        <v>5.0</v>
      </c>
    </row>
    <row r="426">
      <c r="A426" s="236" t="s">
        <v>659</v>
      </c>
      <c r="B426" s="237">
        <v>6225.0</v>
      </c>
      <c r="C426" s="236" t="s">
        <v>492</v>
      </c>
      <c r="D426" s="236" t="s">
        <v>930</v>
      </c>
      <c r="E426" s="236" t="s">
        <v>659</v>
      </c>
      <c r="F426" s="236" t="s">
        <v>1009</v>
      </c>
      <c r="G426" s="237">
        <v>1.0</v>
      </c>
      <c r="H426" s="237">
        <v>4.0</v>
      </c>
      <c r="I426" s="237">
        <v>-3.0</v>
      </c>
      <c r="J426" s="237">
        <v>1.0</v>
      </c>
      <c r="K426" s="237">
        <v>5.0</v>
      </c>
      <c r="L426" s="237">
        <v>-4.0</v>
      </c>
      <c r="M426" s="237">
        <v>6.0</v>
      </c>
      <c r="N426" s="237">
        <v>9.0</v>
      </c>
    </row>
    <row r="427">
      <c r="A427" s="236" t="s">
        <v>1241</v>
      </c>
      <c r="B427" s="237">
        <v>1987.0</v>
      </c>
      <c r="C427" s="236" t="s">
        <v>492</v>
      </c>
      <c r="D427" s="236" t="s">
        <v>1242</v>
      </c>
      <c r="E427" s="236" t="s">
        <v>1241</v>
      </c>
      <c r="F427" s="236" t="s">
        <v>975</v>
      </c>
      <c r="G427" s="237">
        <v>1.0</v>
      </c>
      <c r="H427" s="237">
        <v>3.0</v>
      </c>
      <c r="I427" s="237">
        <v>-2.0</v>
      </c>
      <c r="J427" s="237">
        <v>1.0</v>
      </c>
      <c r="K427" s="237">
        <v>4.0</v>
      </c>
      <c r="L427" s="237">
        <v>-3.0</v>
      </c>
      <c r="M427" s="237">
        <v>6.0</v>
      </c>
      <c r="N427" s="237">
        <v>7.0</v>
      </c>
    </row>
    <row r="428">
      <c r="A428" s="236" t="s">
        <v>772</v>
      </c>
      <c r="B428" s="237">
        <v>556.0</v>
      </c>
      <c r="C428" s="236" t="s">
        <v>492</v>
      </c>
      <c r="D428" s="236" t="s">
        <v>930</v>
      </c>
      <c r="E428" s="236" t="s">
        <v>772</v>
      </c>
      <c r="F428" s="236" t="s">
        <v>974</v>
      </c>
      <c r="G428" s="237">
        <v>1.0</v>
      </c>
      <c r="H428" s="237">
        <v>3.0</v>
      </c>
      <c r="I428" s="237">
        <v>-2.0</v>
      </c>
      <c r="J428" s="237">
        <v>1.0</v>
      </c>
      <c r="K428" s="237">
        <v>3.0</v>
      </c>
      <c r="L428" s="237">
        <v>-2.0</v>
      </c>
      <c r="M428" s="237">
        <v>7.0</v>
      </c>
      <c r="N428" s="237">
        <v>9.0</v>
      </c>
    </row>
    <row r="429">
      <c r="A429" s="236" t="s">
        <v>1282</v>
      </c>
      <c r="B429" s="237">
        <v>5725.0</v>
      </c>
      <c r="C429" s="236" t="s">
        <v>492</v>
      </c>
      <c r="D429" s="236" t="s">
        <v>930</v>
      </c>
      <c r="E429" s="236" t="s">
        <v>1282</v>
      </c>
      <c r="F429" s="236" t="s">
        <v>974</v>
      </c>
      <c r="G429" s="237">
        <v>1.0</v>
      </c>
      <c r="H429" s="237">
        <v>1.0</v>
      </c>
      <c r="I429" s="237">
        <v>0.0</v>
      </c>
      <c r="J429" s="237">
        <v>1.0</v>
      </c>
      <c r="K429" s="237">
        <v>1.0</v>
      </c>
      <c r="L429" s="237">
        <v>0.0</v>
      </c>
      <c r="M429" s="237">
        <v>1.0</v>
      </c>
      <c r="N429" s="237">
        <v>1.0</v>
      </c>
    </row>
    <row r="430">
      <c r="A430" s="236" t="s">
        <v>766</v>
      </c>
      <c r="B430" s="237">
        <v>6645.0</v>
      </c>
      <c r="C430" s="236" t="s">
        <v>492</v>
      </c>
      <c r="D430" s="236" t="s">
        <v>543</v>
      </c>
      <c r="E430" s="236" t="s">
        <v>766</v>
      </c>
      <c r="F430" s="236" t="s">
        <v>998</v>
      </c>
      <c r="G430" s="237">
        <v>1.0</v>
      </c>
      <c r="H430" s="237">
        <v>8.0</v>
      </c>
      <c r="I430" s="237">
        <v>-7.0</v>
      </c>
      <c r="J430" s="237">
        <v>1.0</v>
      </c>
      <c r="K430" s="237">
        <v>7.0</v>
      </c>
      <c r="L430" s="237">
        <v>-6.0</v>
      </c>
      <c r="M430" s="237">
        <v>5.0</v>
      </c>
      <c r="N430" s="237">
        <v>5.0</v>
      </c>
    </row>
    <row r="431">
      <c r="A431" s="236" t="s">
        <v>648</v>
      </c>
      <c r="B431" s="237">
        <v>6524.0</v>
      </c>
      <c r="C431" s="236" t="s">
        <v>492</v>
      </c>
      <c r="D431" s="236" t="s">
        <v>934</v>
      </c>
      <c r="E431" s="236" t="s">
        <v>648</v>
      </c>
      <c r="F431" s="236" t="s">
        <v>991</v>
      </c>
      <c r="G431" s="237">
        <v>1.0</v>
      </c>
      <c r="H431" s="237">
        <v>1.0</v>
      </c>
      <c r="I431" s="237">
        <v>0.0</v>
      </c>
      <c r="J431" s="237">
        <v>1.0</v>
      </c>
      <c r="K431" s="237">
        <v>1.0</v>
      </c>
      <c r="L431" s="237">
        <v>0.0</v>
      </c>
      <c r="M431" s="237">
        <v>2.0</v>
      </c>
      <c r="N431" s="237">
        <v>2.0</v>
      </c>
    </row>
    <row r="432">
      <c r="A432" s="236" t="s">
        <v>1237</v>
      </c>
      <c r="B432" s="237">
        <v>801.0</v>
      </c>
      <c r="C432" s="236" t="s">
        <v>492</v>
      </c>
      <c r="D432" s="236" t="s">
        <v>930</v>
      </c>
      <c r="E432" s="236" t="s">
        <v>1237</v>
      </c>
      <c r="F432" s="236" t="s">
        <v>1225</v>
      </c>
      <c r="G432" s="237">
        <v>1.0</v>
      </c>
      <c r="H432" s="237">
        <v>5.0</v>
      </c>
      <c r="I432" s="237">
        <v>-4.0</v>
      </c>
      <c r="J432" s="237">
        <v>2.0</v>
      </c>
      <c r="K432" s="237">
        <v>6.0</v>
      </c>
      <c r="L432" s="237">
        <v>-4.0</v>
      </c>
      <c r="M432" s="237">
        <v>5.0</v>
      </c>
      <c r="N432" s="237">
        <v>7.0</v>
      </c>
    </row>
    <row r="433">
      <c r="A433" s="236" t="s">
        <v>1204</v>
      </c>
      <c r="B433" s="237">
        <v>2274.0</v>
      </c>
      <c r="C433" s="236" t="s">
        <v>492</v>
      </c>
      <c r="D433" s="236" t="s">
        <v>934</v>
      </c>
      <c r="E433" s="236" t="s">
        <v>1204</v>
      </c>
      <c r="F433" s="236" t="s">
        <v>1225</v>
      </c>
      <c r="G433" s="237">
        <v>1.0</v>
      </c>
      <c r="H433" s="237">
        <v>6.0</v>
      </c>
      <c r="I433" s="237">
        <v>-5.0</v>
      </c>
      <c r="J433" s="237">
        <v>1.0</v>
      </c>
      <c r="K433" s="237">
        <v>6.0</v>
      </c>
      <c r="L433" s="237">
        <v>-5.0</v>
      </c>
      <c r="M433" s="237">
        <v>6.0</v>
      </c>
      <c r="N433" s="237">
        <v>6.0</v>
      </c>
    </row>
    <row r="434">
      <c r="A434" s="236" t="s">
        <v>1306</v>
      </c>
      <c r="B434" s="237">
        <v>6592.0</v>
      </c>
      <c r="C434" s="236" t="s">
        <v>492</v>
      </c>
      <c r="D434" s="236" t="s">
        <v>1057</v>
      </c>
      <c r="E434" s="236" t="s">
        <v>1306</v>
      </c>
      <c r="F434" s="236" t="s">
        <v>1225</v>
      </c>
      <c r="G434" s="237">
        <v>1.0</v>
      </c>
      <c r="H434" s="237">
        <v>6.0</v>
      </c>
      <c r="I434" s="237">
        <v>-5.0</v>
      </c>
      <c r="J434" s="237">
        <v>1.0</v>
      </c>
      <c r="K434" s="237">
        <v>6.0</v>
      </c>
      <c r="L434" s="237">
        <v>-5.0</v>
      </c>
      <c r="M434" s="237">
        <v>5.0</v>
      </c>
      <c r="N434" s="237">
        <v>7.0</v>
      </c>
    </row>
    <row r="435">
      <c r="A435" s="236" t="s">
        <v>692</v>
      </c>
      <c r="B435" s="237">
        <v>5290.0</v>
      </c>
      <c r="C435" s="236" t="s">
        <v>492</v>
      </c>
      <c r="D435" s="236" t="s">
        <v>930</v>
      </c>
      <c r="E435" s="236" t="s">
        <v>692</v>
      </c>
      <c r="F435" s="236" t="s">
        <v>985</v>
      </c>
      <c r="G435" s="237">
        <v>1.0</v>
      </c>
      <c r="H435" s="237">
        <v>4.0</v>
      </c>
      <c r="I435" s="237">
        <v>-3.0</v>
      </c>
      <c r="J435" s="237">
        <v>1.0</v>
      </c>
      <c r="K435" s="237">
        <v>5.0</v>
      </c>
      <c r="L435" s="237">
        <v>-4.0</v>
      </c>
      <c r="M435" s="237">
        <v>8.0</v>
      </c>
      <c r="N435" s="237">
        <v>11.0</v>
      </c>
    </row>
    <row r="436">
      <c r="A436" s="236" t="s">
        <v>1258</v>
      </c>
      <c r="B436" s="237">
        <v>4376.0</v>
      </c>
      <c r="C436" s="236" t="s">
        <v>492</v>
      </c>
      <c r="D436" s="236" t="s">
        <v>934</v>
      </c>
      <c r="E436" s="236" t="s">
        <v>1258</v>
      </c>
      <c r="F436" s="236" t="s">
        <v>1222</v>
      </c>
      <c r="G436" s="237">
        <v>1.0</v>
      </c>
      <c r="H436" s="237">
        <v>10.0</v>
      </c>
      <c r="I436" s="237">
        <v>-9.0</v>
      </c>
      <c r="J436" s="237">
        <v>1.0</v>
      </c>
      <c r="K436" s="237">
        <v>10.0</v>
      </c>
      <c r="L436" s="237">
        <v>-9.0</v>
      </c>
      <c r="M436" s="237">
        <v>5.0</v>
      </c>
      <c r="N436" s="237">
        <v>5.0</v>
      </c>
    </row>
    <row r="437">
      <c r="A437" s="236" t="s">
        <v>427</v>
      </c>
      <c r="B437" s="237">
        <v>6677.0</v>
      </c>
      <c r="C437" s="236" t="s">
        <v>492</v>
      </c>
      <c r="D437" s="236" t="s">
        <v>543</v>
      </c>
      <c r="E437" s="236" t="s">
        <v>427</v>
      </c>
      <c r="F437" s="236" t="s">
        <v>976</v>
      </c>
      <c r="G437" s="237">
        <v>1.0</v>
      </c>
      <c r="H437" s="237">
        <v>1.0</v>
      </c>
      <c r="I437" s="237">
        <v>0.0</v>
      </c>
      <c r="J437" s="237">
        <v>1.0</v>
      </c>
      <c r="K437" s="237">
        <v>1.0</v>
      </c>
      <c r="L437" s="237">
        <v>0.0</v>
      </c>
      <c r="M437" s="237">
        <v>3.0</v>
      </c>
      <c r="N437" s="237">
        <v>3.0</v>
      </c>
    </row>
    <row r="438">
      <c r="A438" s="236" t="s">
        <v>647</v>
      </c>
      <c r="B438" s="237">
        <v>6678.0</v>
      </c>
      <c r="C438" s="236" t="s">
        <v>492</v>
      </c>
      <c r="D438" s="236" t="s">
        <v>1057</v>
      </c>
      <c r="E438" s="236" t="s">
        <v>647</v>
      </c>
      <c r="F438" s="236" t="s">
        <v>991</v>
      </c>
      <c r="G438" s="237">
        <v>1.0</v>
      </c>
      <c r="H438" s="237">
        <v>1.0</v>
      </c>
      <c r="I438" s="237">
        <v>0.0</v>
      </c>
      <c r="J438" s="237">
        <v>1.0</v>
      </c>
      <c r="K438" s="237">
        <v>1.0</v>
      </c>
      <c r="L438" s="237">
        <v>0.0</v>
      </c>
      <c r="M438" s="237">
        <v>5.0</v>
      </c>
      <c r="N438" s="237">
        <v>5.0</v>
      </c>
    </row>
    <row r="439">
      <c r="A439" s="236" t="s">
        <v>1548</v>
      </c>
      <c r="B439" s="237">
        <v>6819.0</v>
      </c>
      <c r="C439" s="236" t="s">
        <v>492</v>
      </c>
      <c r="D439" s="236" t="s">
        <v>543</v>
      </c>
      <c r="E439" s="236" t="s">
        <v>1548</v>
      </c>
      <c r="F439" s="236" t="s">
        <v>1233</v>
      </c>
      <c r="G439" s="237">
        <v>1.0</v>
      </c>
      <c r="H439" s="237">
        <v>1.0</v>
      </c>
      <c r="I439" s="237">
        <v>0.0</v>
      </c>
      <c r="J439" s="237">
        <v>1.0</v>
      </c>
      <c r="K439" s="237">
        <v>1.0</v>
      </c>
      <c r="L439" s="237">
        <v>0.0</v>
      </c>
      <c r="M439" s="237">
        <v>5.0</v>
      </c>
      <c r="N439" s="237">
        <v>5.0</v>
      </c>
    </row>
    <row r="440">
      <c r="A440" s="236" t="s">
        <v>1549</v>
      </c>
      <c r="B440" s="237">
        <v>6834.0</v>
      </c>
      <c r="C440" s="236" t="s">
        <v>492</v>
      </c>
      <c r="D440" s="236" t="s">
        <v>492</v>
      </c>
      <c r="E440" s="236" t="s">
        <v>1549</v>
      </c>
      <c r="F440" s="236" t="s">
        <v>980</v>
      </c>
      <c r="G440" s="237">
        <v>1.0</v>
      </c>
      <c r="H440" s="237">
        <v>1.0</v>
      </c>
      <c r="I440" s="237">
        <v>0.0</v>
      </c>
      <c r="J440" s="237">
        <v>1.0</v>
      </c>
      <c r="K440" s="237">
        <v>1.0</v>
      </c>
      <c r="L440" s="237">
        <v>0.0</v>
      </c>
      <c r="M440" s="237">
        <v>1.0</v>
      </c>
      <c r="N440" s="237">
        <v>1.0</v>
      </c>
    </row>
    <row r="441">
      <c r="A441" s="236" t="s">
        <v>430</v>
      </c>
      <c r="B441" s="237">
        <v>6839.0</v>
      </c>
      <c r="C441" s="236" t="s">
        <v>492</v>
      </c>
      <c r="D441" s="236" t="s">
        <v>934</v>
      </c>
      <c r="E441" s="236" t="s">
        <v>430</v>
      </c>
      <c r="F441" s="236" t="s">
        <v>1009</v>
      </c>
      <c r="G441" s="237">
        <v>1.0</v>
      </c>
      <c r="H441" s="237">
        <v>1.0</v>
      </c>
      <c r="I441" s="237">
        <v>0.0</v>
      </c>
      <c r="J441" s="237">
        <v>1.0</v>
      </c>
      <c r="K441" s="237">
        <v>1.0</v>
      </c>
      <c r="L441" s="237">
        <v>0.0</v>
      </c>
      <c r="M441" s="237">
        <v>1.0</v>
      </c>
      <c r="N441" s="237">
        <v>1.0</v>
      </c>
    </row>
    <row r="442">
      <c r="A442" s="236" t="s">
        <v>1550</v>
      </c>
      <c r="B442" s="237">
        <v>6618.0</v>
      </c>
      <c r="C442" s="236" t="s">
        <v>492</v>
      </c>
      <c r="D442" s="236" t="s">
        <v>1057</v>
      </c>
      <c r="E442" s="236" t="s">
        <v>1550</v>
      </c>
      <c r="F442" s="236" t="s">
        <v>983</v>
      </c>
      <c r="G442" s="237">
        <v>1.0</v>
      </c>
      <c r="H442" s="237">
        <v>1.0</v>
      </c>
      <c r="I442" s="237">
        <v>0.0</v>
      </c>
      <c r="J442" s="237">
        <v>1.0</v>
      </c>
      <c r="K442" s="237">
        <v>1.0</v>
      </c>
      <c r="L442" s="237">
        <v>0.0</v>
      </c>
      <c r="M442" s="237">
        <v>1.0</v>
      </c>
      <c r="N442" s="237">
        <v>1.0</v>
      </c>
    </row>
    <row r="443">
      <c r="A443" s="236" t="s">
        <v>1551</v>
      </c>
      <c r="B443" s="237">
        <v>6872.0</v>
      </c>
      <c r="C443" s="236" t="s">
        <v>492</v>
      </c>
      <c r="D443" s="236" t="s">
        <v>934</v>
      </c>
      <c r="E443" s="236" t="s">
        <v>1551</v>
      </c>
      <c r="F443" s="236" t="s">
        <v>980</v>
      </c>
      <c r="G443" s="237">
        <v>1.0</v>
      </c>
      <c r="H443" s="237">
        <v>1.0</v>
      </c>
      <c r="I443" s="237">
        <v>0.0</v>
      </c>
      <c r="J443" s="237">
        <v>1.0</v>
      </c>
      <c r="K443" s="237">
        <v>1.0</v>
      </c>
      <c r="L443" s="237">
        <v>0.0</v>
      </c>
      <c r="M443" s="237">
        <v>1.0</v>
      </c>
      <c r="N443" s="237">
        <v>1.0</v>
      </c>
    </row>
    <row r="444">
      <c r="A444" s="236" t="s">
        <v>1326</v>
      </c>
      <c r="B444" s="237">
        <v>6891.0</v>
      </c>
      <c r="C444" s="236" t="s">
        <v>492</v>
      </c>
      <c r="D444" s="236" t="s">
        <v>930</v>
      </c>
      <c r="E444" s="236" t="s">
        <v>1326</v>
      </c>
      <c r="F444" s="236" t="s">
        <v>991</v>
      </c>
      <c r="G444" s="237">
        <v>1.0</v>
      </c>
      <c r="H444" s="237">
        <v>1.0</v>
      </c>
      <c r="I444" s="237">
        <v>0.0</v>
      </c>
      <c r="J444" s="237">
        <v>1.0</v>
      </c>
      <c r="K444" s="237">
        <v>1.0</v>
      </c>
      <c r="L444" s="237">
        <v>0.0</v>
      </c>
      <c r="M444" s="237">
        <v>1.0</v>
      </c>
      <c r="N444" s="237">
        <v>1.0</v>
      </c>
    </row>
    <row r="445">
      <c r="A445" s="236" t="s">
        <v>1328</v>
      </c>
      <c r="B445" s="237">
        <v>6903.0</v>
      </c>
      <c r="C445" s="236" t="s">
        <v>492</v>
      </c>
      <c r="D445" s="236" t="s">
        <v>934</v>
      </c>
      <c r="E445" s="236" t="s">
        <v>1328</v>
      </c>
      <c r="F445" s="236" t="s">
        <v>987</v>
      </c>
      <c r="G445" s="237">
        <v>1.0</v>
      </c>
      <c r="H445" s="237">
        <v>1.0</v>
      </c>
      <c r="I445" s="237">
        <v>0.0</v>
      </c>
      <c r="J445" s="237">
        <v>1.0</v>
      </c>
      <c r="K445" s="237">
        <v>1.0</v>
      </c>
      <c r="L445" s="237">
        <v>0.0</v>
      </c>
      <c r="M445" s="237">
        <v>1.0</v>
      </c>
      <c r="N445" s="237">
        <v>1.0</v>
      </c>
    </row>
    <row r="446">
      <c r="A446" s="236" t="s">
        <v>185</v>
      </c>
      <c r="B446" s="237">
        <v>5674.0</v>
      </c>
      <c r="C446" s="236" t="s">
        <v>492</v>
      </c>
      <c r="D446" s="236" t="s">
        <v>492</v>
      </c>
      <c r="E446" s="236" t="s">
        <v>185</v>
      </c>
      <c r="F446" s="236" t="s">
        <v>1000</v>
      </c>
      <c r="G446" s="237">
        <v>1.0</v>
      </c>
      <c r="H446" s="237">
        <v>1.0</v>
      </c>
      <c r="I446" s="237">
        <v>0.0</v>
      </c>
      <c r="J446" s="237">
        <v>1.0</v>
      </c>
      <c r="K446" s="237">
        <v>1.0</v>
      </c>
      <c r="L446" s="237">
        <v>0.0</v>
      </c>
      <c r="M446" s="237">
        <v>1.0</v>
      </c>
      <c r="N446" s="237">
        <v>1.0</v>
      </c>
    </row>
    <row r="447">
      <c r="A447" s="236" t="s">
        <v>1474</v>
      </c>
      <c r="B447" s="237">
        <v>5824.0</v>
      </c>
      <c r="C447" s="236" t="s">
        <v>492</v>
      </c>
      <c r="D447" s="236" t="s">
        <v>947</v>
      </c>
      <c r="E447" s="236" t="s">
        <v>1474</v>
      </c>
      <c r="F447" s="236" t="s">
        <v>993</v>
      </c>
      <c r="G447" s="237">
        <v>1.0</v>
      </c>
      <c r="H447" s="237">
        <v>1.0</v>
      </c>
      <c r="I447" s="237">
        <v>0.0</v>
      </c>
      <c r="J447" s="237">
        <v>1.0</v>
      </c>
      <c r="K447" s="237">
        <v>1.0</v>
      </c>
      <c r="L447" s="237">
        <v>0.0</v>
      </c>
      <c r="M447" s="237">
        <v>2.0</v>
      </c>
      <c r="N447" s="237">
        <v>2.0</v>
      </c>
    </row>
    <row r="448">
      <c r="A448" s="236" t="s">
        <v>1552</v>
      </c>
      <c r="B448" s="237">
        <v>6963.0</v>
      </c>
      <c r="C448" s="236" t="s">
        <v>492</v>
      </c>
      <c r="D448" s="236" t="s">
        <v>930</v>
      </c>
      <c r="E448" s="236" t="s">
        <v>1552</v>
      </c>
      <c r="F448" s="236" t="s">
        <v>1233</v>
      </c>
      <c r="G448" s="237">
        <v>1.0</v>
      </c>
      <c r="H448" s="237">
        <v>2.0</v>
      </c>
      <c r="I448" s="237">
        <v>-1.0</v>
      </c>
      <c r="J448" s="237">
        <v>1.0</v>
      </c>
      <c r="K448" s="237">
        <v>2.0</v>
      </c>
      <c r="L448" s="237">
        <v>-1.0</v>
      </c>
      <c r="M448" s="237">
        <v>6.0</v>
      </c>
      <c r="N448" s="237">
        <v>9.0</v>
      </c>
    </row>
    <row r="449">
      <c r="A449" s="236" t="s">
        <v>273</v>
      </c>
      <c r="B449" s="237">
        <v>4871.0</v>
      </c>
      <c r="C449" s="236" t="s">
        <v>507</v>
      </c>
      <c r="D449" s="236" t="s">
        <v>512</v>
      </c>
      <c r="E449" s="236" t="s">
        <v>273</v>
      </c>
      <c r="F449" s="236" t="s">
        <v>973</v>
      </c>
      <c r="G449" s="237">
        <v>41.0</v>
      </c>
      <c r="H449" s="237">
        <v>31.0</v>
      </c>
      <c r="I449" s="237">
        <v>10.0</v>
      </c>
      <c r="J449" s="237">
        <v>41.0</v>
      </c>
      <c r="K449" s="237">
        <v>30.0</v>
      </c>
      <c r="L449" s="237">
        <v>11.0</v>
      </c>
      <c r="M449" s="237">
        <v>435.0</v>
      </c>
      <c r="N449" s="237">
        <v>435.0</v>
      </c>
    </row>
    <row r="450">
      <c r="A450" s="236" t="s">
        <v>753</v>
      </c>
      <c r="B450" s="237">
        <v>4730.0</v>
      </c>
      <c r="C450" s="236" t="s">
        <v>507</v>
      </c>
      <c r="D450" s="236" t="s">
        <v>507</v>
      </c>
      <c r="E450" s="236" t="s">
        <v>753</v>
      </c>
      <c r="F450" s="236" t="s">
        <v>980</v>
      </c>
      <c r="G450" s="237">
        <v>36.0</v>
      </c>
      <c r="H450" s="237">
        <v>28.0</v>
      </c>
      <c r="I450" s="237">
        <v>8.0</v>
      </c>
      <c r="J450" s="237">
        <v>36.0</v>
      </c>
      <c r="K450" s="237">
        <v>29.0</v>
      </c>
      <c r="L450" s="237">
        <v>7.0</v>
      </c>
      <c r="M450" s="237">
        <v>384.0</v>
      </c>
      <c r="N450" s="237">
        <v>384.0</v>
      </c>
    </row>
    <row r="451">
      <c r="A451" s="236" t="s">
        <v>686</v>
      </c>
      <c r="B451" s="237">
        <v>6228.0</v>
      </c>
      <c r="C451" s="236" t="s">
        <v>507</v>
      </c>
      <c r="D451" s="236" t="s">
        <v>512</v>
      </c>
      <c r="E451" s="236" t="s">
        <v>686</v>
      </c>
      <c r="F451" s="236" t="s">
        <v>980</v>
      </c>
      <c r="G451" s="237">
        <v>35.0</v>
      </c>
      <c r="H451" s="237">
        <v>20.0</v>
      </c>
      <c r="I451" s="237">
        <v>15.0</v>
      </c>
      <c r="J451" s="237">
        <v>35.0</v>
      </c>
      <c r="K451" s="237">
        <v>19.0</v>
      </c>
      <c r="L451" s="237">
        <v>16.0</v>
      </c>
      <c r="M451" s="237">
        <v>452.0</v>
      </c>
      <c r="N451" s="237">
        <v>452.0</v>
      </c>
    </row>
    <row r="452">
      <c r="A452" s="236" t="s">
        <v>108</v>
      </c>
      <c r="B452" s="237">
        <v>2097.0</v>
      </c>
      <c r="C452" s="236" t="s">
        <v>507</v>
      </c>
      <c r="D452" s="236" t="s">
        <v>512</v>
      </c>
      <c r="E452" s="236" t="s">
        <v>108</v>
      </c>
      <c r="F452" s="236" t="s">
        <v>1033</v>
      </c>
      <c r="G452" s="237">
        <v>32.0</v>
      </c>
      <c r="H452" s="237">
        <v>21.0</v>
      </c>
      <c r="I452" s="237">
        <v>11.0</v>
      </c>
      <c r="J452" s="237">
        <v>32.0</v>
      </c>
      <c r="K452" s="237">
        <v>21.0</v>
      </c>
      <c r="L452" s="237">
        <v>11.0</v>
      </c>
      <c r="M452" s="237">
        <v>353.0</v>
      </c>
      <c r="N452" s="237">
        <v>353.0</v>
      </c>
    </row>
    <row r="453">
      <c r="A453" s="236" t="s">
        <v>145</v>
      </c>
      <c r="B453" s="237">
        <v>2764.0</v>
      </c>
      <c r="C453" s="236" t="s">
        <v>507</v>
      </c>
      <c r="D453" s="236" t="s">
        <v>512</v>
      </c>
      <c r="E453" s="236" t="s">
        <v>145</v>
      </c>
      <c r="F453" s="236" t="s">
        <v>973</v>
      </c>
      <c r="G453" s="237">
        <v>32.0</v>
      </c>
      <c r="H453" s="237">
        <v>41.0</v>
      </c>
      <c r="I453" s="237">
        <v>-9.0</v>
      </c>
      <c r="J453" s="237">
        <v>32.0</v>
      </c>
      <c r="K453" s="237">
        <v>42.0</v>
      </c>
      <c r="L453" s="237">
        <v>-10.0</v>
      </c>
      <c r="M453" s="237">
        <v>385.0</v>
      </c>
      <c r="N453" s="237">
        <v>385.0</v>
      </c>
    </row>
    <row r="454">
      <c r="A454" s="236" t="s">
        <v>685</v>
      </c>
      <c r="B454" s="237">
        <v>2531.0</v>
      </c>
      <c r="C454" s="236" t="s">
        <v>507</v>
      </c>
      <c r="D454" s="236" t="s">
        <v>512</v>
      </c>
      <c r="E454" s="236" t="s">
        <v>685</v>
      </c>
      <c r="F454" s="236" t="s">
        <v>987</v>
      </c>
      <c r="G454" s="237">
        <v>31.0</v>
      </c>
      <c r="H454" s="237">
        <v>33.0</v>
      </c>
      <c r="I454" s="237">
        <v>-2.0</v>
      </c>
      <c r="J454" s="237">
        <v>31.0</v>
      </c>
      <c r="K454" s="237">
        <v>33.0</v>
      </c>
      <c r="L454" s="237">
        <v>-2.0</v>
      </c>
      <c r="M454" s="237">
        <v>387.0</v>
      </c>
      <c r="N454" s="237">
        <v>387.0</v>
      </c>
    </row>
    <row r="455">
      <c r="A455" s="236" t="s">
        <v>282</v>
      </c>
      <c r="B455" s="237">
        <v>2841.0</v>
      </c>
      <c r="C455" s="236" t="s">
        <v>507</v>
      </c>
      <c r="D455" s="236" t="s">
        <v>512</v>
      </c>
      <c r="E455" s="236" t="s">
        <v>282</v>
      </c>
      <c r="F455" s="236" t="s">
        <v>976</v>
      </c>
      <c r="G455" s="237">
        <v>26.0</v>
      </c>
      <c r="H455" s="237">
        <v>37.0</v>
      </c>
      <c r="I455" s="237">
        <v>-11.0</v>
      </c>
      <c r="J455" s="237">
        <v>26.0</v>
      </c>
      <c r="K455" s="237">
        <v>38.0</v>
      </c>
      <c r="L455" s="237">
        <v>-12.0</v>
      </c>
      <c r="M455" s="237">
        <v>332.0</v>
      </c>
      <c r="N455" s="237">
        <v>332.0</v>
      </c>
    </row>
    <row r="456">
      <c r="A456" s="236" t="s">
        <v>297</v>
      </c>
      <c r="B456" s="237">
        <v>309.0</v>
      </c>
      <c r="C456" s="236" t="s">
        <v>507</v>
      </c>
      <c r="D456" s="236" t="s">
        <v>507</v>
      </c>
      <c r="E456" s="236" t="s">
        <v>297</v>
      </c>
      <c r="F456" s="236" t="s">
        <v>988</v>
      </c>
      <c r="G456" s="237">
        <v>25.0</v>
      </c>
      <c r="H456" s="237">
        <v>34.0</v>
      </c>
      <c r="I456" s="237">
        <v>-9.0</v>
      </c>
      <c r="J456" s="237">
        <v>25.0</v>
      </c>
      <c r="K456" s="237">
        <v>35.0</v>
      </c>
      <c r="L456" s="237">
        <v>-10.0</v>
      </c>
      <c r="M456" s="237">
        <v>206.0</v>
      </c>
      <c r="N456" s="237">
        <v>206.0</v>
      </c>
    </row>
    <row r="457">
      <c r="A457" s="236" t="s">
        <v>333</v>
      </c>
      <c r="B457" s="237">
        <v>6675.0</v>
      </c>
      <c r="C457" s="236" t="s">
        <v>507</v>
      </c>
      <c r="D457" s="236" t="s">
        <v>512</v>
      </c>
      <c r="E457" s="236" t="s">
        <v>333</v>
      </c>
      <c r="F457" s="236" t="s">
        <v>988</v>
      </c>
      <c r="G457" s="237">
        <v>25.0</v>
      </c>
      <c r="H457" s="237">
        <v>32.0</v>
      </c>
      <c r="I457" s="237">
        <v>-7.0</v>
      </c>
      <c r="J457" s="237">
        <v>25.0</v>
      </c>
      <c r="K457" s="237">
        <v>31.0</v>
      </c>
      <c r="L457" s="237">
        <v>-6.0</v>
      </c>
      <c r="M457" s="237">
        <v>241.0</v>
      </c>
      <c r="N457" s="237">
        <v>241.0</v>
      </c>
    </row>
    <row r="458">
      <c r="A458" s="236" t="s">
        <v>785</v>
      </c>
      <c r="B458" s="237">
        <v>5995.0</v>
      </c>
      <c r="C458" s="236" t="s">
        <v>507</v>
      </c>
      <c r="D458" s="236" t="s">
        <v>507</v>
      </c>
      <c r="E458" s="236" t="s">
        <v>785</v>
      </c>
      <c r="F458" s="236" t="s">
        <v>980</v>
      </c>
      <c r="G458" s="237">
        <v>24.0</v>
      </c>
      <c r="H458" s="237">
        <v>21.0</v>
      </c>
      <c r="I458" s="237">
        <v>3.0</v>
      </c>
      <c r="J458" s="237">
        <v>24.0</v>
      </c>
      <c r="K458" s="237">
        <v>21.0</v>
      </c>
      <c r="L458" s="237">
        <v>3.0</v>
      </c>
      <c r="M458" s="237">
        <v>184.0</v>
      </c>
      <c r="N458" s="237">
        <v>184.0</v>
      </c>
    </row>
    <row r="459">
      <c r="A459" s="236" t="s">
        <v>361</v>
      </c>
      <c r="B459" s="237">
        <v>6226.0</v>
      </c>
      <c r="C459" s="236" t="s">
        <v>507</v>
      </c>
      <c r="D459" s="236" t="s">
        <v>512</v>
      </c>
      <c r="E459" s="236" t="s">
        <v>361</v>
      </c>
      <c r="F459" s="236" t="s">
        <v>1000</v>
      </c>
      <c r="G459" s="237">
        <v>24.0</v>
      </c>
      <c r="H459" s="237">
        <v>21.0</v>
      </c>
      <c r="I459" s="237">
        <v>3.0</v>
      </c>
      <c r="J459" s="237">
        <v>24.0</v>
      </c>
      <c r="K459" s="237">
        <v>21.0</v>
      </c>
      <c r="L459" s="237">
        <v>3.0</v>
      </c>
      <c r="M459" s="237">
        <v>192.0</v>
      </c>
      <c r="N459" s="237">
        <v>189.0</v>
      </c>
    </row>
    <row r="460">
      <c r="A460" s="236" t="s">
        <v>695</v>
      </c>
      <c r="B460" s="237">
        <v>6646.0</v>
      </c>
      <c r="C460" s="236" t="s">
        <v>507</v>
      </c>
      <c r="D460" s="236" t="s">
        <v>507</v>
      </c>
      <c r="E460" s="236" t="s">
        <v>695</v>
      </c>
      <c r="F460" s="236" t="s">
        <v>972</v>
      </c>
      <c r="G460" s="237">
        <v>24.0</v>
      </c>
      <c r="H460" s="237">
        <v>14.0</v>
      </c>
      <c r="I460" s="237">
        <v>10.0</v>
      </c>
      <c r="J460" s="237">
        <v>24.0</v>
      </c>
      <c r="K460" s="237">
        <v>15.0</v>
      </c>
      <c r="L460" s="237">
        <v>9.0</v>
      </c>
      <c r="M460" s="237">
        <v>62.0</v>
      </c>
      <c r="N460" s="237">
        <v>62.0</v>
      </c>
    </row>
    <row r="461">
      <c r="A461" s="236" t="s">
        <v>777</v>
      </c>
      <c r="B461" s="237">
        <v>5672.0</v>
      </c>
      <c r="C461" s="236" t="s">
        <v>507</v>
      </c>
      <c r="D461" s="236" t="s">
        <v>512</v>
      </c>
      <c r="E461" s="236" t="s">
        <v>777</v>
      </c>
      <c r="F461" s="236" t="s">
        <v>1000</v>
      </c>
      <c r="G461" s="237">
        <v>24.0</v>
      </c>
      <c r="H461" s="237">
        <v>15.0</v>
      </c>
      <c r="I461" s="237">
        <v>9.0</v>
      </c>
      <c r="J461" s="237">
        <v>24.0</v>
      </c>
      <c r="K461" s="237">
        <v>14.0</v>
      </c>
      <c r="L461" s="237">
        <v>10.0</v>
      </c>
      <c r="M461" s="237">
        <v>107.0</v>
      </c>
      <c r="N461" s="237">
        <v>104.0</v>
      </c>
    </row>
    <row r="462">
      <c r="A462" s="236" t="s">
        <v>835</v>
      </c>
      <c r="B462" s="237">
        <v>4463.0</v>
      </c>
      <c r="C462" s="236" t="s">
        <v>507</v>
      </c>
      <c r="D462" s="236" t="s">
        <v>507</v>
      </c>
      <c r="E462" s="236" t="s">
        <v>835</v>
      </c>
      <c r="F462" s="236" t="s">
        <v>1222</v>
      </c>
      <c r="G462" s="237">
        <v>23.0</v>
      </c>
      <c r="H462" s="237">
        <v>3.0</v>
      </c>
      <c r="I462" s="237">
        <v>20.0</v>
      </c>
      <c r="J462" s="237">
        <v>23.0</v>
      </c>
      <c r="K462" s="237">
        <v>3.0</v>
      </c>
      <c r="L462" s="237">
        <v>20.0</v>
      </c>
      <c r="M462" s="237">
        <v>120.0</v>
      </c>
      <c r="N462" s="237">
        <v>120.0</v>
      </c>
    </row>
    <row r="463">
      <c r="A463" s="236" t="s">
        <v>453</v>
      </c>
      <c r="B463" s="237">
        <v>6434.0</v>
      </c>
      <c r="C463" s="236" t="s">
        <v>507</v>
      </c>
      <c r="D463" s="236" t="s">
        <v>507</v>
      </c>
      <c r="E463" s="236" t="s">
        <v>453</v>
      </c>
      <c r="F463" s="236" t="s">
        <v>976</v>
      </c>
      <c r="G463" s="237">
        <v>23.0</v>
      </c>
      <c r="H463" s="237">
        <v>15.0</v>
      </c>
      <c r="I463" s="237">
        <v>8.0</v>
      </c>
      <c r="J463" s="237">
        <v>23.0</v>
      </c>
      <c r="K463" s="237">
        <v>16.0</v>
      </c>
      <c r="L463" s="237">
        <v>7.0</v>
      </c>
      <c r="M463" s="237">
        <v>85.0</v>
      </c>
      <c r="N463" s="237">
        <v>85.0</v>
      </c>
    </row>
    <row r="464">
      <c r="A464" s="236" t="s">
        <v>306</v>
      </c>
      <c r="B464" s="237">
        <v>4510.0</v>
      </c>
      <c r="C464" s="236" t="s">
        <v>507</v>
      </c>
      <c r="D464" s="236" t="s">
        <v>507</v>
      </c>
      <c r="E464" s="236" t="s">
        <v>306</v>
      </c>
      <c r="F464" s="236" t="s">
        <v>991</v>
      </c>
      <c r="G464" s="237">
        <v>23.0</v>
      </c>
      <c r="H464" s="237">
        <v>25.0</v>
      </c>
      <c r="I464" s="237">
        <v>-2.0</v>
      </c>
      <c r="J464" s="237">
        <v>23.0</v>
      </c>
      <c r="K464" s="237">
        <v>26.0</v>
      </c>
      <c r="L464" s="237">
        <v>-3.0</v>
      </c>
      <c r="M464" s="237">
        <v>180.0</v>
      </c>
      <c r="N464" s="237">
        <v>180.0</v>
      </c>
    </row>
    <row r="465">
      <c r="A465" s="236" t="s">
        <v>291</v>
      </c>
      <c r="B465" s="237">
        <v>6572.0</v>
      </c>
      <c r="C465" s="236" t="s">
        <v>507</v>
      </c>
      <c r="D465" s="236" t="s">
        <v>512</v>
      </c>
      <c r="E465" s="236" t="s">
        <v>291</v>
      </c>
      <c r="F465" s="236" t="s">
        <v>1009</v>
      </c>
      <c r="G465" s="237">
        <v>22.0</v>
      </c>
      <c r="H465" s="237">
        <v>8.0</v>
      </c>
      <c r="I465" s="237">
        <v>14.0</v>
      </c>
      <c r="J465" s="237">
        <v>22.0</v>
      </c>
      <c r="K465" s="237">
        <v>7.0</v>
      </c>
      <c r="L465" s="237">
        <v>15.0</v>
      </c>
      <c r="M465" s="237">
        <v>116.0</v>
      </c>
      <c r="N465" s="237">
        <v>113.0</v>
      </c>
    </row>
    <row r="466">
      <c r="A466" s="236" t="s">
        <v>745</v>
      </c>
      <c r="B466" s="237">
        <v>6409.0</v>
      </c>
      <c r="C466" s="236" t="s">
        <v>507</v>
      </c>
      <c r="D466" s="236" t="s">
        <v>507</v>
      </c>
      <c r="E466" s="236" t="s">
        <v>745</v>
      </c>
      <c r="F466" s="236" t="s">
        <v>1033</v>
      </c>
      <c r="G466" s="237">
        <v>22.0</v>
      </c>
      <c r="H466" s="237">
        <v>11.0</v>
      </c>
      <c r="I466" s="237">
        <v>11.0</v>
      </c>
      <c r="J466" s="237">
        <v>22.0</v>
      </c>
      <c r="K466" s="237">
        <v>11.0</v>
      </c>
      <c r="L466" s="237">
        <v>11.0</v>
      </c>
      <c r="M466" s="237">
        <v>43.0</v>
      </c>
      <c r="N466" s="237">
        <v>43.0</v>
      </c>
    </row>
    <row r="467">
      <c r="A467" s="236" t="s">
        <v>66</v>
      </c>
      <c r="B467" s="237">
        <v>6215.0</v>
      </c>
      <c r="C467" s="236" t="s">
        <v>507</v>
      </c>
      <c r="D467" s="236" t="s">
        <v>512</v>
      </c>
      <c r="E467" s="236" t="s">
        <v>66</v>
      </c>
      <c r="F467" s="236" t="s">
        <v>993</v>
      </c>
      <c r="G467" s="237">
        <v>22.0</v>
      </c>
      <c r="H467" s="237">
        <v>14.0</v>
      </c>
      <c r="I467" s="237">
        <v>8.0</v>
      </c>
      <c r="J467" s="237">
        <v>22.0</v>
      </c>
      <c r="K467" s="237">
        <v>13.0</v>
      </c>
      <c r="L467" s="237">
        <v>9.0</v>
      </c>
      <c r="M467" s="237">
        <v>100.0</v>
      </c>
      <c r="N467" s="237">
        <v>97.0</v>
      </c>
    </row>
    <row r="468">
      <c r="A468" s="236" t="s">
        <v>611</v>
      </c>
      <c r="B468" s="237">
        <v>5800.0</v>
      </c>
      <c r="C468" s="236" t="s">
        <v>507</v>
      </c>
      <c r="D468" s="236" t="s">
        <v>507</v>
      </c>
      <c r="E468" s="236" t="s">
        <v>611</v>
      </c>
      <c r="F468" s="236" t="s">
        <v>1033</v>
      </c>
      <c r="G468" s="237">
        <v>21.0</v>
      </c>
      <c r="H468" s="237">
        <v>27.0</v>
      </c>
      <c r="I468" s="237">
        <v>-6.0</v>
      </c>
      <c r="J468" s="237">
        <v>20.0</v>
      </c>
      <c r="K468" s="237">
        <v>28.0</v>
      </c>
      <c r="L468" s="237">
        <v>-8.0</v>
      </c>
      <c r="M468" s="237">
        <v>53.0</v>
      </c>
      <c r="N468" s="237">
        <v>53.0</v>
      </c>
    </row>
    <row r="469">
      <c r="A469" s="236" t="s">
        <v>646</v>
      </c>
      <c r="B469" s="237">
        <v>6801.0</v>
      </c>
      <c r="C469" s="236" t="s">
        <v>507</v>
      </c>
      <c r="D469" s="236" t="s">
        <v>512</v>
      </c>
      <c r="E469" s="236" t="s">
        <v>646</v>
      </c>
      <c r="F469" s="236" t="s">
        <v>983</v>
      </c>
      <c r="G469" s="237">
        <v>21.0</v>
      </c>
      <c r="H469" s="237">
        <v>12.0</v>
      </c>
      <c r="I469" s="237">
        <v>9.0</v>
      </c>
      <c r="J469" s="237">
        <v>20.0</v>
      </c>
      <c r="K469" s="237">
        <v>11.0</v>
      </c>
      <c r="L469" s="237">
        <v>9.0</v>
      </c>
      <c r="M469" s="237">
        <v>47.0</v>
      </c>
      <c r="N469" s="237">
        <v>44.0</v>
      </c>
    </row>
    <row r="470">
      <c r="A470" s="236" t="s">
        <v>704</v>
      </c>
      <c r="B470" s="237">
        <v>313.0</v>
      </c>
      <c r="C470" s="236" t="s">
        <v>507</v>
      </c>
      <c r="D470" s="236" t="s">
        <v>512</v>
      </c>
      <c r="E470" s="236" t="s">
        <v>704</v>
      </c>
      <c r="F470" s="236" t="s">
        <v>991</v>
      </c>
      <c r="G470" s="237">
        <v>20.0</v>
      </c>
      <c r="H470" s="237">
        <v>26.0</v>
      </c>
      <c r="I470" s="237">
        <v>-6.0</v>
      </c>
      <c r="J470" s="237">
        <v>20.0</v>
      </c>
      <c r="K470" s="237">
        <v>26.0</v>
      </c>
      <c r="L470" s="237">
        <v>-6.0</v>
      </c>
      <c r="M470" s="237">
        <v>118.0</v>
      </c>
      <c r="N470" s="237">
        <v>118.0</v>
      </c>
    </row>
    <row r="471">
      <c r="A471" s="236" t="s">
        <v>857</v>
      </c>
      <c r="B471" s="237">
        <v>2369.0</v>
      </c>
      <c r="C471" s="236" t="s">
        <v>507</v>
      </c>
      <c r="D471" s="236" t="s">
        <v>507</v>
      </c>
      <c r="E471" s="236" t="s">
        <v>857</v>
      </c>
      <c r="F471" s="236" t="s">
        <v>993</v>
      </c>
      <c r="G471" s="237">
        <v>20.0</v>
      </c>
      <c r="H471" s="237">
        <v>10.0</v>
      </c>
      <c r="I471" s="237">
        <v>10.0</v>
      </c>
      <c r="J471" s="237">
        <v>20.0</v>
      </c>
      <c r="K471" s="237">
        <v>10.0</v>
      </c>
      <c r="L471" s="237">
        <v>10.0</v>
      </c>
      <c r="M471" s="237">
        <v>51.0</v>
      </c>
      <c r="N471" s="237">
        <v>51.0</v>
      </c>
    </row>
    <row r="472">
      <c r="A472" s="236" t="s">
        <v>73</v>
      </c>
      <c r="B472" s="237">
        <v>2765.0</v>
      </c>
      <c r="C472" s="236" t="s">
        <v>507</v>
      </c>
      <c r="D472" s="236" t="s">
        <v>507</v>
      </c>
      <c r="E472" s="236" t="s">
        <v>73</v>
      </c>
      <c r="F472" s="236" t="s">
        <v>1009</v>
      </c>
      <c r="G472" s="237">
        <v>19.0</v>
      </c>
      <c r="H472" s="237">
        <v>10.0</v>
      </c>
      <c r="I472" s="237">
        <v>9.0</v>
      </c>
      <c r="J472" s="237">
        <v>19.0</v>
      </c>
      <c r="K472" s="237">
        <v>11.0</v>
      </c>
      <c r="L472" s="237">
        <v>8.0</v>
      </c>
      <c r="M472" s="237">
        <v>55.0</v>
      </c>
      <c r="N472" s="237">
        <v>55.0</v>
      </c>
    </row>
    <row r="473">
      <c r="A473" s="236" t="s">
        <v>716</v>
      </c>
      <c r="B473" s="237">
        <v>2155.0</v>
      </c>
      <c r="C473" s="236" t="s">
        <v>507</v>
      </c>
      <c r="D473" s="236" t="s">
        <v>512</v>
      </c>
      <c r="E473" s="236" t="s">
        <v>716</v>
      </c>
      <c r="F473" s="236" t="s">
        <v>974</v>
      </c>
      <c r="G473" s="237">
        <v>19.0</v>
      </c>
      <c r="H473" s="237">
        <v>9.0</v>
      </c>
      <c r="I473" s="237">
        <v>10.0</v>
      </c>
      <c r="J473" s="237">
        <v>19.0</v>
      </c>
      <c r="K473" s="237">
        <v>8.0</v>
      </c>
      <c r="L473" s="237">
        <v>11.0</v>
      </c>
      <c r="M473" s="237">
        <v>50.0</v>
      </c>
      <c r="N473" s="237">
        <v>47.0</v>
      </c>
    </row>
    <row r="474">
      <c r="A474" s="236" t="s">
        <v>743</v>
      </c>
      <c r="B474" s="237">
        <v>608.0</v>
      </c>
      <c r="C474" s="236" t="s">
        <v>507</v>
      </c>
      <c r="D474" s="236" t="s">
        <v>512</v>
      </c>
      <c r="E474" s="236" t="s">
        <v>743</v>
      </c>
      <c r="F474" s="236" t="s">
        <v>972</v>
      </c>
      <c r="G474" s="237">
        <v>19.0</v>
      </c>
      <c r="H474" s="237">
        <v>25.0</v>
      </c>
      <c r="I474" s="237">
        <v>-6.0</v>
      </c>
      <c r="J474" s="237">
        <v>19.0</v>
      </c>
      <c r="K474" s="237">
        <v>25.0</v>
      </c>
      <c r="L474" s="237">
        <v>-6.0</v>
      </c>
      <c r="M474" s="237">
        <v>90.0</v>
      </c>
      <c r="N474" s="237">
        <v>90.0</v>
      </c>
    </row>
    <row r="475">
      <c r="A475" s="236" t="s">
        <v>627</v>
      </c>
      <c r="B475" s="237">
        <v>5079.0</v>
      </c>
      <c r="C475" s="236" t="s">
        <v>507</v>
      </c>
      <c r="D475" s="236" t="s">
        <v>512</v>
      </c>
      <c r="E475" s="236" t="s">
        <v>627</v>
      </c>
      <c r="F475" s="236" t="s">
        <v>1233</v>
      </c>
      <c r="G475" s="237">
        <v>19.0</v>
      </c>
      <c r="H475" s="237">
        <v>16.0</v>
      </c>
      <c r="I475" s="237">
        <v>3.0</v>
      </c>
      <c r="J475" s="237">
        <v>18.0</v>
      </c>
      <c r="K475" s="237">
        <v>15.0</v>
      </c>
      <c r="L475" s="237">
        <v>3.0</v>
      </c>
      <c r="M475" s="237">
        <v>55.0</v>
      </c>
      <c r="N475" s="237">
        <v>52.0</v>
      </c>
    </row>
    <row r="476">
      <c r="A476" s="236" t="s">
        <v>740</v>
      </c>
      <c r="B476" s="237">
        <v>2038.0</v>
      </c>
      <c r="C476" s="236" t="s">
        <v>507</v>
      </c>
      <c r="D476" s="236" t="s">
        <v>512</v>
      </c>
      <c r="E476" s="236" t="s">
        <v>740</v>
      </c>
      <c r="F476" s="236" t="s">
        <v>1026</v>
      </c>
      <c r="G476" s="237">
        <v>19.0</v>
      </c>
      <c r="H476" s="237">
        <v>18.0</v>
      </c>
      <c r="I476" s="237">
        <v>1.0</v>
      </c>
      <c r="J476" s="237">
        <v>19.0</v>
      </c>
      <c r="K476" s="237">
        <v>17.0</v>
      </c>
      <c r="L476" s="237">
        <v>2.0</v>
      </c>
      <c r="M476" s="237">
        <v>89.0</v>
      </c>
      <c r="N476" s="237">
        <v>86.0</v>
      </c>
    </row>
    <row r="477">
      <c r="A477" s="236" t="s">
        <v>767</v>
      </c>
      <c r="B477" s="237">
        <v>4359.0</v>
      </c>
      <c r="C477" s="236" t="s">
        <v>507</v>
      </c>
      <c r="D477" s="236" t="s">
        <v>512</v>
      </c>
      <c r="E477" s="236" t="s">
        <v>767</v>
      </c>
      <c r="F477" s="236" t="s">
        <v>975</v>
      </c>
      <c r="G477" s="237">
        <v>18.0</v>
      </c>
      <c r="H477" s="237">
        <v>13.0</v>
      </c>
      <c r="I477" s="237">
        <v>5.0</v>
      </c>
      <c r="J477" s="237">
        <v>18.0</v>
      </c>
      <c r="K477" s="237">
        <v>12.0</v>
      </c>
      <c r="L477" s="237">
        <v>6.0</v>
      </c>
      <c r="M477" s="237">
        <v>48.0</v>
      </c>
      <c r="N477" s="237">
        <v>45.0</v>
      </c>
    </row>
    <row r="478">
      <c r="A478" s="236" t="s">
        <v>758</v>
      </c>
      <c r="B478" s="237">
        <v>4923.0</v>
      </c>
      <c r="C478" s="236" t="s">
        <v>507</v>
      </c>
      <c r="D478" s="236" t="s">
        <v>512</v>
      </c>
      <c r="E478" s="236" t="s">
        <v>758</v>
      </c>
      <c r="F478" s="236" t="s">
        <v>1222</v>
      </c>
      <c r="G478" s="237">
        <v>18.0</v>
      </c>
      <c r="H478" s="237">
        <v>12.0</v>
      </c>
      <c r="I478" s="237">
        <v>6.0</v>
      </c>
      <c r="J478" s="237">
        <v>18.0</v>
      </c>
      <c r="K478" s="237">
        <v>11.0</v>
      </c>
      <c r="L478" s="237">
        <v>7.0</v>
      </c>
      <c r="M478" s="237">
        <v>53.0</v>
      </c>
      <c r="N478" s="237">
        <v>50.0</v>
      </c>
    </row>
    <row r="479">
      <c r="A479" s="236" t="s">
        <v>619</v>
      </c>
      <c r="B479" s="237">
        <v>5471.0</v>
      </c>
      <c r="C479" s="236" t="s">
        <v>507</v>
      </c>
      <c r="D479" s="236" t="s">
        <v>512</v>
      </c>
      <c r="E479" s="236" t="s">
        <v>619</v>
      </c>
      <c r="F479" s="236" t="s">
        <v>985</v>
      </c>
      <c r="G479" s="237">
        <v>18.0</v>
      </c>
      <c r="H479" s="237">
        <v>12.0</v>
      </c>
      <c r="I479" s="237">
        <v>6.0</v>
      </c>
      <c r="J479" s="237">
        <v>18.0</v>
      </c>
      <c r="K479" s="237">
        <v>12.0</v>
      </c>
      <c r="L479" s="237">
        <v>6.0</v>
      </c>
      <c r="M479" s="237">
        <v>40.0</v>
      </c>
      <c r="N479" s="237">
        <v>37.0</v>
      </c>
    </row>
    <row r="480">
      <c r="A480" s="236" t="s">
        <v>625</v>
      </c>
      <c r="B480" s="237">
        <v>5882.0</v>
      </c>
      <c r="C480" s="236" t="s">
        <v>507</v>
      </c>
      <c r="D480" s="236" t="s">
        <v>507</v>
      </c>
      <c r="E480" s="236" t="s">
        <v>625</v>
      </c>
      <c r="F480" s="236" t="s">
        <v>1225</v>
      </c>
      <c r="G480" s="237">
        <v>17.0</v>
      </c>
      <c r="H480" s="237">
        <v>10.0</v>
      </c>
      <c r="I480" s="237">
        <v>7.0</v>
      </c>
      <c r="J480" s="237">
        <v>17.0</v>
      </c>
      <c r="K480" s="237">
        <v>10.0</v>
      </c>
      <c r="L480" s="237">
        <v>7.0</v>
      </c>
      <c r="M480" s="237">
        <v>21.0</v>
      </c>
      <c r="N480" s="237">
        <v>21.0</v>
      </c>
    </row>
    <row r="481">
      <c r="A481" s="236" t="s">
        <v>669</v>
      </c>
      <c r="B481" s="237">
        <v>6630.0</v>
      </c>
      <c r="C481" s="236" t="s">
        <v>507</v>
      </c>
      <c r="D481" s="236" t="s">
        <v>512</v>
      </c>
      <c r="E481" s="236" t="s">
        <v>669</v>
      </c>
      <c r="F481" s="236" t="s">
        <v>983</v>
      </c>
      <c r="G481" s="237">
        <v>17.0</v>
      </c>
      <c r="H481" s="237">
        <v>8.0</v>
      </c>
      <c r="I481" s="237">
        <v>9.0</v>
      </c>
      <c r="J481" s="237">
        <v>17.0</v>
      </c>
      <c r="K481" s="237">
        <v>7.0</v>
      </c>
      <c r="L481" s="237">
        <v>10.0</v>
      </c>
      <c r="M481" s="237">
        <v>10.0</v>
      </c>
      <c r="N481" s="237">
        <v>10.0</v>
      </c>
    </row>
    <row r="482">
      <c r="A482" s="236" t="s">
        <v>906</v>
      </c>
      <c r="B482" s="237">
        <v>5951.0</v>
      </c>
      <c r="C482" s="236" t="s">
        <v>507</v>
      </c>
      <c r="D482" s="236" t="s">
        <v>512</v>
      </c>
      <c r="E482" s="236" t="s">
        <v>906</v>
      </c>
      <c r="F482" s="236" t="s">
        <v>976</v>
      </c>
      <c r="G482" s="237">
        <v>17.0</v>
      </c>
      <c r="H482" s="237">
        <v>16.0</v>
      </c>
      <c r="I482" s="237">
        <v>1.0</v>
      </c>
      <c r="J482" s="237">
        <v>17.0</v>
      </c>
      <c r="K482" s="237">
        <v>16.0</v>
      </c>
      <c r="L482" s="237">
        <v>1.0</v>
      </c>
      <c r="M482" s="237">
        <v>60.0</v>
      </c>
      <c r="N482" s="237">
        <v>57.0</v>
      </c>
    </row>
    <row r="483">
      <c r="A483" s="236" t="s">
        <v>341</v>
      </c>
      <c r="B483" s="237">
        <v>6435.0</v>
      </c>
      <c r="C483" s="236" t="s">
        <v>507</v>
      </c>
      <c r="D483" s="236" t="s">
        <v>512</v>
      </c>
      <c r="E483" s="236" t="s">
        <v>341</v>
      </c>
      <c r="F483" s="236" t="s">
        <v>998</v>
      </c>
      <c r="G483" s="237">
        <v>16.0</v>
      </c>
      <c r="H483" s="237">
        <v>17.0</v>
      </c>
      <c r="I483" s="237">
        <v>-1.0</v>
      </c>
      <c r="J483" s="237">
        <v>15.0</v>
      </c>
      <c r="K483" s="237">
        <v>16.0</v>
      </c>
      <c r="L483" s="237">
        <v>-1.0</v>
      </c>
      <c r="M483" s="237">
        <v>70.0</v>
      </c>
      <c r="N483" s="237">
        <v>67.0</v>
      </c>
    </row>
    <row r="484">
      <c r="A484" s="236" t="s">
        <v>879</v>
      </c>
      <c r="B484" s="237">
        <v>6669.0</v>
      </c>
      <c r="C484" s="236" t="s">
        <v>507</v>
      </c>
      <c r="D484" s="236" t="s">
        <v>512</v>
      </c>
      <c r="E484" s="236" t="s">
        <v>879</v>
      </c>
      <c r="F484" s="236" t="s">
        <v>985</v>
      </c>
      <c r="G484" s="237">
        <v>16.0</v>
      </c>
      <c r="H484" s="237">
        <v>8.0</v>
      </c>
      <c r="I484" s="237">
        <v>8.0</v>
      </c>
      <c r="J484" s="237">
        <v>15.0</v>
      </c>
      <c r="K484" s="237">
        <v>7.0</v>
      </c>
      <c r="L484" s="237">
        <v>8.0</v>
      </c>
      <c r="M484" s="237">
        <v>40.0</v>
      </c>
      <c r="N484" s="237">
        <v>37.0</v>
      </c>
    </row>
    <row r="485">
      <c r="A485" s="236" t="s">
        <v>657</v>
      </c>
      <c r="B485" s="237">
        <v>6159.0</v>
      </c>
      <c r="C485" s="236" t="s">
        <v>507</v>
      </c>
      <c r="D485" s="236" t="s">
        <v>507</v>
      </c>
      <c r="E485" s="236" t="s">
        <v>657</v>
      </c>
      <c r="F485" s="236" t="s">
        <v>983</v>
      </c>
      <c r="G485" s="237">
        <v>15.0</v>
      </c>
      <c r="H485" s="237">
        <v>4.0</v>
      </c>
      <c r="I485" s="237">
        <v>11.0</v>
      </c>
      <c r="J485" s="237">
        <v>15.0</v>
      </c>
      <c r="K485" s="237">
        <v>4.0</v>
      </c>
      <c r="L485" s="237">
        <v>11.0</v>
      </c>
      <c r="M485" s="237">
        <v>25.0</v>
      </c>
      <c r="N485" s="237">
        <v>25.0</v>
      </c>
    </row>
    <row r="486">
      <c r="A486" s="236" t="s">
        <v>694</v>
      </c>
      <c r="B486" s="237">
        <v>6895.0</v>
      </c>
      <c r="C486" s="236" t="s">
        <v>507</v>
      </c>
      <c r="D486" s="236" t="s">
        <v>507</v>
      </c>
      <c r="E486" s="236" t="s">
        <v>694</v>
      </c>
      <c r="F486" s="236" t="s">
        <v>1009</v>
      </c>
      <c r="G486" s="237">
        <v>15.0</v>
      </c>
      <c r="H486" s="237">
        <v>5.0</v>
      </c>
      <c r="I486" s="237">
        <v>10.0</v>
      </c>
      <c r="J486" s="237">
        <v>15.0</v>
      </c>
      <c r="K486" s="237">
        <v>5.0</v>
      </c>
      <c r="L486" s="237">
        <v>10.0</v>
      </c>
      <c r="M486" s="237">
        <v>41.0</v>
      </c>
      <c r="N486" s="237">
        <v>41.0</v>
      </c>
    </row>
    <row r="487">
      <c r="A487" s="236" t="s">
        <v>452</v>
      </c>
      <c r="B487" s="237">
        <v>2137.0</v>
      </c>
      <c r="C487" s="236" t="s">
        <v>507</v>
      </c>
      <c r="D487" s="236" t="s">
        <v>512</v>
      </c>
      <c r="E487" s="236" t="s">
        <v>452</v>
      </c>
      <c r="F487" s="236" t="s">
        <v>980</v>
      </c>
      <c r="G487" s="237">
        <v>14.0</v>
      </c>
      <c r="H487" s="237">
        <v>28.0</v>
      </c>
      <c r="I487" s="237">
        <v>-14.0</v>
      </c>
      <c r="J487" s="237">
        <v>13.0</v>
      </c>
      <c r="K487" s="237">
        <v>27.0</v>
      </c>
      <c r="L487" s="237">
        <v>-14.0</v>
      </c>
      <c r="M487" s="237">
        <v>120.0</v>
      </c>
      <c r="N487" s="237">
        <v>117.0</v>
      </c>
    </row>
    <row r="488">
      <c r="A488" s="236" t="s">
        <v>233</v>
      </c>
      <c r="B488" s="237">
        <v>2489.0</v>
      </c>
      <c r="C488" s="236" t="s">
        <v>507</v>
      </c>
      <c r="D488" s="236" t="s">
        <v>507</v>
      </c>
      <c r="E488" s="236" t="s">
        <v>233</v>
      </c>
      <c r="F488" s="236" t="s">
        <v>1000</v>
      </c>
      <c r="G488" s="237">
        <v>14.0</v>
      </c>
      <c r="H488" s="237">
        <v>3.0</v>
      </c>
      <c r="I488" s="237">
        <v>11.0</v>
      </c>
      <c r="J488" s="237">
        <v>14.0</v>
      </c>
      <c r="K488" s="237">
        <v>3.0</v>
      </c>
      <c r="L488" s="237">
        <v>11.0</v>
      </c>
      <c r="M488" s="237">
        <v>15.0</v>
      </c>
      <c r="N488" s="237">
        <v>15.0</v>
      </c>
    </row>
    <row r="489">
      <c r="A489" s="236" t="s">
        <v>624</v>
      </c>
      <c r="B489" s="237">
        <v>6833.0</v>
      </c>
      <c r="C489" s="236" t="s">
        <v>507</v>
      </c>
      <c r="D489" s="236" t="s">
        <v>507</v>
      </c>
      <c r="E489" s="236" t="s">
        <v>624</v>
      </c>
      <c r="F489" s="236" t="s">
        <v>976</v>
      </c>
      <c r="G489" s="237">
        <v>14.0</v>
      </c>
      <c r="H489" s="237">
        <v>1.0</v>
      </c>
      <c r="I489" s="237">
        <v>13.0</v>
      </c>
      <c r="J489" s="237">
        <v>14.0</v>
      </c>
      <c r="K489" s="237">
        <v>1.0</v>
      </c>
      <c r="L489" s="237">
        <v>13.0</v>
      </c>
      <c r="M489" s="237">
        <v>28.0</v>
      </c>
      <c r="N489" s="237">
        <v>28.0</v>
      </c>
    </row>
    <row r="490">
      <c r="A490" s="236" t="s">
        <v>626</v>
      </c>
      <c r="B490" s="237">
        <v>6556.0</v>
      </c>
      <c r="C490" s="236" t="s">
        <v>507</v>
      </c>
      <c r="D490" s="236" t="s">
        <v>507</v>
      </c>
      <c r="E490" s="236" t="s">
        <v>626</v>
      </c>
      <c r="F490" s="236" t="s">
        <v>1000</v>
      </c>
      <c r="G490" s="237">
        <v>13.0</v>
      </c>
      <c r="H490" s="237">
        <v>16.0</v>
      </c>
      <c r="I490" s="237">
        <v>-3.0</v>
      </c>
      <c r="J490" s="237">
        <v>13.0</v>
      </c>
      <c r="K490" s="237">
        <v>16.0</v>
      </c>
      <c r="L490" s="237">
        <v>-3.0</v>
      </c>
      <c r="M490" s="237">
        <v>15.0</v>
      </c>
      <c r="N490" s="237">
        <v>15.0</v>
      </c>
    </row>
    <row r="491">
      <c r="A491" s="236" t="s">
        <v>810</v>
      </c>
      <c r="B491" s="237">
        <v>6643.0</v>
      </c>
      <c r="C491" s="236" t="s">
        <v>507</v>
      </c>
      <c r="D491" s="236" t="s">
        <v>512</v>
      </c>
      <c r="E491" s="236" t="s">
        <v>810</v>
      </c>
      <c r="F491" s="236" t="s">
        <v>1009</v>
      </c>
      <c r="G491" s="237">
        <v>12.0</v>
      </c>
      <c r="H491" s="237">
        <v>22.0</v>
      </c>
      <c r="I491" s="237">
        <v>-10.0</v>
      </c>
      <c r="J491" s="237">
        <v>11.0</v>
      </c>
      <c r="K491" s="237">
        <v>21.0</v>
      </c>
      <c r="L491" s="237">
        <v>-10.0</v>
      </c>
      <c r="M491" s="237">
        <v>25.0</v>
      </c>
      <c r="N491" s="237">
        <v>22.0</v>
      </c>
    </row>
    <row r="492">
      <c r="A492" s="236" t="s">
        <v>720</v>
      </c>
      <c r="B492" s="237">
        <v>4179.0</v>
      </c>
      <c r="C492" s="236" t="s">
        <v>507</v>
      </c>
      <c r="D492" s="236" t="s">
        <v>507</v>
      </c>
      <c r="E492" s="236" t="s">
        <v>720</v>
      </c>
      <c r="F492" s="236" t="s">
        <v>976</v>
      </c>
      <c r="G492" s="237">
        <v>12.0</v>
      </c>
      <c r="H492" s="237">
        <v>25.0</v>
      </c>
      <c r="I492" s="237">
        <v>-13.0</v>
      </c>
      <c r="J492" s="237">
        <v>13.0</v>
      </c>
      <c r="K492" s="237">
        <v>26.0</v>
      </c>
      <c r="L492" s="237">
        <v>-13.0</v>
      </c>
      <c r="M492" s="237">
        <v>41.0</v>
      </c>
      <c r="N492" s="237">
        <v>41.0</v>
      </c>
    </row>
    <row r="493">
      <c r="A493" s="236" t="s">
        <v>663</v>
      </c>
      <c r="B493" s="237">
        <v>6398.0</v>
      </c>
      <c r="C493" s="236" t="s">
        <v>507</v>
      </c>
      <c r="D493" s="236" t="s">
        <v>935</v>
      </c>
      <c r="E493" s="236" t="s">
        <v>663</v>
      </c>
      <c r="F493" s="236" t="s">
        <v>1000</v>
      </c>
      <c r="G493" s="237">
        <v>12.0</v>
      </c>
      <c r="H493" s="237">
        <v>11.0</v>
      </c>
      <c r="I493" s="237">
        <v>1.0</v>
      </c>
      <c r="J493" s="237">
        <v>12.0</v>
      </c>
      <c r="K493" s="237">
        <v>12.0</v>
      </c>
      <c r="L493" s="237">
        <v>0.0</v>
      </c>
      <c r="M493" s="237">
        <v>24.0</v>
      </c>
      <c r="N493" s="237">
        <v>27.0</v>
      </c>
    </row>
    <row r="494">
      <c r="A494" s="236" t="s">
        <v>1239</v>
      </c>
      <c r="B494" s="237">
        <v>1958.0</v>
      </c>
      <c r="C494" s="236" t="s">
        <v>507</v>
      </c>
      <c r="D494" s="236" t="s">
        <v>507</v>
      </c>
      <c r="E494" s="236" t="s">
        <v>1239</v>
      </c>
      <c r="F494" s="236" t="s">
        <v>1225</v>
      </c>
      <c r="G494" s="237">
        <v>11.0</v>
      </c>
      <c r="H494" s="237">
        <v>9.0</v>
      </c>
      <c r="I494" s="237">
        <v>2.0</v>
      </c>
      <c r="J494" s="237">
        <v>11.0</v>
      </c>
      <c r="K494" s="237">
        <v>9.0</v>
      </c>
      <c r="L494" s="237">
        <v>2.0</v>
      </c>
      <c r="M494" s="237">
        <v>26.0</v>
      </c>
      <c r="N494" s="237">
        <v>26.0</v>
      </c>
    </row>
    <row r="495">
      <c r="A495" s="236" t="s">
        <v>1040</v>
      </c>
      <c r="B495" s="237">
        <v>5637.0</v>
      </c>
      <c r="C495" s="236" t="s">
        <v>507</v>
      </c>
      <c r="D495" s="236" t="s">
        <v>512</v>
      </c>
      <c r="E495" s="236" t="s">
        <v>1040</v>
      </c>
      <c r="F495" s="236" t="s">
        <v>993</v>
      </c>
      <c r="G495" s="237">
        <v>11.0</v>
      </c>
      <c r="H495" s="237">
        <v>6.0</v>
      </c>
      <c r="I495" s="237">
        <v>5.0</v>
      </c>
      <c r="J495" s="237">
        <v>11.0</v>
      </c>
      <c r="K495" s="237">
        <v>5.0</v>
      </c>
      <c r="L495" s="237">
        <v>6.0</v>
      </c>
      <c r="M495" s="237">
        <v>10.0</v>
      </c>
      <c r="N495" s="237">
        <v>10.0</v>
      </c>
    </row>
    <row r="496">
      <c r="A496" s="236" t="s">
        <v>936</v>
      </c>
      <c r="B496" s="237">
        <v>6207.0</v>
      </c>
      <c r="C496" s="236" t="s">
        <v>507</v>
      </c>
      <c r="D496" s="236" t="s">
        <v>935</v>
      </c>
      <c r="E496" s="236" t="s">
        <v>936</v>
      </c>
      <c r="F496" s="236" t="s">
        <v>985</v>
      </c>
      <c r="G496" s="237">
        <v>11.0</v>
      </c>
      <c r="H496" s="237">
        <v>9.0</v>
      </c>
      <c r="I496" s="237">
        <v>2.0</v>
      </c>
      <c r="J496" s="237">
        <v>11.0</v>
      </c>
      <c r="K496" s="237">
        <v>10.0</v>
      </c>
      <c r="L496" s="237">
        <v>1.0</v>
      </c>
      <c r="M496" s="237">
        <v>12.0</v>
      </c>
      <c r="N496" s="237">
        <v>14.0</v>
      </c>
    </row>
    <row r="497">
      <c r="A497" s="236" t="s">
        <v>680</v>
      </c>
      <c r="B497" s="237">
        <v>441.0</v>
      </c>
      <c r="C497" s="236" t="s">
        <v>507</v>
      </c>
      <c r="D497" s="236" t="s">
        <v>512</v>
      </c>
      <c r="E497" s="236" t="s">
        <v>680</v>
      </c>
      <c r="F497" s="236" t="s">
        <v>974</v>
      </c>
      <c r="G497" s="237">
        <v>10.0</v>
      </c>
      <c r="H497" s="237">
        <v>17.0</v>
      </c>
      <c r="I497" s="237">
        <v>-7.0</v>
      </c>
      <c r="J497" s="237">
        <v>11.0</v>
      </c>
      <c r="K497" s="237">
        <v>16.0</v>
      </c>
      <c r="L497" s="237">
        <v>-5.0</v>
      </c>
      <c r="M497" s="237">
        <v>10.0</v>
      </c>
      <c r="N497" s="237">
        <v>10.0</v>
      </c>
    </row>
    <row r="498">
      <c r="A498" s="236" t="s">
        <v>903</v>
      </c>
      <c r="B498" s="237">
        <v>5500.0</v>
      </c>
      <c r="C498" s="236" t="s">
        <v>507</v>
      </c>
      <c r="D498" s="236" t="s">
        <v>935</v>
      </c>
      <c r="E498" s="236" t="s">
        <v>903</v>
      </c>
      <c r="F498" s="236" t="s">
        <v>985</v>
      </c>
      <c r="G498" s="237">
        <v>10.0</v>
      </c>
      <c r="H498" s="237">
        <v>4.0</v>
      </c>
      <c r="I498" s="237">
        <v>6.0</v>
      </c>
      <c r="J498" s="237">
        <v>10.0</v>
      </c>
      <c r="K498" s="237">
        <v>4.0</v>
      </c>
      <c r="L498" s="237">
        <v>6.0</v>
      </c>
      <c r="M498" s="237">
        <v>24.0</v>
      </c>
      <c r="N498" s="237">
        <v>27.0</v>
      </c>
    </row>
    <row r="499">
      <c r="A499" s="236" t="s">
        <v>1180</v>
      </c>
      <c r="B499" s="237">
        <v>2061.0</v>
      </c>
      <c r="C499" s="236" t="s">
        <v>507</v>
      </c>
      <c r="D499" s="236" t="s">
        <v>512</v>
      </c>
      <c r="E499" s="236" t="s">
        <v>1180</v>
      </c>
      <c r="F499" s="236" t="s">
        <v>987</v>
      </c>
      <c r="G499" s="237">
        <v>10.0</v>
      </c>
      <c r="H499" s="237">
        <v>11.0</v>
      </c>
      <c r="I499" s="237">
        <v>-1.0</v>
      </c>
      <c r="J499" s="237">
        <v>10.0</v>
      </c>
      <c r="K499" s="237">
        <v>10.0</v>
      </c>
      <c r="L499" s="237">
        <v>0.0</v>
      </c>
      <c r="M499" s="237">
        <v>11.0</v>
      </c>
      <c r="N499" s="237">
        <v>10.0</v>
      </c>
    </row>
    <row r="500">
      <c r="A500" s="236" t="s">
        <v>764</v>
      </c>
      <c r="B500" s="237">
        <v>6549.0</v>
      </c>
      <c r="C500" s="236" t="s">
        <v>507</v>
      </c>
      <c r="D500" s="236" t="s">
        <v>935</v>
      </c>
      <c r="E500" s="236" t="s">
        <v>764</v>
      </c>
      <c r="F500" s="236" t="s">
        <v>998</v>
      </c>
      <c r="G500" s="237">
        <v>9.0</v>
      </c>
      <c r="H500" s="237">
        <v>4.0</v>
      </c>
      <c r="I500" s="237">
        <v>5.0</v>
      </c>
      <c r="J500" s="237">
        <v>9.0</v>
      </c>
      <c r="K500" s="237">
        <v>4.0</v>
      </c>
      <c r="L500" s="237">
        <v>5.0</v>
      </c>
      <c r="M500" s="237">
        <v>24.0</v>
      </c>
      <c r="N500" s="237">
        <v>24.0</v>
      </c>
    </row>
    <row r="501">
      <c r="A501" s="236" t="s">
        <v>1316</v>
      </c>
      <c r="B501" s="237">
        <v>6670.0</v>
      </c>
      <c r="C501" s="236" t="s">
        <v>507</v>
      </c>
      <c r="D501" s="236" t="s">
        <v>512</v>
      </c>
      <c r="E501" s="236" t="s">
        <v>1316</v>
      </c>
      <c r="F501" s="236" t="s">
        <v>985</v>
      </c>
      <c r="G501" s="237">
        <v>9.0</v>
      </c>
      <c r="H501" s="237">
        <v>1.0</v>
      </c>
      <c r="I501" s="237">
        <v>8.0</v>
      </c>
      <c r="J501" s="237">
        <v>9.0</v>
      </c>
      <c r="K501" s="237">
        <v>1.0</v>
      </c>
      <c r="L501" s="237">
        <v>8.0</v>
      </c>
      <c r="M501" s="237">
        <v>12.0</v>
      </c>
      <c r="N501" s="237">
        <v>12.0</v>
      </c>
    </row>
    <row r="502">
      <c r="A502" s="236" t="s">
        <v>877</v>
      </c>
      <c r="B502" s="237">
        <v>2544.0</v>
      </c>
      <c r="C502" s="236" t="s">
        <v>507</v>
      </c>
      <c r="D502" s="236" t="s">
        <v>512</v>
      </c>
      <c r="E502" s="236" t="s">
        <v>877</v>
      </c>
      <c r="F502" s="236" t="s">
        <v>991</v>
      </c>
      <c r="G502" s="237">
        <v>9.0</v>
      </c>
      <c r="H502" s="237">
        <v>13.0</v>
      </c>
      <c r="I502" s="237">
        <v>-4.0</v>
      </c>
      <c r="J502" s="237">
        <v>9.0</v>
      </c>
      <c r="K502" s="237">
        <v>13.0</v>
      </c>
      <c r="L502" s="237">
        <v>-4.0</v>
      </c>
      <c r="M502" s="237">
        <v>23.0</v>
      </c>
      <c r="N502" s="237">
        <v>20.0</v>
      </c>
    </row>
    <row r="503">
      <c r="A503" s="236" t="s">
        <v>1245</v>
      </c>
      <c r="B503" s="237">
        <v>2103.0</v>
      </c>
      <c r="C503" s="236" t="s">
        <v>507</v>
      </c>
      <c r="D503" s="236" t="s">
        <v>512</v>
      </c>
      <c r="E503" s="236" t="s">
        <v>1245</v>
      </c>
      <c r="F503" s="236" t="s">
        <v>1222</v>
      </c>
      <c r="G503" s="237">
        <v>9.0</v>
      </c>
      <c r="H503" s="237">
        <v>3.0</v>
      </c>
      <c r="I503" s="237">
        <v>6.0</v>
      </c>
      <c r="J503" s="237">
        <v>9.0</v>
      </c>
      <c r="K503" s="237">
        <v>3.0</v>
      </c>
      <c r="L503" s="237">
        <v>6.0</v>
      </c>
      <c r="M503" s="237">
        <v>29.0</v>
      </c>
      <c r="N503" s="237">
        <v>29.0</v>
      </c>
    </row>
    <row r="504">
      <c r="A504" s="236" t="s">
        <v>684</v>
      </c>
      <c r="B504" s="237">
        <v>5297.0</v>
      </c>
      <c r="C504" s="236" t="s">
        <v>507</v>
      </c>
      <c r="D504" s="236" t="s">
        <v>507</v>
      </c>
      <c r="E504" s="236" t="s">
        <v>684</v>
      </c>
      <c r="F504" s="236" t="s">
        <v>975</v>
      </c>
      <c r="G504" s="237">
        <v>8.0</v>
      </c>
      <c r="H504" s="237">
        <v>12.0</v>
      </c>
      <c r="I504" s="237">
        <v>-4.0</v>
      </c>
      <c r="J504" s="237">
        <v>8.0</v>
      </c>
      <c r="K504" s="237">
        <v>12.0</v>
      </c>
      <c r="L504" s="237">
        <v>-4.0</v>
      </c>
      <c r="M504" s="237">
        <v>10.0</v>
      </c>
      <c r="N504" s="237">
        <v>10.0</v>
      </c>
    </row>
    <row r="505">
      <c r="A505" s="236" t="s">
        <v>856</v>
      </c>
      <c r="B505" s="237">
        <v>6628.0</v>
      </c>
      <c r="C505" s="236" t="s">
        <v>507</v>
      </c>
      <c r="D505" s="236" t="s">
        <v>512</v>
      </c>
      <c r="E505" s="236" t="s">
        <v>856</v>
      </c>
      <c r="F505" s="236" t="s">
        <v>973</v>
      </c>
      <c r="G505" s="237">
        <v>8.0</v>
      </c>
      <c r="H505" s="237">
        <v>15.0</v>
      </c>
      <c r="I505" s="237">
        <v>-7.0</v>
      </c>
      <c r="J505" s="237">
        <v>8.0</v>
      </c>
      <c r="K505" s="237">
        <v>14.0</v>
      </c>
      <c r="L505" s="237">
        <v>-6.0</v>
      </c>
      <c r="M505" s="237">
        <v>19.0</v>
      </c>
      <c r="N505" s="237">
        <v>16.0</v>
      </c>
    </row>
    <row r="506">
      <c r="A506" s="236" t="s">
        <v>251</v>
      </c>
      <c r="B506" s="237">
        <v>6822.0</v>
      </c>
      <c r="C506" s="236" t="s">
        <v>507</v>
      </c>
      <c r="D506" s="236" t="s">
        <v>512</v>
      </c>
      <c r="E506" s="236" t="s">
        <v>251</v>
      </c>
      <c r="F506" s="236" t="s">
        <v>1026</v>
      </c>
      <c r="G506" s="237">
        <v>8.0</v>
      </c>
      <c r="H506" s="237">
        <v>1.0</v>
      </c>
      <c r="I506" s="237">
        <v>7.0</v>
      </c>
      <c r="J506" s="237">
        <v>8.0</v>
      </c>
      <c r="K506" s="237">
        <v>1.0</v>
      </c>
      <c r="L506" s="237">
        <v>7.0</v>
      </c>
      <c r="M506" s="237">
        <v>8.0</v>
      </c>
      <c r="N506" s="237">
        <v>8.0</v>
      </c>
    </row>
    <row r="507">
      <c r="A507" s="236" t="s">
        <v>1250</v>
      </c>
      <c r="B507" s="237">
        <v>2325.0</v>
      </c>
      <c r="C507" s="236" t="s">
        <v>507</v>
      </c>
      <c r="D507" s="236" t="s">
        <v>507</v>
      </c>
      <c r="E507" s="236" t="s">
        <v>1250</v>
      </c>
      <c r="F507" s="236" t="s">
        <v>972</v>
      </c>
      <c r="G507" s="237">
        <v>8.0</v>
      </c>
      <c r="H507" s="237">
        <v>1.0</v>
      </c>
      <c r="I507" s="237">
        <v>7.0</v>
      </c>
      <c r="J507" s="237">
        <v>8.0</v>
      </c>
      <c r="K507" s="237">
        <v>1.0</v>
      </c>
      <c r="L507" s="237">
        <v>7.0</v>
      </c>
      <c r="M507" s="237">
        <v>20.0</v>
      </c>
      <c r="N507" s="237">
        <v>20.0</v>
      </c>
    </row>
    <row r="508">
      <c r="A508" s="236" t="s">
        <v>1553</v>
      </c>
      <c r="B508" s="237">
        <v>6914.0</v>
      </c>
      <c r="C508" s="236" t="s">
        <v>507</v>
      </c>
      <c r="D508" s="236" t="s">
        <v>507</v>
      </c>
      <c r="E508" s="236" t="s">
        <v>1553</v>
      </c>
      <c r="F508" s="236" t="s">
        <v>985</v>
      </c>
      <c r="G508" s="237">
        <v>8.0</v>
      </c>
      <c r="H508" s="237">
        <v>1.0</v>
      </c>
      <c r="I508" s="237">
        <v>7.0</v>
      </c>
      <c r="J508" s="237">
        <v>8.0</v>
      </c>
      <c r="K508" s="237">
        <v>1.0</v>
      </c>
      <c r="L508" s="237">
        <v>7.0</v>
      </c>
      <c r="M508" s="237">
        <v>11.0</v>
      </c>
      <c r="N508" s="237">
        <v>11.0</v>
      </c>
    </row>
    <row r="509">
      <c r="A509" s="236" t="s">
        <v>728</v>
      </c>
      <c r="B509" s="237">
        <v>5322.0</v>
      </c>
      <c r="C509" s="236" t="s">
        <v>507</v>
      </c>
      <c r="D509" s="236" t="s">
        <v>935</v>
      </c>
      <c r="E509" s="236" t="s">
        <v>728</v>
      </c>
      <c r="F509" s="236" t="s">
        <v>985</v>
      </c>
      <c r="G509" s="237">
        <v>7.0</v>
      </c>
      <c r="H509" s="237">
        <v>8.0</v>
      </c>
      <c r="I509" s="237">
        <v>-1.0</v>
      </c>
      <c r="J509" s="237">
        <v>7.0</v>
      </c>
      <c r="K509" s="237">
        <v>9.0</v>
      </c>
      <c r="L509" s="237">
        <v>-2.0</v>
      </c>
      <c r="M509" s="237">
        <v>20.0</v>
      </c>
      <c r="N509" s="237">
        <v>23.0</v>
      </c>
    </row>
    <row r="510">
      <c r="A510" s="236" t="s">
        <v>859</v>
      </c>
      <c r="B510" s="237">
        <v>6213.0</v>
      </c>
      <c r="C510" s="236" t="s">
        <v>507</v>
      </c>
      <c r="D510" s="236" t="s">
        <v>507</v>
      </c>
      <c r="E510" s="236" t="s">
        <v>859</v>
      </c>
      <c r="F510" s="236" t="s">
        <v>993</v>
      </c>
      <c r="G510" s="237">
        <v>7.0</v>
      </c>
      <c r="H510" s="237">
        <v>7.0</v>
      </c>
      <c r="I510" s="237">
        <v>0.0</v>
      </c>
      <c r="J510" s="237">
        <v>7.0</v>
      </c>
      <c r="K510" s="237">
        <v>7.0</v>
      </c>
      <c r="L510" s="237">
        <v>0.0</v>
      </c>
      <c r="M510" s="237">
        <v>5.0</v>
      </c>
      <c r="N510" s="237">
        <v>5.0</v>
      </c>
    </row>
    <row r="511">
      <c r="A511" s="236" t="s">
        <v>1267</v>
      </c>
      <c r="B511" s="237">
        <v>5311.0</v>
      </c>
      <c r="C511" s="236" t="s">
        <v>507</v>
      </c>
      <c r="D511" s="236" t="s">
        <v>512</v>
      </c>
      <c r="E511" s="236" t="s">
        <v>1267</v>
      </c>
      <c r="F511" s="236" t="s">
        <v>988</v>
      </c>
      <c r="G511" s="237">
        <v>7.0</v>
      </c>
      <c r="H511" s="237">
        <v>3.0</v>
      </c>
      <c r="I511" s="237">
        <v>4.0</v>
      </c>
      <c r="J511" s="237">
        <v>7.0</v>
      </c>
      <c r="K511" s="237">
        <v>3.0</v>
      </c>
      <c r="L511" s="237">
        <v>4.0</v>
      </c>
      <c r="M511" s="237">
        <v>12.0</v>
      </c>
      <c r="N511" s="237">
        <v>10.0</v>
      </c>
    </row>
    <row r="512">
      <c r="A512" s="236" t="s">
        <v>1554</v>
      </c>
      <c r="B512" s="237">
        <v>696.0</v>
      </c>
      <c r="C512" s="236" t="s">
        <v>507</v>
      </c>
      <c r="D512" s="236" t="s">
        <v>512</v>
      </c>
      <c r="E512" s="236" t="s">
        <v>1554</v>
      </c>
      <c r="F512" s="236" t="s">
        <v>1026</v>
      </c>
      <c r="G512" s="237">
        <v>7.0</v>
      </c>
      <c r="H512" s="237">
        <v>10.0</v>
      </c>
      <c r="I512" s="237">
        <v>-3.0</v>
      </c>
      <c r="J512" s="237">
        <v>7.0</v>
      </c>
      <c r="K512" s="237">
        <v>10.0</v>
      </c>
      <c r="L512" s="237">
        <v>-3.0</v>
      </c>
      <c r="M512" s="237">
        <v>9.0</v>
      </c>
      <c r="N512" s="237">
        <v>9.0</v>
      </c>
    </row>
    <row r="513">
      <c r="A513" s="236" t="s">
        <v>1054</v>
      </c>
      <c r="B513" s="237">
        <v>5506.0</v>
      </c>
      <c r="C513" s="236" t="s">
        <v>507</v>
      </c>
      <c r="D513" s="236" t="s">
        <v>507</v>
      </c>
      <c r="E513" s="236" t="s">
        <v>1054</v>
      </c>
      <c r="F513" s="236" t="s">
        <v>1026</v>
      </c>
      <c r="G513" s="237">
        <v>6.0</v>
      </c>
      <c r="H513" s="237">
        <v>9.0</v>
      </c>
      <c r="I513" s="237">
        <v>-3.0</v>
      </c>
      <c r="J513" s="237">
        <v>6.0</v>
      </c>
      <c r="K513" s="237">
        <v>9.0</v>
      </c>
      <c r="L513" s="237">
        <v>-3.0</v>
      </c>
      <c r="M513" s="237">
        <v>10.0</v>
      </c>
      <c r="N513" s="237">
        <v>10.0</v>
      </c>
    </row>
    <row r="514">
      <c r="A514" s="236" t="s">
        <v>232</v>
      </c>
      <c r="B514" s="237">
        <v>6164.0</v>
      </c>
      <c r="C514" s="236" t="s">
        <v>507</v>
      </c>
      <c r="D514" s="236" t="s">
        <v>512</v>
      </c>
      <c r="E514" s="236" t="s">
        <v>232</v>
      </c>
      <c r="F514" s="236" t="s">
        <v>1026</v>
      </c>
      <c r="G514" s="237">
        <v>6.0</v>
      </c>
      <c r="H514" s="237">
        <v>12.0</v>
      </c>
      <c r="I514" s="237">
        <v>-6.0</v>
      </c>
      <c r="J514" s="237">
        <v>5.0</v>
      </c>
      <c r="K514" s="237">
        <v>11.0</v>
      </c>
      <c r="L514" s="237">
        <v>-6.0</v>
      </c>
      <c r="M514" s="237">
        <v>25.0</v>
      </c>
      <c r="N514" s="237">
        <v>25.0</v>
      </c>
    </row>
    <row r="515">
      <c r="A515" s="236" t="s">
        <v>738</v>
      </c>
      <c r="B515" s="237">
        <v>6227.0</v>
      </c>
      <c r="C515" s="236" t="s">
        <v>507</v>
      </c>
      <c r="D515" s="236" t="s">
        <v>507</v>
      </c>
      <c r="E515" s="236" t="s">
        <v>738</v>
      </c>
      <c r="F515" s="236" t="s">
        <v>991</v>
      </c>
      <c r="G515" s="237">
        <v>6.0</v>
      </c>
      <c r="H515" s="237">
        <v>11.0</v>
      </c>
      <c r="I515" s="237">
        <v>-5.0</v>
      </c>
      <c r="J515" s="237">
        <v>6.0</v>
      </c>
      <c r="K515" s="237">
        <v>11.0</v>
      </c>
      <c r="L515" s="237">
        <v>-5.0</v>
      </c>
      <c r="M515" s="237">
        <v>5.0</v>
      </c>
      <c r="N515" s="237">
        <v>5.0</v>
      </c>
    </row>
    <row r="516">
      <c r="A516" s="236" t="s">
        <v>889</v>
      </c>
      <c r="B516" s="237">
        <v>479.0</v>
      </c>
      <c r="C516" s="236" t="s">
        <v>507</v>
      </c>
      <c r="D516" s="236" t="s">
        <v>512</v>
      </c>
      <c r="E516" s="236" t="s">
        <v>889</v>
      </c>
      <c r="F516" s="236" t="s">
        <v>972</v>
      </c>
      <c r="G516" s="237">
        <v>6.0</v>
      </c>
      <c r="H516" s="237">
        <v>10.0</v>
      </c>
      <c r="I516" s="237">
        <v>-4.0</v>
      </c>
      <c r="J516" s="237">
        <v>6.0</v>
      </c>
      <c r="K516" s="237">
        <v>9.0</v>
      </c>
      <c r="L516" s="237">
        <v>-3.0</v>
      </c>
      <c r="M516" s="237">
        <v>12.0</v>
      </c>
      <c r="N516" s="237">
        <v>9.0</v>
      </c>
    </row>
    <row r="517">
      <c r="A517" s="236" t="s">
        <v>855</v>
      </c>
      <c r="B517" s="237">
        <v>6644.0</v>
      </c>
      <c r="C517" s="236" t="s">
        <v>507</v>
      </c>
      <c r="D517" s="236" t="s">
        <v>512</v>
      </c>
      <c r="E517" s="236" t="s">
        <v>855</v>
      </c>
      <c r="F517" s="236" t="s">
        <v>983</v>
      </c>
      <c r="G517" s="237">
        <v>6.0</v>
      </c>
      <c r="H517" s="237">
        <v>4.0</v>
      </c>
      <c r="I517" s="237">
        <v>2.0</v>
      </c>
      <c r="J517" s="237">
        <v>5.0</v>
      </c>
      <c r="K517" s="237">
        <v>3.0</v>
      </c>
      <c r="L517" s="237">
        <v>2.0</v>
      </c>
      <c r="M517" s="237">
        <v>11.0</v>
      </c>
      <c r="N517" s="237">
        <v>8.0</v>
      </c>
    </row>
    <row r="518">
      <c r="A518" s="236" t="s">
        <v>1231</v>
      </c>
      <c r="B518" s="237">
        <v>495.0</v>
      </c>
      <c r="C518" s="236" t="s">
        <v>507</v>
      </c>
      <c r="D518" s="236" t="s">
        <v>507</v>
      </c>
      <c r="E518" s="236" t="s">
        <v>1231</v>
      </c>
      <c r="F518" s="236" t="s">
        <v>973</v>
      </c>
      <c r="G518" s="237">
        <v>6.0</v>
      </c>
      <c r="H518" s="237">
        <v>3.0</v>
      </c>
      <c r="I518" s="237">
        <v>3.0</v>
      </c>
      <c r="J518" s="237">
        <v>6.0</v>
      </c>
      <c r="K518" s="237">
        <v>3.0</v>
      </c>
      <c r="L518" s="237">
        <v>3.0</v>
      </c>
      <c r="M518" s="237">
        <v>10.0</v>
      </c>
      <c r="N518" s="237">
        <v>10.0</v>
      </c>
    </row>
    <row r="519">
      <c r="A519" s="236" t="s">
        <v>797</v>
      </c>
      <c r="B519" s="237">
        <v>186.0</v>
      </c>
      <c r="C519" s="236" t="s">
        <v>507</v>
      </c>
      <c r="D519" s="236" t="s">
        <v>507</v>
      </c>
      <c r="E519" s="236" t="s">
        <v>797</v>
      </c>
      <c r="F519" s="236" t="s">
        <v>998</v>
      </c>
      <c r="G519" s="237">
        <v>6.0</v>
      </c>
      <c r="H519" s="237">
        <v>4.0</v>
      </c>
      <c r="I519" s="237">
        <v>2.0</v>
      </c>
      <c r="J519" s="237">
        <v>6.0</v>
      </c>
      <c r="K519" s="237">
        <v>4.0</v>
      </c>
      <c r="L519" s="237">
        <v>2.0</v>
      </c>
      <c r="M519" s="237">
        <v>10.0</v>
      </c>
      <c r="N519" s="237">
        <v>10.0</v>
      </c>
    </row>
    <row r="520">
      <c r="A520" s="236" t="s">
        <v>1142</v>
      </c>
      <c r="B520" s="237">
        <v>247.0</v>
      </c>
      <c r="C520" s="236" t="s">
        <v>507</v>
      </c>
      <c r="D520" s="236" t="s">
        <v>512</v>
      </c>
      <c r="E520" s="236" t="s">
        <v>1142</v>
      </c>
      <c r="F520" s="236" t="s">
        <v>975</v>
      </c>
      <c r="G520" s="237">
        <v>5.0</v>
      </c>
      <c r="H520" s="237">
        <v>3.0</v>
      </c>
      <c r="I520" s="237">
        <v>2.0</v>
      </c>
      <c r="J520" s="237">
        <v>5.0</v>
      </c>
      <c r="K520" s="237">
        <v>3.0</v>
      </c>
      <c r="L520" s="237">
        <v>2.0</v>
      </c>
      <c r="M520" s="237">
        <v>9.0</v>
      </c>
      <c r="N520" s="237">
        <v>9.0</v>
      </c>
    </row>
    <row r="521">
      <c r="A521" s="236" t="s">
        <v>837</v>
      </c>
      <c r="B521" s="237">
        <v>2762.0</v>
      </c>
      <c r="C521" s="236" t="s">
        <v>507</v>
      </c>
      <c r="D521" s="236" t="s">
        <v>507</v>
      </c>
      <c r="E521" s="236" t="s">
        <v>837</v>
      </c>
      <c r="F521" s="236" t="s">
        <v>1033</v>
      </c>
      <c r="G521" s="237">
        <v>5.0</v>
      </c>
      <c r="H521" s="237">
        <v>4.0</v>
      </c>
      <c r="I521" s="237">
        <v>1.0</v>
      </c>
      <c r="J521" s="237">
        <v>5.0</v>
      </c>
      <c r="K521" s="237">
        <v>4.0</v>
      </c>
      <c r="L521" s="237">
        <v>1.0</v>
      </c>
      <c r="M521" s="237">
        <v>7.0</v>
      </c>
      <c r="N521" s="237">
        <v>7.0</v>
      </c>
    </row>
    <row r="522">
      <c r="A522" s="236" t="s">
        <v>1256</v>
      </c>
      <c r="B522" s="237">
        <v>4268.0</v>
      </c>
      <c r="C522" s="236" t="s">
        <v>507</v>
      </c>
      <c r="D522" s="236" t="s">
        <v>512</v>
      </c>
      <c r="E522" s="236" t="s">
        <v>1256</v>
      </c>
      <c r="F522" s="236" t="s">
        <v>973</v>
      </c>
      <c r="G522" s="237">
        <v>5.0</v>
      </c>
      <c r="H522" s="237">
        <v>8.0</v>
      </c>
      <c r="I522" s="237">
        <v>-3.0</v>
      </c>
      <c r="J522" s="237">
        <v>5.0</v>
      </c>
      <c r="K522" s="237">
        <v>7.0</v>
      </c>
      <c r="L522" s="237">
        <v>-2.0</v>
      </c>
      <c r="M522" s="237">
        <v>8.0</v>
      </c>
      <c r="N522" s="237">
        <v>8.0</v>
      </c>
    </row>
    <row r="523">
      <c r="A523" s="236" t="s">
        <v>997</v>
      </c>
      <c r="B523" s="237">
        <v>6001.0</v>
      </c>
      <c r="C523" s="236" t="s">
        <v>507</v>
      </c>
      <c r="D523" s="236" t="s">
        <v>935</v>
      </c>
      <c r="E523" s="236" t="s">
        <v>997</v>
      </c>
      <c r="F523" s="236" t="s">
        <v>998</v>
      </c>
      <c r="G523" s="237">
        <v>5.0</v>
      </c>
      <c r="H523" s="237">
        <v>9.0</v>
      </c>
      <c r="I523" s="237">
        <v>-4.0</v>
      </c>
      <c r="J523" s="237">
        <v>5.0</v>
      </c>
      <c r="K523" s="237">
        <v>10.0</v>
      </c>
      <c r="L523" s="237">
        <v>-5.0</v>
      </c>
      <c r="M523" s="237">
        <v>9.0</v>
      </c>
      <c r="N523" s="237">
        <v>9.0</v>
      </c>
    </row>
    <row r="524">
      <c r="A524" s="236" t="s">
        <v>818</v>
      </c>
      <c r="B524" s="237">
        <v>5734.0</v>
      </c>
      <c r="C524" s="236" t="s">
        <v>507</v>
      </c>
      <c r="D524" s="236" t="s">
        <v>935</v>
      </c>
      <c r="E524" s="236" t="s">
        <v>818</v>
      </c>
      <c r="F524" s="236" t="s">
        <v>988</v>
      </c>
      <c r="G524" s="237">
        <v>5.0</v>
      </c>
      <c r="H524" s="237">
        <v>20.0</v>
      </c>
      <c r="I524" s="237">
        <v>-15.0</v>
      </c>
      <c r="J524" s="237">
        <v>6.0</v>
      </c>
      <c r="K524" s="237">
        <v>22.0</v>
      </c>
      <c r="L524" s="237">
        <v>-16.0</v>
      </c>
      <c r="M524" s="237">
        <v>10.0</v>
      </c>
      <c r="N524" s="237">
        <v>12.0</v>
      </c>
    </row>
    <row r="525">
      <c r="A525" s="236" t="s">
        <v>289</v>
      </c>
      <c r="B525" s="237">
        <v>6653.0</v>
      </c>
      <c r="C525" s="236" t="s">
        <v>507</v>
      </c>
      <c r="D525" s="236" t="s">
        <v>507</v>
      </c>
      <c r="E525" s="236" t="s">
        <v>289</v>
      </c>
      <c r="F525" s="236" t="s">
        <v>993</v>
      </c>
      <c r="G525" s="237">
        <v>5.0</v>
      </c>
      <c r="H525" s="237">
        <v>4.0</v>
      </c>
      <c r="I525" s="237">
        <v>1.0</v>
      </c>
      <c r="J525" s="237">
        <v>5.0</v>
      </c>
      <c r="K525" s="237">
        <v>4.0</v>
      </c>
      <c r="L525" s="237">
        <v>1.0</v>
      </c>
      <c r="M525" s="237">
        <v>7.0</v>
      </c>
      <c r="N525" s="237">
        <v>7.0</v>
      </c>
    </row>
    <row r="526">
      <c r="A526" s="236" t="s">
        <v>1314</v>
      </c>
      <c r="B526" s="237">
        <v>6657.0</v>
      </c>
      <c r="C526" s="236" t="s">
        <v>507</v>
      </c>
      <c r="D526" s="236" t="s">
        <v>512</v>
      </c>
      <c r="E526" s="236" t="s">
        <v>1314</v>
      </c>
      <c r="F526" s="236" t="s">
        <v>974</v>
      </c>
      <c r="G526" s="237">
        <v>4.0</v>
      </c>
      <c r="H526" s="237">
        <v>2.0</v>
      </c>
      <c r="I526" s="237">
        <v>2.0</v>
      </c>
      <c r="J526" s="237">
        <v>4.0</v>
      </c>
      <c r="K526" s="237">
        <v>1.0</v>
      </c>
      <c r="L526" s="237">
        <v>3.0</v>
      </c>
      <c r="M526" s="237">
        <v>9.0</v>
      </c>
      <c r="N526" s="237">
        <v>9.0</v>
      </c>
    </row>
    <row r="527">
      <c r="A527" s="236" t="s">
        <v>423</v>
      </c>
      <c r="B527" s="237">
        <v>4371.0</v>
      </c>
      <c r="C527" s="236" t="s">
        <v>507</v>
      </c>
      <c r="D527" s="236" t="s">
        <v>507</v>
      </c>
      <c r="E527" s="236" t="s">
        <v>423</v>
      </c>
      <c r="F527" s="236" t="s">
        <v>987</v>
      </c>
      <c r="G527" s="237">
        <v>4.0</v>
      </c>
      <c r="H527" s="237">
        <v>11.0</v>
      </c>
      <c r="I527" s="237">
        <v>-7.0</v>
      </c>
      <c r="J527" s="237">
        <v>4.0</v>
      </c>
      <c r="K527" s="237">
        <v>12.0</v>
      </c>
      <c r="L527" s="237">
        <v>-8.0</v>
      </c>
      <c r="M527" s="237">
        <v>12.0</v>
      </c>
      <c r="N527" s="237">
        <v>12.0</v>
      </c>
    </row>
    <row r="528">
      <c r="A528" s="236" t="s">
        <v>1124</v>
      </c>
      <c r="B528" s="237">
        <v>6827.0</v>
      </c>
      <c r="C528" s="236" t="s">
        <v>507</v>
      </c>
      <c r="D528" s="236" t="s">
        <v>507</v>
      </c>
      <c r="E528" s="236" t="s">
        <v>1124</v>
      </c>
      <c r="F528" s="236" t="s">
        <v>972</v>
      </c>
      <c r="G528" s="237">
        <v>4.0</v>
      </c>
      <c r="H528" s="237">
        <v>1.0</v>
      </c>
      <c r="I528" s="237">
        <v>3.0</v>
      </c>
      <c r="J528" s="237">
        <v>4.0</v>
      </c>
      <c r="K528" s="237">
        <v>1.0</v>
      </c>
      <c r="L528" s="237">
        <v>3.0</v>
      </c>
      <c r="M528" s="237">
        <v>9.0</v>
      </c>
      <c r="N528" s="237">
        <v>9.0</v>
      </c>
    </row>
    <row r="529">
      <c r="A529" s="236" t="s">
        <v>392</v>
      </c>
      <c r="B529" s="237">
        <v>6519.0</v>
      </c>
      <c r="C529" s="236" t="s">
        <v>507</v>
      </c>
      <c r="D529" s="236" t="s">
        <v>512</v>
      </c>
      <c r="E529" s="236" t="s">
        <v>392</v>
      </c>
      <c r="F529" s="236" t="s">
        <v>991</v>
      </c>
      <c r="G529" s="237">
        <v>3.0</v>
      </c>
      <c r="H529" s="237">
        <v>1.0</v>
      </c>
      <c r="I529" s="237">
        <v>2.0</v>
      </c>
      <c r="J529" s="237">
        <v>3.0</v>
      </c>
      <c r="K529" s="237">
        <v>1.0</v>
      </c>
      <c r="L529" s="237">
        <v>2.0</v>
      </c>
      <c r="M529" s="237">
        <v>5.0</v>
      </c>
      <c r="N529" s="237">
        <v>5.0</v>
      </c>
    </row>
    <row r="530">
      <c r="A530" s="236" t="s">
        <v>1004</v>
      </c>
      <c r="B530" s="237">
        <v>6667.0</v>
      </c>
      <c r="C530" s="236" t="s">
        <v>507</v>
      </c>
      <c r="D530" s="236" t="s">
        <v>507</v>
      </c>
      <c r="E530" s="236" t="s">
        <v>1004</v>
      </c>
      <c r="F530" s="236" t="s">
        <v>985</v>
      </c>
      <c r="G530" s="237">
        <v>3.0</v>
      </c>
      <c r="H530" s="237">
        <v>10.0</v>
      </c>
      <c r="I530" s="237">
        <v>-7.0</v>
      </c>
      <c r="J530" s="237">
        <v>3.0</v>
      </c>
      <c r="K530" s="237">
        <v>10.0</v>
      </c>
      <c r="L530" s="237">
        <v>-7.0</v>
      </c>
      <c r="M530" s="237">
        <v>8.0</v>
      </c>
      <c r="N530" s="237">
        <v>8.0</v>
      </c>
    </row>
    <row r="531">
      <c r="A531" s="236" t="s">
        <v>1252</v>
      </c>
      <c r="B531" s="237">
        <v>2475.0</v>
      </c>
      <c r="C531" s="236" t="s">
        <v>507</v>
      </c>
      <c r="D531" s="236" t="s">
        <v>507</v>
      </c>
      <c r="E531" s="236" t="s">
        <v>1252</v>
      </c>
      <c r="F531" s="236" t="s">
        <v>993</v>
      </c>
      <c r="G531" s="237">
        <v>3.0</v>
      </c>
      <c r="H531" s="237">
        <v>16.0</v>
      </c>
      <c r="I531" s="237">
        <v>-13.0</v>
      </c>
      <c r="J531" s="237">
        <v>3.0</v>
      </c>
      <c r="K531" s="237">
        <v>16.0</v>
      </c>
      <c r="L531" s="237">
        <v>-13.0</v>
      </c>
      <c r="M531" s="237">
        <v>21.0</v>
      </c>
      <c r="N531" s="237">
        <v>21.0</v>
      </c>
    </row>
    <row r="532">
      <c r="A532" s="236" t="s">
        <v>1291</v>
      </c>
      <c r="B532" s="237">
        <v>6119.0</v>
      </c>
      <c r="C532" s="236" t="s">
        <v>507</v>
      </c>
      <c r="D532" s="236" t="s">
        <v>507</v>
      </c>
      <c r="E532" s="236" t="s">
        <v>1291</v>
      </c>
      <c r="F532" s="236" t="s">
        <v>1222</v>
      </c>
      <c r="G532" s="237">
        <v>3.0</v>
      </c>
      <c r="H532" s="237">
        <v>3.0</v>
      </c>
      <c r="I532" s="237">
        <v>0.0</v>
      </c>
      <c r="J532" s="237">
        <v>3.0</v>
      </c>
      <c r="K532" s="237">
        <v>3.0</v>
      </c>
      <c r="L532" s="237">
        <v>0.0</v>
      </c>
      <c r="M532" s="237">
        <v>5.0</v>
      </c>
      <c r="N532" s="237">
        <v>5.0</v>
      </c>
    </row>
    <row r="533">
      <c r="A533" s="236" t="s">
        <v>1020</v>
      </c>
      <c r="B533" s="237">
        <v>4436.0</v>
      </c>
      <c r="C533" s="236" t="s">
        <v>507</v>
      </c>
      <c r="D533" s="236" t="s">
        <v>507</v>
      </c>
      <c r="E533" s="236" t="s">
        <v>1020</v>
      </c>
      <c r="F533" s="236" t="s">
        <v>1009</v>
      </c>
      <c r="G533" s="237">
        <v>2.0</v>
      </c>
      <c r="H533" s="237">
        <v>12.0</v>
      </c>
      <c r="I533" s="237">
        <v>-10.0</v>
      </c>
      <c r="J533" s="237">
        <v>2.0</v>
      </c>
      <c r="K533" s="237">
        <v>12.0</v>
      </c>
      <c r="L533" s="237">
        <v>-10.0</v>
      </c>
      <c r="M533" s="237">
        <v>20.0</v>
      </c>
      <c r="N533" s="237">
        <v>20.0</v>
      </c>
    </row>
    <row r="534">
      <c r="A534" s="236" t="s">
        <v>1307</v>
      </c>
      <c r="B534" s="237">
        <v>6598.0</v>
      </c>
      <c r="C534" s="236" t="s">
        <v>507</v>
      </c>
      <c r="D534" s="236" t="s">
        <v>512</v>
      </c>
      <c r="E534" s="236" t="s">
        <v>1307</v>
      </c>
      <c r="F534" s="236" t="s">
        <v>975</v>
      </c>
      <c r="G534" s="237">
        <v>2.0</v>
      </c>
      <c r="H534" s="237">
        <v>1.0</v>
      </c>
      <c r="I534" s="237">
        <v>1.0</v>
      </c>
      <c r="J534" s="237">
        <v>2.0</v>
      </c>
      <c r="K534" s="237">
        <v>1.0</v>
      </c>
      <c r="L534" s="237">
        <v>1.0</v>
      </c>
      <c r="M534" s="237">
        <v>5.0</v>
      </c>
      <c r="N534" s="237">
        <v>5.0</v>
      </c>
    </row>
    <row r="535">
      <c r="A535" s="236" t="s">
        <v>848</v>
      </c>
      <c r="B535" s="237">
        <v>6418.0</v>
      </c>
      <c r="C535" s="236" t="s">
        <v>507</v>
      </c>
      <c r="D535" s="236" t="s">
        <v>512</v>
      </c>
      <c r="E535" s="236" t="s">
        <v>848</v>
      </c>
      <c r="F535" s="236" t="s">
        <v>998</v>
      </c>
      <c r="G535" s="237">
        <v>2.0</v>
      </c>
      <c r="H535" s="237">
        <v>1.0</v>
      </c>
      <c r="I535" s="237">
        <v>1.0</v>
      </c>
      <c r="J535" s="237">
        <v>2.0</v>
      </c>
      <c r="K535" s="237">
        <v>1.0</v>
      </c>
      <c r="L535" s="237">
        <v>1.0</v>
      </c>
      <c r="M535" s="237">
        <v>1.0</v>
      </c>
      <c r="N535" s="237">
        <v>1.0</v>
      </c>
    </row>
    <row r="536">
      <c r="A536" s="236" t="s">
        <v>883</v>
      </c>
      <c r="B536" s="237">
        <v>2438.0</v>
      </c>
      <c r="C536" s="236" t="s">
        <v>507</v>
      </c>
      <c r="D536" s="236" t="s">
        <v>512</v>
      </c>
      <c r="E536" s="236" t="s">
        <v>883</v>
      </c>
      <c r="F536" s="236" t="s">
        <v>991</v>
      </c>
      <c r="G536" s="237">
        <v>2.0</v>
      </c>
      <c r="H536" s="237">
        <v>10.0</v>
      </c>
      <c r="I536" s="237">
        <v>-8.0</v>
      </c>
      <c r="J536" s="237">
        <v>2.0</v>
      </c>
      <c r="K536" s="237">
        <v>9.0</v>
      </c>
      <c r="L536" s="237">
        <v>-7.0</v>
      </c>
      <c r="M536" s="237">
        <v>5.0</v>
      </c>
      <c r="N536" s="237">
        <v>5.0</v>
      </c>
    </row>
    <row r="537">
      <c r="A537" s="236" t="s">
        <v>1229</v>
      </c>
      <c r="B537" s="237">
        <v>383.0</v>
      </c>
      <c r="C537" s="236" t="s">
        <v>507</v>
      </c>
      <c r="D537" s="236" t="s">
        <v>512</v>
      </c>
      <c r="E537" s="236" t="s">
        <v>1229</v>
      </c>
      <c r="F537" s="236" t="s">
        <v>1225</v>
      </c>
      <c r="G537" s="237">
        <v>2.0</v>
      </c>
      <c r="H537" s="237">
        <v>5.0</v>
      </c>
      <c r="I537" s="237">
        <v>-3.0</v>
      </c>
      <c r="J537" s="237">
        <v>2.0</v>
      </c>
      <c r="K537" s="237">
        <v>3.0</v>
      </c>
      <c r="L537" s="237">
        <v>-1.0</v>
      </c>
      <c r="M537" s="237">
        <v>7.0</v>
      </c>
      <c r="N537" s="237">
        <v>7.0</v>
      </c>
    </row>
    <row r="538">
      <c r="A538" s="236" t="s">
        <v>949</v>
      </c>
      <c r="B538" s="237">
        <v>6145.0</v>
      </c>
      <c r="C538" s="236" t="s">
        <v>507</v>
      </c>
      <c r="D538" s="236" t="s">
        <v>935</v>
      </c>
      <c r="E538" s="236" t="s">
        <v>949</v>
      </c>
      <c r="F538" s="236" t="s">
        <v>987</v>
      </c>
      <c r="G538" s="237">
        <v>2.0</v>
      </c>
      <c r="H538" s="237">
        <v>9.0</v>
      </c>
      <c r="I538" s="237">
        <v>-7.0</v>
      </c>
      <c r="J538" s="237">
        <v>2.0</v>
      </c>
      <c r="K538" s="237">
        <v>10.0</v>
      </c>
      <c r="L538" s="237">
        <v>-8.0</v>
      </c>
      <c r="M538" s="237">
        <v>8.0</v>
      </c>
      <c r="N538" s="237">
        <v>10.0</v>
      </c>
    </row>
    <row r="539">
      <c r="A539" s="236" t="s">
        <v>1287</v>
      </c>
      <c r="B539" s="237">
        <v>5881.0</v>
      </c>
      <c r="C539" s="236" t="s">
        <v>507</v>
      </c>
      <c r="D539" s="236" t="s">
        <v>512</v>
      </c>
      <c r="E539" s="236" t="s">
        <v>1287</v>
      </c>
      <c r="F539" s="236" t="s">
        <v>1233</v>
      </c>
      <c r="G539" s="237">
        <v>2.0</v>
      </c>
      <c r="H539" s="237">
        <v>5.0</v>
      </c>
      <c r="I539" s="237">
        <v>-3.0</v>
      </c>
      <c r="J539" s="237">
        <v>2.0</v>
      </c>
      <c r="K539" s="237">
        <v>4.0</v>
      </c>
      <c r="L539" s="237">
        <v>-2.0</v>
      </c>
      <c r="M539" s="237">
        <v>6.0</v>
      </c>
      <c r="N539" s="237">
        <v>6.0</v>
      </c>
    </row>
    <row r="540">
      <c r="A540" s="236" t="s">
        <v>1555</v>
      </c>
      <c r="B540" s="237">
        <v>6913.0</v>
      </c>
      <c r="C540" s="236" t="s">
        <v>507</v>
      </c>
      <c r="D540" s="236" t="s">
        <v>507</v>
      </c>
      <c r="E540" s="236" t="s">
        <v>1555</v>
      </c>
      <c r="F540" s="236" t="s">
        <v>983</v>
      </c>
      <c r="G540" s="237">
        <v>2.0</v>
      </c>
      <c r="H540" s="237">
        <v>1.0</v>
      </c>
      <c r="I540" s="237">
        <v>1.0</v>
      </c>
      <c r="J540" s="237">
        <v>2.0</v>
      </c>
      <c r="K540" s="237">
        <v>1.0</v>
      </c>
      <c r="L540" s="237">
        <v>1.0</v>
      </c>
      <c r="M540" s="237">
        <v>3.0</v>
      </c>
      <c r="N540" s="237">
        <v>3.0</v>
      </c>
    </row>
    <row r="541">
      <c r="A541" s="236" t="s">
        <v>1108</v>
      </c>
      <c r="B541" s="237">
        <v>2012.0</v>
      </c>
      <c r="C541" s="236" t="s">
        <v>507</v>
      </c>
      <c r="D541" s="236" t="s">
        <v>512</v>
      </c>
      <c r="E541" s="236" t="s">
        <v>1108</v>
      </c>
      <c r="F541" s="236" t="s">
        <v>976</v>
      </c>
      <c r="G541" s="237">
        <v>1.0</v>
      </c>
      <c r="H541" s="237">
        <v>12.0</v>
      </c>
      <c r="I541" s="237">
        <v>-11.0</v>
      </c>
      <c r="J541" s="237">
        <v>1.0</v>
      </c>
      <c r="K541" s="237">
        <v>10.0</v>
      </c>
      <c r="L541" s="237">
        <v>-9.0</v>
      </c>
      <c r="M541" s="237">
        <v>5.0</v>
      </c>
      <c r="N541" s="237">
        <v>5.0</v>
      </c>
    </row>
    <row r="542">
      <c r="A542" s="236" t="s">
        <v>1309</v>
      </c>
      <c r="B542" s="237">
        <v>6635.0</v>
      </c>
      <c r="C542" s="236" t="s">
        <v>507</v>
      </c>
      <c r="D542" s="236" t="s">
        <v>512</v>
      </c>
      <c r="E542" s="236" t="s">
        <v>1309</v>
      </c>
      <c r="F542" s="236" t="s">
        <v>993</v>
      </c>
      <c r="G542" s="237">
        <v>1.0</v>
      </c>
      <c r="H542" s="237">
        <v>3.0</v>
      </c>
      <c r="I542" s="237">
        <v>-2.0</v>
      </c>
      <c r="J542" s="237">
        <v>1.0</v>
      </c>
      <c r="K542" s="237">
        <v>3.0</v>
      </c>
      <c r="L542" s="237">
        <v>-2.0</v>
      </c>
      <c r="M542" s="237">
        <v>3.0</v>
      </c>
      <c r="N542" s="237">
        <v>3.0</v>
      </c>
    </row>
    <row r="543">
      <c r="A543" s="236" t="s">
        <v>1301</v>
      </c>
      <c r="B543" s="237">
        <v>6490.0</v>
      </c>
      <c r="C543" s="236" t="s">
        <v>507</v>
      </c>
      <c r="D543" s="236" t="s">
        <v>512</v>
      </c>
      <c r="E543" s="236" t="s">
        <v>1301</v>
      </c>
      <c r="F543" s="236" t="s">
        <v>983</v>
      </c>
      <c r="G543" s="237">
        <v>1.0</v>
      </c>
      <c r="H543" s="237">
        <v>1.0</v>
      </c>
      <c r="I543" s="237">
        <v>0.0</v>
      </c>
      <c r="J543" s="237">
        <v>1.0</v>
      </c>
      <c r="K543" s="237">
        <v>1.0</v>
      </c>
      <c r="L543" s="237">
        <v>0.0</v>
      </c>
      <c r="M543" s="237">
        <v>1.0</v>
      </c>
      <c r="N543" s="237">
        <v>1.0</v>
      </c>
    </row>
    <row r="544">
      <c r="A544" s="236" t="s">
        <v>1454</v>
      </c>
      <c r="B544" s="237">
        <v>6250.0</v>
      </c>
      <c r="C544" s="236" t="s">
        <v>507</v>
      </c>
      <c r="D544" s="236" t="s">
        <v>512</v>
      </c>
      <c r="E544" s="236" t="s">
        <v>1454</v>
      </c>
      <c r="F544" s="236" t="s">
        <v>1225</v>
      </c>
      <c r="G544" s="237">
        <v>1.0</v>
      </c>
      <c r="H544" s="237">
        <v>1.0</v>
      </c>
      <c r="I544" s="237">
        <v>0.0</v>
      </c>
      <c r="J544" s="237">
        <v>1.0</v>
      </c>
      <c r="K544" s="237">
        <v>1.0</v>
      </c>
      <c r="L544" s="237">
        <v>0.0</v>
      </c>
      <c r="M544" s="237">
        <v>6.0</v>
      </c>
      <c r="N544" s="237">
        <v>6.0</v>
      </c>
    </row>
    <row r="545">
      <c r="A545" s="236" t="s">
        <v>1556</v>
      </c>
      <c r="B545" s="237">
        <v>6910.0</v>
      </c>
      <c r="C545" s="236" t="s">
        <v>507</v>
      </c>
      <c r="D545" s="236" t="s">
        <v>507</v>
      </c>
      <c r="E545" s="236" t="s">
        <v>1556</v>
      </c>
      <c r="F545" s="236" t="s">
        <v>985</v>
      </c>
      <c r="G545" s="237">
        <v>1.0</v>
      </c>
      <c r="H545" s="237">
        <v>1.0</v>
      </c>
      <c r="I545" s="237">
        <v>0.0</v>
      </c>
      <c r="J545" s="237">
        <v>1.0</v>
      </c>
      <c r="K545" s="237">
        <v>1.0</v>
      </c>
      <c r="L545" s="237">
        <v>0.0</v>
      </c>
      <c r="M545" s="237">
        <v>5.0</v>
      </c>
      <c r="N545" s="237">
        <v>5.0</v>
      </c>
    </row>
    <row r="546">
      <c r="A546" s="236" t="s">
        <v>1557</v>
      </c>
      <c r="B546" s="237">
        <v>6912.0</v>
      </c>
      <c r="C546" s="236" t="s">
        <v>507</v>
      </c>
      <c r="D546" s="236" t="s">
        <v>512</v>
      </c>
      <c r="E546" s="236" t="s">
        <v>1557</v>
      </c>
      <c r="F546" s="236" t="s">
        <v>980</v>
      </c>
      <c r="G546" s="237">
        <v>1.0</v>
      </c>
      <c r="H546" s="237">
        <v>1.0</v>
      </c>
      <c r="I546" s="237">
        <v>0.0</v>
      </c>
      <c r="J546" s="237">
        <v>1.0</v>
      </c>
      <c r="K546" s="237">
        <v>1.0</v>
      </c>
      <c r="L546" s="237">
        <v>0.0</v>
      </c>
      <c r="M546" s="237">
        <v>3.0</v>
      </c>
      <c r="N546" s="237">
        <v>3.0</v>
      </c>
    </row>
    <row r="547">
      <c r="A547" s="236" t="s">
        <v>1495</v>
      </c>
      <c r="B547" s="237">
        <v>537.0</v>
      </c>
      <c r="C547" s="236" t="s">
        <v>507</v>
      </c>
      <c r="D547" s="236" t="s">
        <v>507</v>
      </c>
      <c r="E547" s="236" t="s">
        <v>1495</v>
      </c>
      <c r="F547" s="236" t="s">
        <v>998</v>
      </c>
      <c r="G547" s="237">
        <v>1.0</v>
      </c>
      <c r="H547" s="237">
        <v>1.0</v>
      </c>
      <c r="I547" s="237">
        <v>0.0</v>
      </c>
      <c r="J547" s="237">
        <v>1.0</v>
      </c>
      <c r="K547" s="237">
        <v>1.0</v>
      </c>
      <c r="L547" s="237">
        <v>0.0</v>
      </c>
      <c r="M547" s="237">
        <v>5.0</v>
      </c>
      <c r="N547" s="237">
        <v>5.0</v>
      </c>
    </row>
    <row r="548">
      <c r="A548" s="1" t="s">
        <v>700</v>
      </c>
      <c r="B548" s="1">
        <v>4811.0</v>
      </c>
      <c r="C548" s="1" t="s">
        <v>507</v>
      </c>
      <c r="D548" s="1" t="s">
        <v>507</v>
      </c>
      <c r="E548" s="1" t="s">
        <v>700</v>
      </c>
      <c r="F548" s="1" t="s">
        <v>991</v>
      </c>
      <c r="G548" s="1">
        <v>10.0</v>
      </c>
      <c r="H548" s="1">
        <v>12.0</v>
      </c>
      <c r="I548" s="1">
        <v>-2.0</v>
      </c>
      <c r="J548" s="1">
        <v>10.0</v>
      </c>
      <c r="K548" s="1">
        <v>12.0</v>
      </c>
      <c r="L548" s="1">
        <v>-2.0</v>
      </c>
      <c r="M548" s="1">
        <v>27.0</v>
      </c>
      <c r="N548" s="1">
        <v>27.0</v>
      </c>
    </row>
    <row r="549">
      <c r="A549" s="1" t="s">
        <v>105</v>
      </c>
      <c r="B549" s="1">
        <v>7017.0</v>
      </c>
      <c r="C549" s="1" t="s">
        <v>507</v>
      </c>
      <c r="D549" s="1" t="s">
        <v>512</v>
      </c>
      <c r="E549" s="1" t="s">
        <v>105</v>
      </c>
      <c r="F549" s="1" t="s">
        <v>974</v>
      </c>
      <c r="G549" s="1">
        <v>10.0</v>
      </c>
      <c r="H549" s="1">
        <v>8.0</v>
      </c>
      <c r="I549" s="1">
        <v>2.0</v>
      </c>
      <c r="J549" s="1">
        <v>10.0</v>
      </c>
      <c r="K549" s="1">
        <v>8.0</v>
      </c>
      <c r="L549" s="1">
        <v>2.0</v>
      </c>
      <c r="M549" s="1">
        <v>22.0</v>
      </c>
      <c r="N549" s="1">
        <v>20.0</v>
      </c>
    </row>
    <row r="550">
      <c r="A550" s="1" t="s">
        <v>799</v>
      </c>
      <c r="B550" s="1">
        <v>6766.0</v>
      </c>
      <c r="C550" s="1" t="s">
        <v>480</v>
      </c>
      <c r="D550" s="1" t="s">
        <v>1022</v>
      </c>
      <c r="E550" s="1" t="s">
        <v>799</v>
      </c>
      <c r="F550" s="1" t="s">
        <v>976</v>
      </c>
      <c r="G550" s="1">
        <v>6.0</v>
      </c>
      <c r="H550" s="1">
        <v>6.0</v>
      </c>
      <c r="I550" s="1">
        <v>0.0</v>
      </c>
      <c r="J550" s="1">
        <v>6.0</v>
      </c>
      <c r="K550" s="1">
        <v>7.0</v>
      </c>
      <c r="L550" s="1">
        <v>-1.0</v>
      </c>
      <c r="M550" s="1">
        <v>13.0</v>
      </c>
      <c r="N550" s="1">
        <v>13.0</v>
      </c>
    </row>
    <row r="551">
      <c r="A551" s="1" t="s">
        <v>325</v>
      </c>
      <c r="B551" s="1">
        <v>7008.0</v>
      </c>
      <c r="C551" s="1" t="s">
        <v>507</v>
      </c>
      <c r="D551" s="1" t="s">
        <v>512</v>
      </c>
      <c r="E551" s="1" t="s">
        <v>325</v>
      </c>
      <c r="F551" s="1" t="s">
        <v>991</v>
      </c>
      <c r="G551" s="1">
        <v>26.0</v>
      </c>
      <c r="H551" s="1">
        <v>30.0</v>
      </c>
      <c r="I551" s="1">
        <v>-4.0</v>
      </c>
      <c r="J551" s="1">
        <v>26.0</v>
      </c>
      <c r="K551" s="1">
        <v>30.0</v>
      </c>
      <c r="L551" s="1">
        <v>-4.0</v>
      </c>
      <c r="M551" s="1">
        <v>320.0</v>
      </c>
      <c r="N551" s="1">
        <v>320.0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59" t="s">
        <v>466</v>
      </c>
      <c r="B1" s="236" t="s">
        <v>960</v>
      </c>
      <c r="C1" s="236" t="s">
        <v>961</v>
      </c>
      <c r="D1" s="236" t="s">
        <v>962</v>
      </c>
      <c r="E1" s="236" t="s">
        <v>466</v>
      </c>
      <c r="F1" s="236" t="s">
        <v>467</v>
      </c>
      <c r="G1" s="236" t="s">
        <v>963</v>
      </c>
      <c r="H1" s="236" t="s">
        <v>964</v>
      </c>
      <c r="I1" s="236" t="s">
        <v>965</v>
      </c>
      <c r="J1" s="236" t="s">
        <v>966</v>
      </c>
      <c r="K1" s="236" t="s">
        <v>967</v>
      </c>
      <c r="L1" s="236" t="s">
        <v>968</v>
      </c>
      <c r="M1" s="236" t="s">
        <v>969</v>
      </c>
      <c r="N1" s="236" t="s">
        <v>970</v>
      </c>
      <c r="O1" s="1" t="s">
        <v>1558</v>
      </c>
    </row>
    <row r="2">
      <c r="A2" s="260" t="str">
        <f t="shared" ref="A2:A656" si="1">E2</f>
        <v>Sportiello</v>
      </c>
      <c r="B2" s="237">
        <v>4.0</v>
      </c>
      <c r="C2" s="236" t="s">
        <v>477</v>
      </c>
      <c r="D2" s="236" t="s">
        <v>478</v>
      </c>
      <c r="E2" s="236" t="s">
        <v>760</v>
      </c>
      <c r="F2" s="236" t="s">
        <v>980</v>
      </c>
      <c r="G2" s="237">
        <v>1.0</v>
      </c>
      <c r="H2" s="237">
        <v>1.0</v>
      </c>
      <c r="I2" s="237">
        <v>0.0</v>
      </c>
      <c r="J2" s="237">
        <v>1.0</v>
      </c>
      <c r="K2" s="237">
        <v>1.0</v>
      </c>
      <c r="L2" s="237">
        <v>0.0</v>
      </c>
      <c r="M2" s="237">
        <v>1.0</v>
      </c>
      <c r="N2" s="237">
        <v>1.0</v>
      </c>
      <c r="O2" s="261">
        <v>46049.0</v>
      </c>
    </row>
    <row r="3">
      <c r="A3" s="260" t="str">
        <f t="shared" si="1"/>
        <v>De Roon</v>
      </c>
      <c r="B3" s="237">
        <v>22.0</v>
      </c>
      <c r="C3" s="236" t="s">
        <v>492</v>
      </c>
      <c r="D3" s="236" t="s">
        <v>930</v>
      </c>
      <c r="E3" s="236" t="s">
        <v>748</v>
      </c>
      <c r="F3" s="236" t="s">
        <v>980</v>
      </c>
      <c r="G3" s="237">
        <v>9.0</v>
      </c>
      <c r="H3" s="237">
        <v>12.0</v>
      </c>
      <c r="I3" s="237">
        <v>-3.0</v>
      </c>
      <c r="J3" s="237">
        <v>9.0</v>
      </c>
      <c r="K3" s="237">
        <v>13.0</v>
      </c>
      <c r="L3" s="237">
        <v>-4.0</v>
      </c>
      <c r="M3" s="237">
        <v>34.0</v>
      </c>
      <c r="N3" s="237">
        <v>39.0</v>
      </c>
      <c r="O3" s="1"/>
    </row>
    <row r="4">
      <c r="A4" s="260" t="str">
        <f t="shared" si="1"/>
        <v>Grassi</v>
      </c>
      <c r="B4" s="237">
        <v>27.0</v>
      </c>
      <c r="C4" s="236" t="s">
        <v>492</v>
      </c>
      <c r="D4" s="236" t="s">
        <v>930</v>
      </c>
      <c r="E4" s="236" t="s">
        <v>1068</v>
      </c>
      <c r="F4" s="236" t="s">
        <v>995</v>
      </c>
      <c r="G4" s="237">
        <v>5.0</v>
      </c>
      <c r="H4" s="237">
        <v>4.0</v>
      </c>
      <c r="I4" s="237">
        <v>1.0</v>
      </c>
      <c r="J4" s="237">
        <v>5.0</v>
      </c>
      <c r="K4" s="237">
        <v>4.0</v>
      </c>
      <c r="L4" s="237">
        <v>1.0</v>
      </c>
      <c r="M4" s="237">
        <v>8.0</v>
      </c>
      <c r="N4" s="237">
        <v>10.0</v>
      </c>
      <c r="O4" s="1"/>
    </row>
    <row r="5">
      <c r="A5" s="260" t="str">
        <f t="shared" si="1"/>
        <v>Skorupski</v>
      </c>
      <c r="B5" s="237">
        <v>133.0</v>
      </c>
      <c r="C5" s="236" t="s">
        <v>477</v>
      </c>
      <c r="D5" s="236" t="s">
        <v>478</v>
      </c>
      <c r="E5" s="236" t="s">
        <v>604</v>
      </c>
      <c r="F5" s="236" t="s">
        <v>1009</v>
      </c>
      <c r="G5" s="237">
        <v>10.0</v>
      </c>
      <c r="H5" s="237">
        <v>10.0</v>
      </c>
      <c r="I5" s="237">
        <v>0.0</v>
      </c>
      <c r="J5" s="237">
        <v>10.0</v>
      </c>
      <c r="K5" s="237">
        <v>10.0</v>
      </c>
      <c r="L5" s="237">
        <v>0.0</v>
      </c>
      <c r="M5" s="237">
        <v>10.0</v>
      </c>
      <c r="N5" s="237">
        <v>10.0</v>
      </c>
      <c r="O5" s="1"/>
    </row>
    <row r="6">
      <c r="A6" s="260" t="str">
        <f t="shared" si="1"/>
        <v>Hysaj</v>
      </c>
      <c r="B6" s="237">
        <v>140.0</v>
      </c>
      <c r="C6" s="236" t="s">
        <v>480</v>
      </c>
      <c r="D6" s="236" t="s">
        <v>944</v>
      </c>
      <c r="E6" s="236" t="s">
        <v>1075</v>
      </c>
      <c r="F6" s="236" t="s">
        <v>1000</v>
      </c>
      <c r="G6" s="237">
        <v>1.0</v>
      </c>
      <c r="H6" s="237">
        <v>3.0</v>
      </c>
      <c r="I6" s="237">
        <v>-2.0</v>
      </c>
      <c r="J6" s="237">
        <v>1.0</v>
      </c>
      <c r="K6" s="237">
        <v>3.0</v>
      </c>
      <c r="L6" s="237">
        <v>-2.0</v>
      </c>
      <c r="M6" s="237">
        <v>4.0</v>
      </c>
      <c r="N6" s="237">
        <v>4.0</v>
      </c>
      <c r="O6" s="1"/>
    </row>
    <row r="7">
      <c r="A7" s="260" t="str">
        <f t="shared" si="1"/>
        <v>Zielinski</v>
      </c>
      <c r="B7" s="237">
        <v>152.0</v>
      </c>
      <c r="C7" s="236" t="s">
        <v>492</v>
      </c>
      <c r="D7" s="236" t="s">
        <v>934</v>
      </c>
      <c r="E7" s="236" t="s">
        <v>225</v>
      </c>
      <c r="F7" s="236" t="s">
        <v>973</v>
      </c>
      <c r="G7" s="237">
        <v>22.0</v>
      </c>
      <c r="H7" s="237">
        <v>4.0</v>
      </c>
      <c r="I7" s="237">
        <v>18.0</v>
      </c>
      <c r="J7" s="237">
        <v>22.0</v>
      </c>
      <c r="K7" s="237">
        <v>4.0</v>
      </c>
      <c r="L7" s="237">
        <v>18.0</v>
      </c>
      <c r="M7" s="237">
        <v>40.0</v>
      </c>
      <c r="N7" s="237">
        <v>40.0</v>
      </c>
      <c r="O7" s="1"/>
    </row>
    <row r="8">
      <c r="A8" s="260" t="str">
        <f t="shared" si="1"/>
        <v>Lezzerini</v>
      </c>
      <c r="B8" s="237">
        <v>158.0</v>
      </c>
      <c r="C8" s="236" t="s">
        <v>477</v>
      </c>
      <c r="D8" s="236" t="s">
        <v>478</v>
      </c>
      <c r="E8" s="236" t="s">
        <v>1098</v>
      </c>
      <c r="F8" s="236" t="s">
        <v>1033</v>
      </c>
      <c r="G8" s="237">
        <v>1.0</v>
      </c>
      <c r="H8" s="237">
        <v>1.0</v>
      </c>
      <c r="I8" s="237">
        <v>0.0</v>
      </c>
      <c r="J8" s="237">
        <v>1.0</v>
      </c>
      <c r="K8" s="237">
        <v>1.0</v>
      </c>
      <c r="L8" s="237">
        <v>0.0</v>
      </c>
      <c r="M8" s="237">
        <v>1.0</v>
      </c>
      <c r="N8" s="237">
        <v>1.0</v>
      </c>
      <c r="O8" s="1"/>
    </row>
    <row r="9">
      <c r="A9" s="260" t="str">
        <f t="shared" si="1"/>
        <v>Bernardeschi</v>
      </c>
      <c r="B9" s="237">
        <v>184.0</v>
      </c>
      <c r="C9" s="236" t="s">
        <v>492</v>
      </c>
      <c r="D9" s="236" t="s">
        <v>935</v>
      </c>
      <c r="E9" s="236" t="s">
        <v>1008</v>
      </c>
      <c r="F9" s="236" t="s">
        <v>1009</v>
      </c>
      <c r="G9" s="237">
        <v>5.0</v>
      </c>
      <c r="H9" s="237">
        <v>9.0</v>
      </c>
      <c r="I9" s="237">
        <v>-4.0</v>
      </c>
      <c r="J9" s="237">
        <v>5.0</v>
      </c>
      <c r="K9" s="237">
        <v>8.0</v>
      </c>
      <c r="L9" s="237">
        <v>-3.0</v>
      </c>
      <c r="M9" s="237">
        <v>12.0</v>
      </c>
      <c r="N9" s="237">
        <v>12.0</v>
      </c>
      <c r="O9" s="1"/>
    </row>
    <row r="10">
      <c r="A10" s="260" t="str">
        <f t="shared" si="1"/>
        <v>Leali</v>
      </c>
      <c r="B10" s="237">
        <v>188.0</v>
      </c>
      <c r="C10" s="236" t="s">
        <v>477</v>
      </c>
      <c r="D10" s="236" t="s">
        <v>478</v>
      </c>
      <c r="E10" s="236" t="s">
        <v>765</v>
      </c>
      <c r="F10" s="236" t="s">
        <v>1026</v>
      </c>
      <c r="G10" s="237">
        <v>10.0</v>
      </c>
      <c r="H10" s="237">
        <v>8.0</v>
      </c>
      <c r="I10" s="237">
        <v>2.0</v>
      </c>
      <c r="J10" s="237">
        <v>10.0</v>
      </c>
      <c r="K10" s="237">
        <v>8.0</v>
      </c>
      <c r="L10" s="237">
        <v>2.0</v>
      </c>
      <c r="M10" s="237">
        <v>2.0</v>
      </c>
      <c r="N10" s="237">
        <v>2.0</v>
      </c>
      <c r="O10" s="1"/>
    </row>
    <row r="11">
      <c r="A11" s="260" t="str">
        <f t="shared" si="1"/>
        <v>Perin</v>
      </c>
      <c r="B11" s="237">
        <v>218.0</v>
      </c>
      <c r="C11" s="236" t="s">
        <v>477</v>
      </c>
      <c r="D11" s="236" t="s">
        <v>478</v>
      </c>
      <c r="E11" s="236" t="s">
        <v>804</v>
      </c>
      <c r="F11" s="236" t="s">
        <v>976</v>
      </c>
      <c r="G11" s="237">
        <v>3.0</v>
      </c>
      <c r="H11" s="237">
        <v>1.0</v>
      </c>
      <c r="I11" s="237">
        <v>2.0</v>
      </c>
      <c r="J11" s="237">
        <v>3.0</v>
      </c>
      <c r="K11" s="237">
        <v>1.0</v>
      </c>
      <c r="L11" s="237">
        <v>2.0</v>
      </c>
      <c r="M11" s="237">
        <v>1.0</v>
      </c>
      <c r="N11" s="237">
        <v>1.0</v>
      </c>
      <c r="O11" s="1"/>
    </row>
    <row r="12">
      <c r="A12" s="260" t="str">
        <f t="shared" si="1"/>
        <v>Sommariva</v>
      </c>
      <c r="B12" s="237">
        <v>219.0</v>
      </c>
      <c r="C12" s="236" t="s">
        <v>477</v>
      </c>
      <c r="D12" s="236" t="s">
        <v>478</v>
      </c>
      <c r="E12" s="236" t="s">
        <v>1183</v>
      </c>
      <c r="F12" s="236" t="s">
        <v>1026</v>
      </c>
      <c r="G12" s="237">
        <v>1.0</v>
      </c>
      <c r="H12" s="237">
        <v>1.0</v>
      </c>
      <c r="I12" s="237">
        <v>0.0</v>
      </c>
      <c r="J12" s="237">
        <v>1.0</v>
      </c>
      <c r="K12" s="237">
        <v>1.0</v>
      </c>
      <c r="L12" s="237">
        <v>0.0</v>
      </c>
      <c r="M12" s="237">
        <v>1.0</v>
      </c>
      <c r="N12" s="237">
        <v>1.0</v>
      </c>
      <c r="O12" s="1"/>
    </row>
    <row r="13">
      <c r="A13" s="260" t="str">
        <f t="shared" si="1"/>
        <v>Pavoletti</v>
      </c>
      <c r="B13" s="237">
        <v>247.0</v>
      </c>
      <c r="C13" s="236" t="s">
        <v>507</v>
      </c>
      <c r="D13" s="236" t="s">
        <v>512</v>
      </c>
      <c r="E13" s="236" t="s">
        <v>1142</v>
      </c>
      <c r="F13" s="236" t="s">
        <v>975</v>
      </c>
      <c r="G13" s="237">
        <v>1.0</v>
      </c>
      <c r="H13" s="237">
        <v>1.0</v>
      </c>
      <c r="I13" s="237">
        <v>0.0</v>
      </c>
      <c r="J13" s="237">
        <v>1.0</v>
      </c>
      <c r="K13" s="237">
        <v>1.0</v>
      </c>
      <c r="L13" s="237">
        <v>0.0</v>
      </c>
      <c r="M13" s="237">
        <v>3.0</v>
      </c>
      <c r="N13" s="237">
        <v>3.0</v>
      </c>
      <c r="O13" s="1"/>
    </row>
    <row r="14">
      <c r="A14" s="260" t="str">
        <f t="shared" si="1"/>
        <v>Biraghi</v>
      </c>
      <c r="B14" s="237">
        <v>252.0</v>
      </c>
      <c r="C14" s="236" t="s">
        <v>480</v>
      </c>
      <c r="D14" s="236" t="s">
        <v>931</v>
      </c>
      <c r="E14" s="236" t="s">
        <v>358</v>
      </c>
      <c r="F14" s="236" t="s">
        <v>972</v>
      </c>
      <c r="G14" s="237">
        <v>2.0</v>
      </c>
      <c r="H14" s="237">
        <v>8.0</v>
      </c>
      <c r="I14" s="237">
        <v>-6.0</v>
      </c>
      <c r="J14" s="237">
        <v>2.0</v>
      </c>
      <c r="K14" s="237">
        <v>8.0</v>
      </c>
      <c r="L14" s="237">
        <v>-6.0</v>
      </c>
      <c r="M14" s="237">
        <v>5.0</v>
      </c>
      <c r="N14" s="237">
        <v>5.0</v>
      </c>
      <c r="O14" s="1"/>
    </row>
    <row r="15">
      <c r="A15" s="260" t="str">
        <f t="shared" si="1"/>
        <v>Dimarco</v>
      </c>
      <c r="B15" s="237">
        <v>254.0</v>
      </c>
      <c r="C15" s="236" t="s">
        <v>480</v>
      </c>
      <c r="D15" s="236" t="s">
        <v>521</v>
      </c>
      <c r="E15" s="236" t="s">
        <v>284</v>
      </c>
      <c r="F15" s="236" t="s">
        <v>973</v>
      </c>
      <c r="G15" s="237">
        <v>31.0</v>
      </c>
      <c r="H15" s="237">
        <v>19.0</v>
      </c>
      <c r="I15" s="237">
        <v>12.0</v>
      </c>
      <c r="J15" s="237">
        <v>31.0</v>
      </c>
      <c r="K15" s="237">
        <v>18.0</v>
      </c>
      <c r="L15" s="237">
        <v>13.0</v>
      </c>
      <c r="M15" s="237">
        <v>170.0</v>
      </c>
      <c r="N15" s="237">
        <v>170.0</v>
      </c>
      <c r="O15" s="1"/>
    </row>
    <row r="16">
      <c r="A16" s="260" t="str">
        <f t="shared" si="1"/>
        <v>Juan Jesus</v>
      </c>
      <c r="B16" s="237">
        <v>256.0</v>
      </c>
      <c r="C16" s="236" t="s">
        <v>480</v>
      </c>
      <c r="D16" s="236" t="s">
        <v>1022</v>
      </c>
      <c r="E16" s="236" t="s">
        <v>824</v>
      </c>
      <c r="F16" s="236" t="s">
        <v>987</v>
      </c>
      <c r="G16" s="237">
        <v>4.0</v>
      </c>
      <c r="H16" s="237">
        <v>3.0</v>
      </c>
      <c r="I16" s="237">
        <v>1.0</v>
      </c>
      <c r="J16" s="237">
        <v>4.0</v>
      </c>
      <c r="K16" s="237">
        <v>3.0</v>
      </c>
      <c r="L16" s="237">
        <v>1.0</v>
      </c>
      <c r="M16" s="237">
        <v>21.0</v>
      </c>
      <c r="N16" s="237">
        <v>23.0</v>
      </c>
      <c r="O16" s="1"/>
    </row>
    <row r="17">
      <c r="A17" s="260" t="str">
        <f t="shared" si="1"/>
        <v>Rugani</v>
      </c>
      <c r="B17" s="237">
        <v>294.0</v>
      </c>
      <c r="C17" s="236" t="s">
        <v>480</v>
      </c>
      <c r="D17" s="236" t="s">
        <v>481</v>
      </c>
      <c r="E17" s="236" t="s">
        <v>1166</v>
      </c>
      <c r="F17" s="236" t="s">
        <v>1033</v>
      </c>
      <c r="G17" s="237">
        <v>2.0</v>
      </c>
      <c r="H17" s="237">
        <v>3.0</v>
      </c>
      <c r="I17" s="237">
        <v>-1.0</v>
      </c>
      <c r="J17" s="237">
        <v>2.0</v>
      </c>
      <c r="K17" s="237">
        <v>3.0</v>
      </c>
      <c r="L17" s="237">
        <v>-1.0</v>
      </c>
      <c r="M17" s="237">
        <v>10.0</v>
      </c>
      <c r="N17" s="237">
        <v>10.0</v>
      </c>
      <c r="O17" s="1"/>
    </row>
    <row r="18">
      <c r="A18" s="260" t="str">
        <f t="shared" si="1"/>
        <v>Dybala</v>
      </c>
      <c r="B18" s="237">
        <v>309.0</v>
      </c>
      <c r="C18" s="236" t="s">
        <v>507</v>
      </c>
      <c r="D18" s="236" t="s">
        <v>507</v>
      </c>
      <c r="E18" s="236" t="s">
        <v>297</v>
      </c>
      <c r="F18" s="236" t="s">
        <v>988</v>
      </c>
      <c r="G18" s="237">
        <v>13.0</v>
      </c>
      <c r="H18" s="237">
        <v>26.0</v>
      </c>
      <c r="I18" s="237">
        <v>-13.0</v>
      </c>
      <c r="J18" s="237">
        <v>13.0</v>
      </c>
      <c r="K18" s="237">
        <v>27.0</v>
      </c>
      <c r="L18" s="237">
        <v>-14.0</v>
      </c>
      <c r="M18" s="237">
        <v>65.0</v>
      </c>
      <c r="N18" s="237">
        <v>65.0</v>
      </c>
      <c r="O18" s="1"/>
    </row>
    <row r="19">
      <c r="A19" s="260" t="str">
        <f t="shared" si="1"/>
        <v>Morata</v>
      </c>
      <c r="B19" s="237">
        <v>313.0</v>
      </c>
      <c r="C19" s="236" t="s">
        <v>507</v>
      </c>
      <c r="D19" s="236" t="s">
        <v>512</v>
      </c>
      <c r="E19" s="236" t="s">
        <v>704</v>
      </c>
      <c r="F19" s="236" t="s">
        <v>974</v>
      </c>
      <c r="G19" s="237">
        <v>3.0</v>
      </c>
      <c r="H19" s="237">
        <v>18.0</v>
      </c>
      <c r="I19" s="237">
        <v>-15.0</v>
      </c>
      <c r="J19" s="237">
        <v>3.0</v>
      </c>
      <c r="K19" s="237">
        <v>18.0</v>
      </c>
      <c r="L19" s="237">
        <v>-15.0</v>
      </c>
      <c r="M19" s="237">
        <v>12.0</v>
      </c>
      <c r="N19" s="237">
        <v>10.0</v>
      </c>
      <c r="O19" s="1"/>
    </row>
    <row r="20">
      <c r="A20" s="260" t="str">
        <f t="shared" si="1"/>
        <v>De Vrij</v>
      </c>
      <c r="B20" s="237">
        <v>322.0</v>
      </c>
      <c r="C20" s="236" t="s">
        <v>480</v>
      </c>
      <c r="D20" s="236" t="s">
        <v>481</v>
      </c>
      <c r="E20" s="236" t="s">
        <v>776</v>
      </c>
      <c r="F20" s="236" t="s">
        <v>973</v>
      </c>
      <c r="G20" s="237">
        <v>3.0</v>
      </c>
      <c r="H20" s="237">
        <v>9.0</v>
      </c>
      <c r="I20" s="237">
        <v>-6.0</v>
      </c>
      <c r="J20" s="237">
        <v>3.0</v>
      </c>
      <c r="K20" s="237">
        <v>9.0</v>
      </c>
      <c r="L20" s="237">
        <v>-6.0</v>
      </c>
      <c r="M20" s="237">
        <v>10.0</v>
      </c>
      <c r="N20" s="237">
        <v>10.0</v>
      </c>
      <c r="O20" s="1"/>
    </row>
    <row r="21">
      <c r="A21" s="260" t="str">
        <f t="shared" si="1"/>
        <v>Patric</v>
      </c>
      <c r="B21" s="237">
        <v>327.0</v>
      </c>
      <c r="C21" s="236" t="s">
        <v>480</v>
      </c>
      <c r="D21" s="236" t="s">
        <v>937</v>
      </c>
      <c r="E21" s="236" t="s">
        <v>847</v>
      </c>
      <c r="F21" s="236" t="s">
        <v>1000</v>
      </c>
      <c r="G21" s="237">
        <v>1.0</v>
      </c>
      <c r="H21" s="237">
        <v>4.0</v>
      </c>
      <c r="I21" s="237">
        <v>-3.0</v>
      </c>
      <c r="J21" s="237">
        <v>1.0</v>
      </c>
      <c r="K21" s="237">
        <v>4.0</v>
      </c>
      <c r="L21" s="237">
        <v>-3.0</v>
      </c>
      <c r="M21" s="237">
        <v>5.0</v>
      </c>
      <c r="N21" s="237">
        <v>6.0</v>
      </c>
      <c r="O21" s="1"/>
    </row>
    <row r="22">
      <c r="A22" s="260" t="str">
        <f t="shared" si="1"/>
        <v>Cataldi</v>
      </c>
      <c r="B22" s="237">
        <v>333.0</v>
      </c>
      <c r="C22" s="236" t="s">
        <v>492</v>
      </c>
      <c r="D22" s="236" t="s">
        <v>930</v>
      </c>
      <c r="E22" s="236" t="s">
        <v>850</v>
      </c>
      <c r="F22" s="236" t="s">
        <v>1000</v>
      </c>
      <c r="G22" s="237">
        <v>14.0</v>
      </c>
      <c r="H22" s="237">
        <v>5.0</v>
      </c>
      <c r="I22" s="237">
        <v>9.0</v>
      </c>
      <c r="J22" s="237">
        <v>14.0</v>
      </c>
      <c r="K22" s="237">
        <v>5.0</v>
      </c>
      <c r="L22" s="237">
        <v>9.0</v>
      </c>
      <c r="M22" s="237">
        <v>23.0</v>
      </c>
      <c r="N22" s="237">
        <v>28.0</v>
      </c>
      <c r="O22" s="1"/>
    </row>
    <row r="23">
      <c r="A23" s="260" t="str">
        <f t="shared" si="1"/>
        <v>Albiol</v>
      </c>
      <c r="B23" s="237">
        <v>388.0</v>
      </c>
      <c r="C23" s="236" t="s">
        <v>480</v>
      </c>
      <c r="D23" s="236" t="s">
        <v>481</v>
      </c>
      <c r="E23" s="236" t="s">
        <v>984</v>
      </c>
      <c r="F23" s="236" t="s">
        <v>977</v>
      </c>
      <c r="G23" s="237">
        <v>2.0</v>
      </c>
      <c r="H23" s="237">
        <v>5.0</v>
      </c>
      <c r="I23" s="237">
        <v>-3.0</v>
      </c>
      <c r="J23" s="237">
        <v>2.0</v>
      </c>
      <c r="K23" s="237">
        <v>5.0</v>
      </c>
      <c r="L23" s="237">
        <v>-3.0</v>
      </c>
      <c r="M23" s="237">
        <v>9.0</v>
      </c>
      <c r="N23" s="237">
        <v>9.0</v>
      </c>
      <c r="O23" s="1"/>
    </row>
    <row r="24">
      <c r="A24" s="260" t="str">
        <f t="shared" si="1"/>
        <v>Luperto</v>
      </c>
      <c r="B24" s="237">
        <v>393.0</v>
      </c>
      <c r="C24" s="236" t="s">
        <v>480</v>
      </c>
      <c r="D24" s="236" t="s">
        <v>481</v>
      </c>
      <c r="E24" s="236" t="s">
        <v>668</v>
      </c>
      <c r="F24" s="236" t="s">
        <v>995</v>
      </c>
      <c r="G24" s="237">
        <v>9.0</v>
      </c>
      <c r="H24" s="237">
        <v>7.0</v>
      </c>
      <c r="I24" s="237">
        <v>2.0</v>
      </c>
      <c r="J24" s="237">
        <v>9.0</v>
      </c>
      <c r="K24" s="237">
        <v>7.0</v>
      </c>
      <c r="L24" s="237">
        <v>2.0</v>
      </c>
      <c r="M24" s="237">
        <v>17.0</v>
      </c>
      <c r="N24" s="237">
        <v>17.0</v>
      </c>
      <c r="O24" s="1"/>
    </row>
    <row r="25">
      <c r="A25" s="260" t="str">
        <f t="shared" si="1"/>
        <v>Goldaniga</v>
      </c>
      <c r="B25" s="237">
        <v>418.0</v>
      </c>
      <c r="C25" s="236" t="s">
        <v>480</v>
      </c>
      <c r="D25" s="236" t="s">
        <v>481</v>
      </c>
      <c r="E25" s="236" t="s">
        <v>1067</v>
      </c>
      <c r="F25" s="236" t="s">
        <v>974</v>
      </c>
      <c r="G25" s="237">
        <v>1.0</v>
      </c>
      <c r="H25" s="237">
        <v>4.0</v>
      </c>
      <c r="I25" s="237">
        <v>-3.0</v>
      </c>
      <c r="J25" s="237">
        <v>1.0</v>
      </c>
      <c r="K25" s="237">
        <v>4.0</v>
      </c>
      <c r="L25" s="237">
        <v>-3.0</v>
      </c>
      <c r="M25" s="237">
        <v>6.0</v>
      </c>
      <c r="N25" s="237">
        <v>6.0</v>
      </c>
      <c r="O25" s="1"/>
    </row>
    <row r="26">
      <c r="A26" s="260" t="str">
        <f t="shared" si="1"/>
        <v>Belotti</v>
      </c>
      <c r="B26" s="237">
        <v>441.0</v>
      </c>
      <c r="C26" s="236" t="s">
        <v>507</v>
      </c>
      <c r="D26" s="236" t="s">
        <v>512</v>
      </c>
      <c r="E26" s="236" t="s">
        <v>680</v>
      </c>
      <c r="F26" s="236" t="s">
        <v>975</v>
      </c>
      <c r="G26" s="237">
        <v>8.0</v>
      </c>
      <c r="H26" s="237">
        <v>12.0</v>
      </c>
      <c r="I26" s="237">
        <v>-4.0</v>
      </c>
      <c r="J26" s="237">
        <v>7.0</v>
      </c>
      <c r="K26" s="237">
        <v>11.0</v>
      </c>
      <c r="L26" s="237">
        <v>-4.0</v>
      </c>
      <c r="M26" s="237">
        <v>30.0</v>
      </c>
      <c r="N26" s="237">
        <v>30.0</v>
      </c>
      <c r="O26" s="1"/>
    </row>
    <row r="27">
      <c r="A27" s="260" t="str">
        <f t="shared" si="1"/>
        <v>Romagnoli</v>
      </c>
      <c r="B27" s="237">
        <v>460.0</v>
      </c>
      <c r="C27" s="236" t="s">
        <v>480</v>
      </c>
      <c r="D27" s="236" t="s">
        <v>481</v>
      </c>
      <c r="E27" s="236" t="s">
        <v>868</v>
      </c>
      <c r="F27" s="236" t="s">
        <v>1000</v>
      </c>
      <c r="G27" s="237">
        <v>8.0</v>
      </c>
      <c r="H27" s="237">
        <v>8.0</v>
      </c>
      <c r="I27" s="237">
        <v>0.0</v>
      </c>
      <c r="J27" s="237">
        <v>8.0</v>
      </c>
      <c r="K27" s="237">
        <v>8.0</v>
      </c>
      <c r="L27" s="237">
        <v>0.0</v>
      </c>
      <c r="M27" s="237">
        <v>21.0</v>
      </c>
      <c r="N27" s="237">
        <v>21.0</v>
      </c>
      <c r="O27" s="1"/>
    </row>
    <row r="28">
      <c r="A28" s="260" t="str">
        <f t="shared" si="1"/>
        <v>Sanabria</v>
      </c>
      <c r="B28" s="237">
        <v>479.0</v>
      </c>
      <c r="C28" s="236" t="s">
        <v>507</v>
      </c>
      <c r="D28" s="236" t="s">
        <v>512</v>
      </c>
      <c r="E28" s="236" t="s">
        <v>889</v>
      </c>
      <c r="F28" s="236" t="s">
        <v>995</v>
      </c>
      <c r="G28" s="237">
        <v>6.0</v>
      </c>
      <c r="H28" s="237">
        <v>7.0</v>
      </c>
      <c r="I28" s="237">
        <v>-1.0</v>
      </c>
      <c r="J28" s="237">
        <v>6.0</v>
      </c>
      <c r="K28" s="237">
        <v>6.0</v>
      </c>
      <c r="L28" s="237">
        <v>0.0</v>
      </c>
      <c r="M28" s="237">
        <v>10.0</v>
      </c>
      <c r="N28" s="237">
        <v>10.0</v>
      </c>
      <c r="O28" s="1"/>
    </row>
    <row r="29">
      <c r="A29" s="260" t="str">
        <f t="shared" si="1"/>
        <v>De Silvestri</v>
      </c>
      <c r="B29" s="237">
        <v>487.0</v>
      </c>
      <c r="C29" s="236" t="s">
        <v>480</v>
      </c>
      <c r="D29" s="236" t="s">
        <v>938</v>
      </c>
      <c r="E29" s="236" t="s">
        <v>1043</v>
      </c>
      <c r="F29" s="236" t="s">
        <v>1009</v>
      </c>
      <c r="G29" s="237">
        <v>2.0</v>
      </c>
      <c r="H29" s="237">
        <v>4.0</v>
      </c>
      <c r="I29" s="237">
        <v>-2.0</v>
      </c>
      <c r="J29" s="237">
        <v>2.0</v>
      </c>
      <c r="K29" s="237">
        <v>4.0</v>
      </c>
      <c r="L29" s="237">
        <v>-2.0</v>
      </c>
      <c r="M29" s="237">
        <v>8.0</v>
      </c>
      <c r="N29" s="237">
        <v>8.0</v>
      </c>
      <c r="O29" s="1"/>
    </row>
    <row r="30">
      <c r="A30" s="260" t="str">
        <f t="shared" si="1"/>
        <v>Bonazzoli</v>
      </c>
      <c r="B30" s="237">
        <v>505.0</v>
      </c>
      <c r="C30" s="236" t="s">
        <v>507</v>
      </c>
      <c r="D30" s="236" t="s">
        <v>507</v>
      </c>
      <c r="E30" s="236" t="s">
        <v>1012</v>
      </c>
      <c r="F30" s="236" t="s">
        <v>995</v>
      </c>
      <c r="G30" s="237">
        <v>20.0</v>
      </c>
      <c r="H30" s="237">
        <v>1.0</v>
      </c>
      <c r="I30" s="237">
        <v>19.0</v>
      </c>
      <c r="J30" s="237">
        <v>20.0</v>
      </c>
      <c r="K30" s="237">
        <v>1.0</v>
      </c>
      <c r="L30" s="237">
        <v>19.0</v>
      </c>
      <c r="M30" s="237">
        <v>22.0</v>
      </c>
      <c r="N30" s="237">
        <v>22.0</v>
      </c>
      <c r="O30" s="1"/>
    </row>
    <row r="31">
      <c r="A31" s="260" t="str">
        <f t="shared" si="1"/>
        <v>Perilli</v>
      </c>
      <c r="B31" s="237">
        <v>511.0</v>
      </c>
      <c r="C31" s="236" t="s">
        <v>477</v>
      </c>
      <c r="D31" s="236" t="s">
        <v>478</v>
      </c>
      <c r="E31" s="236" t="s">
        <v>1148</v>
      </c>
      <c r="F31" s="236" t="s">
        <v>983</v>
      </c>
      <c r="G31" s="237">
        <v>2.0</v>
      </c>
      <c r="H31" s="237">
        <v>1.0</v>
      </c>
      <c r="I31" s="237">
        <v>1.0</v>
      </c>
      <c r="J31" s="237">
        <v>2.0</v>
      </c>
      <c r="K31" s="237">
        <v>1.0</v>
      </c>
      <c r="L31" s="237">
        <v>1.0</v>
      </c>
      <c r="M31" s="237">
        <v>5.0</v>
      </c>
      <c r="N31" s="237">
        <v>5.0</v>
      </c>
      <c r="O31" s="1"/>
    </row>
    <row r="32">
      <c r="A32" s="260" t="str">
        <f t="shared" si="1"/>
        <v>Acerbi</v>
      </c>
      <c r="B32" s="237">
        <v>513.0</v>
      </c>
      <c r="C32" s="236" t="s">
        <v>480</v>
      </c>
      <c r="D32" s="236" t="s">
        <v>481</v>
      </c>
      <c r="E32" s="236" t="s">
        <v>744</v>
      </c>
      <c r="F32" s="236" t="s">
        <v>973</v>
      </c>
      <c r="G32" s="237">
        <v>5.0</v>
      </c>
      <c r="H32" s="237">
        <v>9.0</v>
      </c>
      <c r="I32" s="237">
        <v>-4.0</v>
      </c>
      <c r="J32" s="237">
        <v>5.0</v>
      </c>
      <c r="K32" s="237">
        <v>9.0</v>
      </c>
      <c r="L32" s="237">
        <v>-4.0</v>
      </c>
      <c r="M32" s="237">
        <v>10.0</v>
      </c>
      <c r="N32" s="237">
        <v>10.0</v>
      </c>
      <c r="O32" s="1"/>
    </row>
    <row r="33">
      <c r="A33" s="260" t="str">
        <f t="shared" si="1"/>
        <v>Pellegrini Lo.</v>
      </c>
      <c r="B33" s="237">
        <v>530.0</v>
      </c>
      <c r="C33" s="236" t="s">
        <v>492</v>
      </c>
      <c r="D33" s="236" t="s">
        <v>934</v>
      </c>
      <c r="E33" s="236" t="s">
        <v>281</v>
      </c>
      <c r="F33" s="236" t="s">
        <v>988</v>
      </c>
      <c r="G33" s="237">
        <v>15.0</v>
      </c>
      <c r="H33" s="237">
        <v>11.0</v>
      </c>
      <c r="I33" s="237">
        <v>4.0</v>
      </c>
      <c r="J33" s="237">
        <v>15.0</v>
      </c>
      <c r="K33" s="237">
        <v>11.0</v>
      </c>
      <c r="L33" s="237">
        <v>4.0</v>
      </c>
      <c r="M33" s="237">
        <v>29.0</v>
      </c>
      <c r="N33" s="237">
        <v>29.0</v>
      </c>
      <c r="O33" s="1"/>
    </row>
    <row r="34">
      <c r="A34" s="260" t="str">
        <f t="shared" si="1"/>
        <v>Berardi</v>
      </c>
      <c r="B34" s="237">
        <v>531.0</v>
      </c>
      <c r="C34" s="236" t="s">
        <v>507</v>
      </c>
      <c r="D34" s="236" t="s">
        <v>507</v>
      </c>
      <c r="E34" s="236" t="s">
        <v>958</v>
      </c>
      <c r="F34" s="236" t="s">
        <v>1005</v>
      </c>
      <c r="G34" s="237">
        <v>23.0</v>
      </c>
      <c r="H34" s="237">
        <v>21.0</v>
      </c>
      <c r="I34" s="237">
        <v>2.0</v>
      </c>
      <c r="J34" s="237">
        <v>23.0</v>
      </c>
      <c r="K34" s="237">
        <v>21.0</v>
      </c>
      <c r="L34" s="237">
        <v>2.0</v>
      </c>
      <c r="M34" s="237">
        <v>90.0</v>
      </c>
      <c r="N34" s="237">
        <v>90.0</v>
      </c>
      <c r="O34" s="1"/>
    </row>
    <row r="35">
      <c r="A35" s="260" t="str">
        <f t="shared" si="1"/>
        <v>Politano</v>
      </c>
      <c r="B35" s="237">
        <v>536.0</v>
      </c>
      <c r="C35" s="236" t="s">
        <v>492</v>
      </c>
      <c r="D35" s="236" t="s">
        <v>563</v>
      </c>
      <c r="E35" s="236" t="s">
        <v>887</v>
      </c>
      <c r="F35" s="236" t="s">
        <v>987</v>
      </c>
      <c r="G35" s="237">
        <v>10.0</v>
      </c>
      <c r="H35" s="237">
        <v>15.0</v>
      </c>
      <c r="I35" s="237">
        <v>-5.0</v>
      </c>
      <c r="J35" s="237">
        <v>10.0</v>
      </c>
      <c r="K35" s="237">
        <v>14.0</v>
      </c>
      <c r="L35" s="237">
        <v>-4.0</v>
      </c>
      <c r="M35" s="237">
        <v>25.0</v>
      </c>
      <c r="N35" s="237">
        <v>25.0</v>
      </c>
      <c r="O35" s="1"/>
    </row>
    <row r="36">
      <c r="A36" s="260" t="str">
        <f t="shared" si="1"/>
        <v>Padelli</v>
      </c>
      <c r="B36" s="237">
        <v>543.0</v>
      </c>
      <c r="C36" s="236" t="s">
        <v>477</v>
      </c>
      <c r="D36" s="236" t="s">
        <v>478</v>
      </c>
      <c r="E36" s="236" t="s">
        <v>1140</v>
      </c>
      <c r="F36" s="236" t="s">
        <v>993</v>
      </c>
      <c r="G36" s="237">
        <v>3.0</v>
      </c>
      <c r="H36" s="237">
        <v>1.0</v>
      </c>
      <c r="I36" s="237">
        <v>2.0</v>
      </c>
      <c r="J36" s="237">
        <v>3.0</v>
      </c>
      <c r="K36" s="237">
        <v>1.0</v>
      </c>
      <c r="L36" s="237">
        <v>2.0</v>
      </c>
      <c r="M36" s="237">
        <v>1.0</v>
      </c>
      <c r="N36" s="237">
        <v>1.0</v>
      </c>
      <c r="O36" s="1"/>
    </row>
    <row r="37">
      <c r="A37" s="260" t="str">
        <f t="shared" si="1"/>
        <v>Zappacosta</v>
      </c>
      <c r="B37" s="237">
        <v>554.0</v>
      </c>
      <c r="C37" s="236" t="s">
        <v>480</v>
      </c>
      <c r="D37" s="236" t="s">
        <v>521</v>
      </c>
      <c r="E37" s="236" t="s">
        <v>138</v>
      </c>
      <c r="F37" s="236" t="s">
        <v>980</v>
      </c>
      <c r="G37" s="237">
        <v>8.0</v>
      </c>
      <c r="H37" s="237">
        <v>13.0</v>
      </c>
      <c r="I37" s="237">
        <v>-5.0</v>
      </c>
      <c r="J37" s="237">
        <v>8.0</v>
      </c>
      <c r="K37" s="237">
        <v>12.0</v>
      </c>
      <c r="L37" s="237">
        <v>-4.0</v>
      </c>
      <c r="M37" s="237">
        <v>20.0</v>
      </c>
      <c r="N37" s="237">
        <v>20.0</v>
      </c>
      <c r="O37" s="1"/>
    </row>
    <row r="38">
      <c r="A38" s="260" t="str">
        <f t="shared" si="1"/>
        <v>Meret</v>
      </c>
      <c r="B38" s="237">
        <v>572.0</v>
      </c>
      <c r="C38" s="236" t="s">
        <v>477</v>
      </c>
      <c r="D38" s="236" t="s">
        <v>478</v>
      </c>
      <c r="E38" s="236" t="s">
        <v>634</v>
      </c>
      <c r="F38" s="236" t="s">
        <v>987</v>
      </c>
      <c r="G38" s="237">
        <v>8.0</v>
      </c>
      <c r="H38" s="237">
        <v>16.0</v>
      </c>
      <c r="I38" s="237">
        <v>-8.0</v>
      </c>
      <c r="J38" s="237">
        <v>8.0</v>
      </c>
      <c r="K38" s="237">
        <v>16.0</v>
      </c>
      <c r="L38" s="237">
        <v>-8.0</v>
      </c>
      <c r="M38" s="237">
        <v>27.0</v>
      </c>
      <c r="N38" s="237">
        <v>27.0</v>
      </c>
      <c r="O38" s="1"/>
    </row>
    <row r="39">
      <c r="A39" s="260" t="str">
        <f t="shared" si="1"/>
        <v>Scuffet</v>
      </c>
      <c r="B39" s="237">
        <v>574.0</v>
      </c>
      <c r="C39" s="236" t="s">
        <v>477</v>
      </c>
      <c r="D39" s="236" t="s">
        <v>478</v>
      </c>
      <c r="E39" s="236" t="s">
        <v>651</v>
      </c>
      <c r="F39" s="236" t="s">
        <v>977</v>
      </c>
      <c r="G39" s="237">
        <v>2.0</v>
      </c>
      <c r="H39" s="237">
        <v>3.0</v>
      </c>
      <c r="I39" s="237">
        <v>-1.0</v>
      </c>
      <c r="J39" s="237">
        <v>2.0</v>
      </c>
      <c r="K39" s="237">
        <v>3.0</v>
      </c>
      <c r="L39" s="237">
        <v>-1.0</v>
      </c>
      <c r="M39" s="237">
        <v>6.0</v>
      </c>
      <c r="N39" s="237">
        <v>6.0</v>
      </c>
      <c r="O39" s="1"/>
    </row>
    <row r="40">
      <c r="A40" s="260" t="str">
        <f t="shared" si="1"/>
        <v>Zapata D.</v>
      </c>
      <c r="B40" s="237">
        <v>608.0</v>
      </c>
      <c r="C40" s="236" t="s">
        <v>507</v>
      </c>
      <c r="D40" s="236" t="s">
        <v>512</v>
      </c>
      <c r="E40" s="236" t="s">
        <v>743</v>
      </c>
      <c r="F40" s="236" t="s">
        <v>972</v>
      </c>
      <c r="G40" s="237">
        <v>6.0</v>
      </c>
      <c r="H40" s="237">
        <v>20.0</v>
      </c>
      <c r="I40" s="237">
        <v>-14.0</v>
      </c>
      <c r="J40" s="237">
        <v>6.0</v>
      </c>
      <c r="K40" s="237">
        <v>20.0</v>
      </c>
      <c r="L40" s="237">
        <v>-14.0</v>
      </c>
      <c r="M40" s="237">
        <v>14.0</v>
      </c>
      <c r="N40" s="237">
        <v>11.0</v>
      </c>
      <c r="O40" s="1"/>
    </row>
    <row r="41">
      <c r="A41" s="260" t="str">
        <f t="shared" si="1"/>
        <v>Gollini</v>
      </c>
      <c r="B41" s="237">
        <v>610.0</v>
      </c>
      <c r="C41" s="236" t="s">
        <v>477</v>
      </c>
      <c r="D41" s="236" t="s">
        <v>478</v>
      </c>
      <c r="E41" s="236" t="s">
        <v>135</v>
      </c>
      <c r="F41" s="236" t="s">
        <v>988</v>
      </c>
      <c r="G41" s="237">
        <v>1.0</v>
      </c>
      <c r="H41" s="237">
        <v>1.0</v>
      </c>
      <c r="I41" s="237">
        <v>0.0</v>
      </c>
      <c r="J41" s="237">
        <v>1.0</v>
      </c>
      <c r="K41" s="237">
        <v>1.0</v>
      </c>
      <c r="L41" s="237">
        <v>0.0</v>
      </c>
      <c r="M41" s="237">
        <v>1.0</v>
      </c>
      <c r="N41" s="237">
        <v>1.0</v>
      </c>
      <c r="O41" s="1"/>
    </row>
    <row r="42">
      <c r="A42" s="260" t="str">
        <f t="shared" si="1"/>
        <v>Bianchetti</v>
      </c>
      <c r="B42" s="237">
        <v>612.0</v>
      </c>
      <c r="C42" s="236" t="s">
        <v>480</v>
      </c>
      <c r="D42" s="236" t="s">
        <v>481</v>
      </c>
      <c r="E42" s="236" t="s">
        <v>1010</v>
      </c>
      <c r="F42" s="236" t="s">
        <v>995</v>
      </c>
      <c r="G42" s="237">
        <v>6.0</v>
      </c>
      <c r="H42" s="237">
        <v>3.0</v>
      </c>
      <c r="I42" s="237">
        <v>3.0</v>
      </c>
      <c r="J42" s="237">
        <v>6.0</v>
      </c>
      <c r="K42" s="237">
        <v>3.0</v>
      </c>
      <c r="L42" s="237">
        <v>3.0</v>
      </c>
      <c r="M42" s="237">
        <v>12.0</v>
      </c>
      <c r="N42" s="237">
        <v>12.0</v>
      </c>
      <c r="O42" s="1"/>
    </row>
    <row r="43">
      <c r="A43" s="260" t="str">
        <f t="shared" si="1"/>
        <v>Zaccagni</v>
      </c>
      <c r="B43" s="237">
        <v>632.0</v>
      </c>
      <c r="C43" s="236" t="s">
        <v>492</v>
      </c>
      <c r="D43" s="236" t="s">
        <v>935</v>
      </c>
      <c r="E43" s="236" t="s">
        <v>752</v>
      </c>
      <c r="F43" s="236" t="s">
        <v>1000</v>
      </c>
      <c r="G43" s="237">
        <v>13.0</v>
      </c>
      <c r="H43" s="237">
        <v>26.0</v>
      </c>
      <c r="I43" s="237">
        <v>-13.0</v>
      </c>
      <c r="J43" s="237">
        <v>13.0</v>
      </c>
      <c r="K43" s="237">
        <v>25.0</v>
      </c>
      <c r="L43" s="237">
        <v>-12.0</v>
      </c>
      <c r="M43" s="237">
        <v>65.0</v>
      </c>
      <c r="N43" s="237">
        <v>65.0</v>
      </c>
      <c r="O43" s="1"/>
    </row>
    <row r="44">
      <c r="A44" s="260" t="str">
        <f t="shared" si="1"/>
        <v>Cuadrado</v>
      </c>
      <c r="B44" s="237">
        <v>697.0</v>
      </c>
      <c r="C44" s="236" t="s">
        <v>480</v>
      </c>
      <c r="D44" s="236" t="s">
        <v>521</v>
      </c>
      <c r="E44" s="236" t="s">
        <v>825</v>
      </c>
      <c r="F44" s="236" t="s">
        <v>977</v>
      </c>
      <c r="G44" s="237">
        <v>7.0</v>
      </c>
      <c r="H44" s="237">
        <v>7.0</v>
      </c>
      <c r="I44" s="237">
        <v>0.0</v>
      </c>
      <c r="J44" s="237">
        <v>7.0</v>
      </c>
      <c r="K44" s="237">
        <v>6.0</v>
      </c>
      <c r="L44" s="237">
        <v>1.0</v>
      </c>
      <c r="M44" s="237">
        <v>8.0</v>
      </c>
      <c r="N44" s="237">
        <v>8.0</v>
      </c>
      <c r="O44" s="1"/>
    </row>
    <row r="45">
      <c r="A45" s="260" t="str">
        <f t="shared" si="1"/>
        <v>Audero</v>
      </c>
      <c r="B45" s="237">
        <v>761.0</v>
      </c>
      <c r="C45" s="236" t="s">
        <v>477</v>
      </c>
      <c r="D45" s="236" t="s">
        <v>478</v>
      </c>
      <c r="E45" s="236" t="s">
        <v>994</v>
      </c>
      <c r="F45" s="236" t="s">
        <v>995</v>
      </c>
      <c r="G45" s="237">
        <v>14.0</v>
      </c>
      <c r="H45" s="237">
        <v>5.0</v>
      </c>
      <c r="I45" s="237">
        <v>9.0</v>
      </c>
      <c r="J45" s="237">
        <v>14.0</v>
      </c>
      <c r="K45" s="237">
        <v>5.0</v>
      </c>
      <c r="L45" s="237">
        <v>9.0</v>
      </c>
      <c r="M45" s="237">
        <v>11.0</v>
      </c>
      <c r="N45" s="237">
        <v>11.0</v>
      </c>
      <c r="O45" s="1"/>
    </row>
    <row r="46">
      <c r="A46" s="260" t="str">
        <f t="shared" si="1"/>
        <v>Pezzella Giu.</v>
      </c>
      <c r="B46" s="237">
        <v>770.0</v>
      </c>
      <c r="C46" s="236" t="s">
        <v>480</v>
      </c>
      <c r="D46" s="236" t="s">
        <v>931</v>
      </c>
      <c r="E46" s="236" t="s">
        <v>801</v>
      </c>
      <c r="F46" s="236" t="s">
        <v>995</v>
      </c>
      <c r="G46" s="237">
        <v>4.0</v>
      </c>
      <c r="H46" s="237">
        <v>5.0</v>
      </c>
      <c r="I46" s="237">
        <v>-1.0</v>
      </c>
      <c r="J46" s="237">
        <v>4.0</v>
      </c>
      <c r="K46" s="237">
        <v>5.0</v>
      </c>
      <c r="L46" s="237">
        <v>-1.0</v>
      </c>
      <c r="M46" s="237">
        <v>11.0</v>
      </c>
      <c r="N46" s="237">
        <v>11.0</v>
      </c>
      <c r="O46" s="1"/>
    </row>
    <row r="47">
      <c r="A47" s="260" t="str">
        <f t="shared" si="1"/>
        <v>Cristante</v>
      </c>
      <c r="B47" s="237">
        <v>779.0</v>
      </c>
      <c r="C47" s="236" t="s">
        <v>492</v>
      </c>
      <c r="D47" s="236" t="s">
        <v>930</v>
      </c>
      <c r="E47" s="236" t="s">
        <v>747</v>
      </c>
      <c r="F47" s="236" t="s">
        <v>988</v>
      </c>
      <c r="G47" s="237">
        <v>12.0</v>
      </c>
      <c r="H47" s="237">
        <v>9.0</v>
      </c>
      <c r="I47" s="237">
        <v>3.0</v>
      </c>
      <c r="J47" s="237">
        <v>12.0</v>
      </c>
      <c r="K47" s="237">
        <v>9.0</v>
      </c>
      <c r="L47" s="237">
        <v>3.0</v>
      </c>
      <c r="M47" s="237">
        <v>28.0</v>
      </c>
      <c r="N47" s="237">
        <v>33.0</v>
      </c>
      <c r="O47" s="1"/>
    </row>
    <row r="48">
      <c r="A48" s="260" t="str">
        <f t="shared" si="1"/>
        <v>Djimsiti</v>
      </c>
      <c r="B48" s="237">
        <v>787.0</v>
      </c>
      <c r="C48" s="236" t="s">
        <v>480</v>
      </c>
      <c r="D48" s="236" t="s">
        <v>481</v>
      </c>
      <c r="E48" s="236" t="s">
        <v>693</v>
      </c>
      <c r="F48" s="236" t="s">
        <v>980</v>
      </c>
      <c r="G48" s="237">
        <v>6.0</v>
      </c>
      <c r="H48" s="237">
        <v>8.0</v>
      </c>
      <c r="I48" s="237">
        <v>-2.0</v>
      </c>
      <c r="J48" s="237">
        <v>6.0</v>
      </c>
      <c r="K48" s="237">
        <v>8.0</v>
      </c>
      <c r="L48" s="237">
        <v>-2.0</v>
      </c>
      <c r="M48" s="237">
        <v>15.0</v>
      </c>
      <c r="N48" s="237">
        <v>15.0</v>
      </c>
      <c r="O48" s="1"/>
    </row>
    <row r="49">
      <c r="A49" s="260" t="str">
        <f t="shared" si="1"/>
        <v>Freuler</v>
      </c>
      <c r="B49" s="237">
        <v>788.0</v>
      </c>
      <c r="C49" s="236" t="s">
        <v>492</v>
      </c>
      <c r="D49" s="236" t="s">
        <v>930</v>
      </c>
      <c r="E49" s="236" t="s">
        <v>821</v>
      </c>
      <c r="F49" s="236" t="s">
        <v>1009</v>
      </c>
      <c r="G49" s="237">
        <v>5.0</v>
      </c>
      <c r="H49" s="237">
        <v>11.0</v>
      </c>
      <c r="I49" s="237">
        <v>-6.0</v>
      </c>
      <c r="J49" s="237">
        <v>5.0</v>
      </c>
      <c r="K49" s="237">
        <v>12.0</v>
      </c>
      <c r="L49" s="237">
        <v>-7.0</v>
      </c>
      <c r="M49" s="237">
        <v>16.0</v>
      </c>
      <c r="N49" s="237">
        <v>21.0</v>
      </c>
      <c r="O49" s="1"/>
    </row>
    <row r="50">
      <c r="A50" s="260" t="str">
        <f t="shared" si="1"/>
        <v>Sabelli</v>
      </c>
      <c r="B50" s="237">
        <v>791.0</v>
      </c>
      <c r="C50" s="236" t="s">
        <v>480</v>
      </c>
      <c r="D50" s="236" t="s">
        <v>944</v>
      </c>
      <c r="E50" s="236" t="s">
        <v>806</v>
      </c>
      <c r="F50" s="236" t="s">
        <v>1026</v>
      </c>
      <c r="G50" s="237">
        <v>2.0</v>
      </c>
      <c r="H50" s="237">
        <v>5.0</v>
      </c>
      <c r="I50" s="237">
        <v>-3.0</v>
      </c>
      <c r="J50" s="237">
        <v>2.0</v>
      </c>
      <c r="K50" s="237">
        <v>5.0</v>
      </c>
      <c r="L50" s="237">
        <v>-3.0</v>
      </c>
      <c r="M50" s="237">
        <v>10.0</v>
      </c>
      <c r="N50" s="237">
        <v>12.0</v>
      </c>
      <c r="O50" s="1"/>
    </row>
    <row r="51">
      <c r="A51" s="260" t="str">
        <f t="shared" si="1"/>
        <v>El Shaarawy</v>
      </c>
      <c r="B51" s="237">
        <v>795.0</v>
      </c>
      <c r="C51" s="236" t="s">
        <v>492</v>
      </c>
      <c r="D51" s="236" t="s">
        <v>563</v>
      </c>
      <c r="E51" s="236" t="s">
        <v>778</v>
      </c>
      <c r="F51" s="236" t="s">
        <v>988</v>
      </c>
      <c r="G51" s="237">
        <v>7.0</v>
      </c>
      <c r="H51" s="237">
        <v>8.0</v>
      </c>
      <c r="I51" s="237">
        <v>-1.0</v>
      </c>
      <c r="J51" s="237">
        <v>7.0</v>
      </c>
      <c r="K51" s="237">
        <v>7.0</v>
      </c>
      <c r="L51" s="237">
        <v>0.0</v>
      </c>
      <c r="M51" s="237">
        <v>12.0</v>
      </c>
      <c r="N51" s="237">
        <v>12.0</v>
      </c>
      <c r="O51" s="1"/>
    </row>
    <row r="52">
      <c r="A52" s="260" t="str">
        <f t="shared" si="1"/>
        <v>Gagliardini</v>
      </c>
      <c r="B52" s="237">
        <v>801.0</v>
      </c>
      <c r="C52" s="236" t="s">
        <v>492</v>
      </c>
      <c r="D52" s="236" t="s">
        <v>930</v>
      </c>
      <c r="E52" s="236" t="s">
        <v>1237</v>
      </c>
      <c r="F52" s="236" t="s">
        <v>983</v>
      </c>
      <c r="G52" s="237">
        <v>8.0</v>
      </c>
      <c r="H52" s="237">
        <v>2.0</v>
      </c>
      <c r="I52" s="237">
        <v>6.0</v>
      </c>
      <c r="J52" s="237">
        <v>8.0</v>
      </c>
      <c r="K52" s="237">
        <v>2.0</v>
      </c>
      <c r="L52" s="237">
        <v>6.0</v>
      </c>
      <c r="M52" s="237">
        <v>6.0</v>
      </c>
      <c r="N52" s="237">
        <v>8.0</v>
      </c>
      <c r="O52" s="1"/>
    </row>
    <row r="53">
      <c r="A53" s="260" t="str">
        <f t="shared" si="1"/>
        <v>Locatelli</v>
      </c>
      <c r="B53" s="237">
        <v>827.0</v>
      </c>
      <c r="C53" s="236" t="s">
        <v>492</v>
      </c>
      <c r="D53" s="236" t="s">
        <v>930</v>
      </c>
      <c r="E53" s="236" t="s">
        <v>789</v>
      </c>
      <c r="F53" s="236" t="s">
        <v>976</v>
      </c>
      <c r="G53" s="237">
        <v>14.0</v>
      </c>
      <c r="H53" s="237">
        <v>12.0</v>
      </c>
      <c r="I53" s="237">
        <v>2.0</v>
      </c>
      <c r="J53" s="237">
        <v>14.0</v>
      </c>
      <c r="K53" s="237">
        <v>13.0</v>
      </c>
      <c r="L53" s="237">
        <v>1.0</v>
      </c>
      <c r="M53" s="237">
        <v>47.0</v>
      </c>
      <c r="N53" s="237">
        <v>52.0</v>
      </c>
      <c r="O53" s="1"/>
    </row>
    <row r="54">
      <c r="A54" s="260" t="str">
        <f t="shared" si="1"/>
        <v>Spinazzola</v>
      </c>
      <c r="B54" s="237">
        <v>1852.0</v>
      </c>
      <c r="C54" s="236" t="s">
        <v>480</v>
      </c>
      <c r="D54" s="236" t="s">
        <v>931</v>
      </c>
      <c r="E54" s="236" t="s">
        <v>678</v>
      </c>
      <c r="F54" s="236" t="s">
        <v>987</v>
      </c>
      <c r="G54" s="237">
        <v>20.0</v>
      </c>
      <c r="H54" s="237">
        <v>7.0</v>
      </c>
      <c r="I54" s="237">
        <v>13.0</v>
      </c>
      <c r="J54" s="237">
        <v>20.0</v>
      </c>
      <c r="K54" s="237">
        <v>7.0</v>
      </c>
      <c r="L54" s="237">
        <v>13.0</v>
      </c>
      <c r="M54" s="237">
        <v>48.0</v>
      </c>
      <c r="N54" s="237">
        <v>48.0</v>
      </c>
      <c r="O54" s="1"/>
    </row>
    <row r="55">
      <c r="A55" s="260" t="str">
        <f t="shared" si="1"/>
        <v>Barella</v>
      </c>
      <c r="B55" s="237">
        <v>1870.0</v>
      </c>
      <c r="C55" s="236" t="s">
        <v>492</v>
      </c>
      <c r="D55" s="236" t="s">
        <v>492</v>
      </c>
      <c r="E55" s="236" t="s">
        <v>610</v>
      </c>
      <c r="F55" s="236" t="s">
        <v>973</v>
      </c>
      <c r="G55" s="237">
        <v>16.0</v>
      </c>
      <c r="H55" s="237">
        <v>14.0</v>
      </c>
      <c r="I55" s="237">
        <v>2.0</v>
      </c>
      <c r="J55" s="237">
        <v>16.0</v>
      </c>
      <c r="K55" s="237">
        <v>14.0</v>
      </c>
      <c r="L55" s="237">
        <v>2.0</v>
      </c>
      <c r="M55" s="237">
        <v>61.0</v>
      </c>
      <c r="N55" s="237">
        <v>61.0</v>
      </c>
      <c r="O55" s="1"/>
    </row>
    <row r="56">
      <c r="A56" s="260" t="str">
        <f t="shared" si="1"/>
        <v>Deiola</v>
      </c>
      <c r="B56" s="237">
        <v>1871.0</v>
      </c>
      <c r="C56" s="236" t="s">
        <v>492</v>
      </c>
      <c r="D56" s="236" t="s">
        <v>930</v>
      </c>
      <c r="E56" s="236" t="s">
        <v>1044</v>
      </c>
      <c r="F56" s="236" t="s">
        <v>975</v>
      </c>
      <c r="G56" s="237">
        <v>5.0</v>
      </c>
      <c r="H56" s="237">
        <v>5.0</v>
      </c>
      <c r="I56" s="237">
        <v>0.0</v>
      </c>
      <c r="J56" s="237">
        <v>5.0</v>
      </c>
      <c r="K56" s="237">
        <v>5.0</v>
      </c>
      <c r="L56" s="237">
        <v>0.0</v>
      </c>
      <c r="M56" s="237">
        <v>14.0</v>
      </c>
      <c r="N56" s="237">
        <v>17.0</v>
      </c>
      <c r="O56" s="1"/>
    </row>
    <row r="57">
      <c r="A57" s="260" t="str">
        <f t="shared" si="1"/>
        <v>Ceccherini</v>
      </c>
      <c r="B57" s="237">
        <v>1891.0</v>
      </c>
      <c r="C57" s="236" t="s">
        <v>480</v>
      </c>
      <c r="D57" s="236" t="s">
        <v>937</v>
      </c>
      <c r="E57" s="236" t="s">
        <v>1028</v>
      </c>
      <c r="F57" s="236" t="s">
        <v>995</v>
      </c>
      <c r="G57" s="237">
        <v>2.0</v>
      </c>
      <c r="H57" s="237">
        <v>4.0</v>
      </c>
      <c r="I57" s="237">
        <v>-2.0</v>
      </c>
      <c r="J57" s="237">
        <v>2.0</v>
      </c>
      <c r="K57" s="237">
        <v>4.0</v>
      </c>
      <c r="L57" s="237">
        <v>-2.0</v>
      </c>
      <c r="M57" s="237">
        <v>8.0</v>
      </c>
      <c r="N57" s="237">
        <v>10.0</v>
      </c>
      <c r="O57" s="1"/>
    </row>
    <row r="58">
      <c r="A58" s="260" t="str">
        <f t="shared" si="1"/>
        <v>Di Gennaro</v>
      </c>
      <c r="B58" s="237">
        <v>1926.0</v>
      </c>
      <c r="C58" s="236" t="s">
        <v>477</v>
      </c>
      <c r="D58" s="236" t="s">
        <v>478</v>
      </c>
      <c r="E58" s="236" t="s">
        <v>834</v>
      </c>
      <c r="F58" s="236" t="s">
        <v>973</v>
      </c>
      <c r="G58" s="237">
        <v>1.0</v>
      </c>
      <c r="H58" s="237">
        <v>1.0</v>
      </c>
      <c r="I58" s="237">
        <v>0.0</v>
      </c>
      <c r="J58" s="237">
        <v>1.0</v>
      </c>
      <c r="K58" s="237">
        <v>1.0</v>
      </c>
      <c r="L58" s="237">
        <v>0.0</v>
      </c>
      <c r="M58" s="237">
        <v>1.0</v>
      </c>
      <c r="N58" s="237">
        <v>1.0</v>
      </c>
      <c r="O58" s="1"/>
    </row>
    <row r="59">
      <c r="A59" s="260" t="str">
        <f t="shared" si="1"/>
        <v>Pinsoglio</v>
      </c>
      <c r="B59" s="237">
        <v>1930.0</v>
      </c>
      <c r="C59" s="236" t="s">
        <v>477</v>
      </c>
      <c r="D59" s="236" t="s">
        <v>478</v>
      </c>
      <c r="E59" s="236" t="s">
        <v>805</v>
      </c>
      <c r="F59" s="236" t="s">
        <v>976</v>
      </c>
      <c r="G59" s="237">
        <v>1.0</v>
      </c>
      <c r="H59" s="237">
        <v>1.0</v>
      </c>
      <c r="I59" s="237">
        <v>0.0</v>
      </c>
      <c r="J59" s="237">
        <v>1.0</v>
      </c>
      <c r="K59" s="237">
        <v>1.0</v>
      </c>
      <c r="L59" s="237">
        <v>0.0</v>
      </c>
      <c r="M59" s="237">
        <v>1.0</v>
      </c>
      <c r="N59" s="237">
        <v>1.0</v>
      </c>
      <c r="O59" s="1"/>
    </row>
    <row r="60">
      <c r="A60" s="260" t="str">
        <f t="shared" si="1"/>
        <v>Mandragora</v>
      </c>
      <c r="B60" s="237">
        <v>1933.0</v>
      </c>
      <c r="C60" s="236" t="s">
        <v>492</v>
      </c>
      <c r="D60" s="236" t="s">
        <v>930</v>
      </c>
      <c r="E60" s="236" t="s">
        <v>884</v>
      </c>
      <c r="F60" s="236" t="s">
        <v>1033</v>
      </c>
      <c r="G60" s="237">
        <v>19.0</v>
      </c>
      <c r="H60" s="237">
        <v>14.0</v>
      </c>
      <c r="I60" s="237">
        <v>5.0</v>
      </c>
      <c r="J60" s="237">
        <v>19.0</v>
      </c>
      <c r="K60" s="237">
        <v>14.0</v>
      </c>
      <c r="L60" s="237">
        <v>5.0</v>
      </c>
      <c r="M60" s="237">
        <v>76.0</v>
      </c>
      <c r="N60" s="237">
        <v>86.0</v>
      </c>
      <c r="O60" s="1"/>
    </row>
    <row r="61">
      <c r="A61" s="260" t="str">
        <f t="shared" si="1"/>
        <v>Mazzitelli</v>
      </c>
      <c r="B61" s="237">
        <v>1976.0</v>
      </c>
      <c r="C61" s="236" t="s">
        <v>492</v>
      </c>
      <c r="D61" s="236" t="s">
        <v>930</v>
      </c>
      <c r="E61" s="236" t="s">
        <v>280</v>
      </c>
      <c r="F61" s="236" t="s">
        <v>975</v>
      </c>
      <c r="G61" s="237">
        <v>13.0</v>
      </c>
      <c r="H61" s="237">
        <v>5.0</v>
      </c>
      <c r="I61" s="237">
        <v>8.0</v>
      </c>
      <c r="J61" s="237">
        <v>13.0</v>
      </c>
      <c r="K61" s="237">
        <v>5.0</v>
      </c>
      <c r="L61" s="237">
        <v>8.0</v>
      </c>
      <c r="M61" s="237">
        <v>17.0</v>
      </c>
      <c r="N61" s="237">
        <v>22.0</v>
      </c>
      <c r="O61" s="1"/>
    </row>
    <row r="62">
      <c r="A62" s="260" t="str">
        <f t="shared" si="1"/>
        <v>Lirola</v>
      </c>
      <c r="B62" s="237">
        <v>2006.0</v>
      </c>
      <c r="C62" s="236" t="s">
        <v>480</v>
      </c>
      <c r="D62" s="236" t="s">
        <v>1019</v>
      </c>
      <c r="E62" s="236" t="s">
        <v>1444</v>
      </c>
      <c r="F62" s="236" t="s">
        <v>983</v>
      </c>
      <c r="G62" s="237">
        <v>4.0</v>
      </c>
      <c r="H62" s="237">
        <v>4.0</v>
      </c>
      <c r="I62" s="237">
        <v>0.0</v>
      </c>
      <c r="J62" s="237">
        <v>4.0</v>
      </c>
      <c r="K62" s="237">
        <v>4.0</v>
      </c>
      <c r="L62" s="237">
        <v>0.0</v>
      </c>
      <c r="M62" s="237">
        <v>11.0</v>
      </c>
      <c r="N62" s="237">
        <v>11.0</v>
      </c>
      <c r="O62" s="1"/>
    </row>
    <row r="63">
      <c r="A63" s="260" t="str">
        <f t="shared" si="1"/>
        <v>Milik</v>
      </c>
      <c r="B63" s="237">
        <v>2012.0</v>
      </c>
      <c r="C63" s="236" t="s">
        <v>507</v>
      </c>
      <c r="D63" s="236" t="s">
        <v>512</v>
      </c>
      <c r="E63" s="236" t="s">
        <v>1108</v>
      </c>
      <c r="F63" s="236" t="s">
        <v>976</v>
      </c>
      <c r="G63" s="237">
        <v>1.0</v>
      </c>
      <c r="H63" s="237">
        <v>1.0</v>
      </c>
      <c r="I63" s="237">
        <v>0.0</v>
      </c>
      <c r="J63" s="237">
        <v>1.0</v>
      </c>
      <c r="K63" s="237">
        <v>1.0</v>
      </c>
      <c r="L63" s="237">
        <v>0.0</v>
      </c>
      <c r="M63" s="237">
        <v>5.0</v>
      </c>
      <c r="N63" s="237">
        <v>3.0</v>
      </c>
      <c r="O63" s="1"/>
    </row>
    <row r="64">
      <c r="A64" s="260" t="str">
        <f t="shared" si="1"/>
        <v>Pinamonti</v>
      </c>
      <c r="B64" s="237">
        <v>2038.0</v>
      </c>
      <c r="C64" s="236" t="s">
        <v>507</v>
      </c>
      <c r="D64" s="236" t="s">
        <v>512</v>
      </c>
      <c r="E64" s="236" t="s">
        <v>740</v>
      </c>
      <c r="F64" s="236" t="s">
        <v>1005</v>
      </c>
      <c r="G64" s="237">
        <v>14.0</v>
      </c>
      <c r="H64" s="237">
        <v>16.0</v>
      </c>
      <c r="I64" s="237">
        <v>-2.0</v>
      </c>
      <c r="J64" s="237">
        <v>14.0</v>
      </c>
      <c r="K64" s="237">
        <v>16.0</v>
      </c>
      <c r="L64" s="237">
        <v>-2.0</v>
      </c>
      <c r="M64" s="237">
        <v>46.0</v>
      </c>
      <c r="N64" s="237">
        <v>43.0</v>
      </c>
      <c r="O64" s="1"/>
    </row>
    <row r="65">
      <c r="A65" s="260" t="str">
        <f t="shared" si="1"/>
        <v>Simeone</v>
      </c>
      <c r="B65" s="237">
        <v>2061.0</v>
      </c>
      <c r="C65" s="236" t="s">
        <v>507</v>
      </c>
      <c r="D65" s="236" t="s">
        <v>512</v>
      </c>
      <c r="E65" s="236" t="s">
        <v>1180</v>
      </c>
      <c r="F65" s="236" t="s">
        <v>972</v>
      </c>
      <c r="G65" s="237">
        <v>18.0</v>
      </c>
      <c r="H65" s="237">
        <v>8.0</v>
      </c>
      <c r="I65" s="237">
        <v>10.0</v>
      </c>
      <c r="J65" s="237">
        <v>18.0</v>
      </c>
      <c r="K65" s="237">
        <v>7.0</v>
      </c>
      <c r="L65" s="237">
        <v>11.0</v>
      </c>
      <c r="M65" s="237">
        <v>57.0</v>
      </c>
      <c r="N65" s="237">
        <v>54.0</v>
      </c>
      <c r="O65" s="1"/>
    </row>
    <row r="66">
      <c r="A66" s="260" t="str">
        <f t="shared" si="1"/>
        <v>Pasalic</v>
      </c>
      <c r="B66" s="237">
        <v>2077.0</v>
      </c>
      <c r="C66" s="236" t="s">
        <v>492</v>
      </c>
      <c r="D66" s="236" t="s">
        <v>934</v>
      </c>
      <c r="E66" s="236" t="s">
        <v>803</v>
      </c>
      <c r="F66" s="236" t="s">
        <v>980</v>
      </c>
      <c r="G66" s="237">
        <v>12.0</v>
      </c>
      <c r="H66" s="237">
        <v>9.0</v>
      </c>
      <c r="I66" s="237">
        <v>3.0</v>
      </c>
      <c r="J66" s="237">
        <v>12.0</v>
      </c>
      <c r="K66" s="237">
        <v>9.0</v>
      </c>
      <c r="L66" s="237">
        <v>3.0</v>
      </c>
      <c r="M66" s="237">
        <v>21.0</v>
      </c>
      <c r="N66" s="237">
        <v>21.0</v>
      </c>
      <c r="O66" s="1"/>
    </row>
    <row r="67">
      <c r="A67" s="260" t="str">
        <f t="shared" si="1"/>
        <v>Kean</v>
      </c>
      <c r="B67" s="237">
        <v>2097.0</v>
      </c>
      <c r="C67" s="236" t="s">
        <v>507</v>
      </c>
      <c r="D67" s="236" t="s">
        <v>512</v>
      </c>
      <c r="E67" s="236" t="s">
        <v>108</v>
      </c>
      <c r="F67" s="236" t="s">
        <v>1033</v>
      </c>
      <c r="G67" s="237">
        <v>17.0</v>
      </c>
      <c r="H67" s="237">
        <v>33.0</v>
      </c>
      <c r="I67" s="237">
        <v>-16.0</v>
      </c>
      <c r="J67" s="237">
        <v>17.0</v>
      </c>
      <c r="K67" s="237">
        <v>33.0</v>
      </c>
      <c r="L67" s="237">
        <v>-16.0</v>
      </c>
      <c r="M67" s="237">
        <v>127.0</v>
      </c>
      <c r="N67" s="237">
        <v>127.0</v>
      </c>
      <c r="O67" s="1"/>
    </row>
    <row r="68">
      <c r="A68" s="260" t="str">
        <f t="shared" si="1"/>
        <v>Bastoni</v>
      </c>
      <c r="B68" s="237">
        <v>2120.0</v>
      </c>
      <c r="C68" s="236" t="s">
        <v>480</v>
      </c>
      <c r="D68" s="236" t="s">
        <v>481</v>
      </c>
      <c r="E68" s="236" t="s">
        <v>192</v>
      </c>
      <c r="F68" s="236" t="s">
        <v>973</v>
      </c>
      <c r="G68" s="237">
        <v>17.0</v>
      </c>
      <c r="H68" s="237">
        <v>16.0</v>
      </c>
      <c r="I68" s="237">
        <v>1.0</v>
      </c>
      <c r="J68" s="237">
        <v>17.0</v>
      </c>
      <c r="K68" s="237">
        <v>16.0</v>
      </c>
      <c r="L68" s="237">
        <v>1.0</v>
      </c>
      <c r="M68" s="237">
        <v>60.0</v>
      </c>
      <c r="N68" s="237">
        <v>60.0</v>
      </c>
      <c r="O68" s="1"/>
    </row>
    <row r="69">
      <c r="A69" s="260" t="str">
        <f t="shared" si="1"/>
        <v>Satalino</v>
      </c>
      <c r="B69" s="237">
        <v>2127.0</v>
      </c>
      <c r="C69" s="236" t="s">
        <v>477</v>
      </c>
      <c r="D69" s="236" t="s">
        <v>478</v>
      </c>
      <c r="E69" s="236" t="s">
        <v>1172</v>
      </c>
      <c r="F69" s="236" t="s">
        <v>1005</v>
      </c>
      <c r="G69" s="237">
        <v>1.0</v>
      </c>
      <c r="H69" s="237">
        <v>1.0</v>
      </c>
      <c r="I69" s="237">
        <v>0.0</v>
      </c>
      <c r="J69" s="237">
        <v>1.0</v>
      </c>
      <c r="K69" s="237">
        <v>1.0</v>
      </c>
      <c r="L69" s="237">
        <v>0.0</v>
      </c>
      <c r="M69" s="237">
        <v>1.0</v>
      </c>
      <c r="N69" s="237">
        <v>1.0</v>
      </c>
      <c r="O69" s="1"/>
    </row>
    <row r="70">
      <c r="A70" s="260" t="str">
        <f t="shared" si="1"/>
        <v>Falcone</v>
      </c>
      <c r="B70" s="237">
        <v>2134.0</v>
      </c>
      <c r="C70" s="236" t="s">
        <v>477</v>
      </c>
      <c r="D70" s="236" t="s">
        <v>478</v>
      </c>
      <c r="E70" s="236" t="s">
        <v>204</v>
      </c>
      <c r="F70" s="236" t="s">
        <v>998</v>
      </c>
      <c r="G70" s="237">
        <v>16.0</v>
      </c>
      <c r="H70" s="237">
        <v>6.0</v>
      </c>
      <c r="I70" s="237">
        <v>10.0</v>
      </c>
      <c r="J70" s="237">
        <v>16.0</v>
      </c>
      <c r="K70" s="237">
        <v>6.0</v>
      </c>
      <c r="L70" s="237">
        <v>10.0</v>
      </c>
      <c r="M70" s="237">
        <v>40.0</v>
      </c>
      <c r="N70" s="237">
        <v>40.0</v>
      </c>
      <c r="O70" s="1"/>
    </row>
    <row r="71">
      <c r="A71" s="260" t="str">
        <f t="shared" si="1"/>
        <v>Scamacca</v>
      </c>
      <c r="B71" s="237">
        <v>2137.0</v>
      </c>
      <c r="C71" s="236" t="s">
        <v>507</v>
      </c>
      <c r="D71" s="236" t="s">
        <v>512</v>
      </c>
      <c r="E71" s="236" t="s">
        <v>452</v>
      </c>
      <c r="F71" s="236" t="s">
        <v>980</v>
      </c>
      <c r="G71" s="237">
        <v>23.0</v>
      </c>
      <c r="H71" s="237">
        <v>19.0</v>
      </c>
      <c r="I71" s="237">
        <v>4.0</v>
      </c>
      <c r="J71" s="237">
        <v>23.0</v>
      </c>
      <c r="K71" s="237">
        <v>19.0</v>
      </c>
      <c r="L71" s="237">
        <v>4.0</v>
      </c>
      <c r="M71" s="237">
        <v>102.0</v>
      </c>
      <c r="N71" s="237">
        <v>102.0</v>
      </c>
      <c r="O71" s="1"/>
    </row>
    <row r="72">
      <c r="A72" s="260" t="str">
        <f t="shared" si="1"/>
        <v>Gosens</v>
      </c>
      <c r="B72" s="237">
        <v>2160.0</v>
      </c>
      <c r="C72" s="236" t="s">
        <v>480</v>
      </c>
      <c r="D72" s="236" t="s">
        <v>521</v>
      </c>
      <c r="E72" s="236" t="s">
        <v>662</v>
      </c>
      <c r="F72" s="236" t="s">
        <v>1033</v>
      </c>
      <c r="G72" s="237">
        <v>10.0</v>
      </c>
      <c r="H72" s="237">
        <v>18.0</v>
      </c>
      <c r="I72" s="237">
        <v>-8.0</v>
      </c>
      <c r="J72" s="237">
        <v>10.0</v>
      </c>
      <c r="K72" s="237">
        <v>17.0</v>
      </c>
      <c r="L72" s="237">
        <v>-7.0</v>
      </c>
      <c r="M72" s="237">
        <v>23.0</v>
      </c>
      <c r="N72" s="237">
        <v>20.0</v>
      </c>
      <c r="O72" s="1"/>
    </row>
    <row r="73">
      <c r="A73" s="260" t="str">
        <f t="shared" si="1"/>
        <v>Orsolini</v>
      </c>
      <c r="B73" s="237">
        <v>2167.0</v>
      </c>
      <c r="C73" s="236" t="s">
        <v>492</v>
      </c>
      <c r="D73" s="236" t="s">
        <v>935</v>
      </c>
      <c r="E73" s="236" t="s">
        <v>670</v>
      </c>
      <c r="F73" s="236" t="s">
        <v>1009</v>
      </c>
      <c r="G73" s="237">
        <v>22.0</v>
      </c>
      <c r="H73" s="237">
        <v>30.0</v>
      </c>
      <c r="I73" s="237">
        <v>-8.0</v>
      </c>
      <c r="J73" s="237">
        <v>22.0</v>
      </c>
      <c r="K73" s="237">
        <v>29.0</v>
      </c>
      <c r="L73" s="237">
        <v>-7.0</v>
      </c>
      <c r="M73" s="237">
        <v>207.0</v>
      </c>
      <c r="N73" s="237">
        <v>207.0</v>
      </c>
      <c r="O73" s="1"/>
    </row>
    <row r="74">
      <c r="A74" s="260" t="str">
        <f t="shared" si="1"/>
        <v>Milinkovic-Savic V.</v>
      </c>
      <c r="B74" s="237">
        <v>2170.0</v>
      </c>
      <c r="C74" s="236" t="s">
        <v>477</v>
      </c>
      <c r="D74" s="236" t="s">
        <v>478</v>
      </c>
      <c r="E74" s="236" t="s">
        <v>734</v>
      </c>
      <c r="F74" s="236" t="s">
        <v>987</v>
      </c>
      <c r="G74" s="237">
        <v>18.0</v>
      </c>
      <c r="H74" s="237">
        <v>4.0</v>
      </c>
      <c r="I74" s="237">
        <v>14.0</v>
      </c>
      <c r="J74" s="237">
        <v>18.0</v>
      </c>
      <c r="K74" s="237">
        <v>4.0</v>
      </c>
      <c r="L74" s="237">
        <v>14.0</v>
      </c>
      <c r="M74" s="237">
        <v>36.0</v>
      </c>
      <c r="N74" s="237">
        <v>36.0</v>
      </c>
      <c r="O74" s="1"/>
    </row>
    <row r="75">
      <c r="A75" s="260" t="str">
        <f t="shared" si="1"/>
        <v>Marusic</v>
      </c>
      <c r="B75" s="237">
        <v>2188.0</v>
      </c>
      <c r="C75" s="236" t="s">
        <v>480</v>
      </c>
      <c r="D75" s="236" t="s">
        <v>944</v>
      </c>
      <c r="E75" s="236" t="s">
        <v>793</v>
      </c>
      <c r="F75" s="236" t="s">
        <v>1000</v>
      </c>
      <c r="G75" s="237">
        <v>7.0</v>
      </c>
      <c r="H75" s="237">
        <v>8.0</v>
      </c>
      <c r="I75" s="237">
        <v>-1.0</v>
      </c>
      <c r="J75" s="237">
        <v>7.0</v>
      </c>
      <c r="K75" s="237">
        <v>9.0</v>
      </c>
      <c r="L75" s="237">
        <v>-2.0</v>
      </c>
      <c r="M75" s="237">
        <v>14.0</v>
      </c>
      <c r="N75" s="237">
        <v>17.0</v>
      </c>
      <c r="O75" s="1"/>
    </row>
    <row r="76">
      <c r="A76" s="260" t="str">
        <f t="shared" si="1"/>
        <v>Calhanoglu</v>
      </c>
      <c r="B76" s="237">
        <v>2194.0</v>
      </c>
      <c r="C76" s="236" t="s">
        <v>492</v>
      </c>
      <c r="D76" s="236" t="s">
        <v>930</v>
      </c>
      <c r="E76" s="236" t="s">
        <v>719</v>
      </c>
      <c r="F76" s="236" t="s">
        <v>973</v>
      </c>
      <c r="G76" s="237">
        <v>27.0</v>
      </c>
      <c r="H76" s="237">
        <v>23.0</v>
      </c>
      <c r="I76" s="237">
        <v>4.0</v>
      </c>
      <c r="J76" s="237">
        <v>26.0</v>
      </c>
      <c r="K76" s="237">
        <v>24.0</v>
      </c>
      <c r="L76" s="237">
        <v>2.0</v>
      </c>
      <c r="M76" s="237">
        <v>223.0</v>
      </c>
      <c r="N76" s="237">
        <v>243.0</v>
      </c>
      <c r="O76" s="1"/>
    </row>
    <row r="77">
      <c r="A77" s="260" t="str">
        <f t="shared" si="1"/>
        <v>Silvestri</v>
      </c>
      <c r="B77" s="237">
        <v>2211.0</v>
      </c>
      <c r="C77" s="236" t="s">
        <v>477</v>
      </c>
      <c r="D77" s="236" t="s">
        <v>478</v>
      </c>
      <c r="E77" s="236" t="s">
        <v>1179</v>
      </c>
      <c r="F77" s="236" t="s">
        <v>995</v>
      </c>
      <c r="G77" s="237">
        <v>1.0</v>
      </c>
      <c r="H77" s="237">
        <v>1.0</v>
      </c>
      <c r="I77" s="237">
        <v>0.0</v>
      </c>
      <c r="J77" s="237">
        <v>1.0</v>
      </c>
      <c r="K77" s="237">
        <v>1.0</v>
      </c>
      <c r="L77" s="237">
        <v>0.0</v>
      </c>
      <c r="M77" s="237">
        <v>1.0</v>
      </c>
      <c r="N77" s="237">
        <v>1.0</v>
      </c>
      <c r="O77" s="1"/>
    </row>
    <row r="78">
      <c r="A78" s="260" t="str">
        <f t="shared" si="1"/>
        <v>Lazzari</v>
      </c>
      <c r="B78" s="237">
        <v>2263.0</v>
      </c>
      <c r="C78" s="236" t="s">
        <v>480</v>
      </c>
      <c r="D78" s="236" t="s">
        <v>938</v>
      </c>
      <c r="E78" s="236" t="s">
        <v>788</v>
      </c>
      <c r="F78" s="236" t="s">
        <v>1000</v>
      </c>
      <c r="G78" s="237">
        <v>4.0</v>
      </c>
      <c r="H78" s="237">
        <v>4.0</v>
      </c>
      <c r="I78" s="237">
        <v>0.0</v>
      </c>
      <c r="J78" s="237">
        <v>4.0</v>
      </c>
      <c r="K78" s="237">
        <v>4.0</v>
      </c>
      <c r="L78" s="237">
        <v>0.0</v>
      </c>
      <c r="M78" s="237">
        <v>8.0</v>
      </c>
      <c r="N78" s="237">
        <v>8.0</v>
      </c>
      <c r="O78" s="1"/>
    </row>
    <row r="79">
      <c r="A79" s="260" t="str">
        <f t="shared" si="1"/>
        <v>Nicolas</v>
      </c>
      <c r="B79" s="237">
        <v>2271.0</v>
      </c>
      <c r="C79" s="236" t="s">
        <v>477</v>
      </c>
      <c r="D79" s="236" t="s">
        <v>478</v>
      </c>
      <c r="E79" s="236" t="s">
        <v>1123</v>
      </c>
      <c r="F79" s="236" t="s">
        <v>977</v>
      </c>
      <c r="G79" s="237">
        <v>1.0</v>
      </c>
      <c r="H79" s="237">
        <v>1.0</v>
      </c>
      <c r="I79" s="237">
        <v>0.0</v>
      </c>
      <c r="J79" s="237">
        <v>1.0</v>
      </c>
      <c r="K79" s="237">
        <v>1.0</v>
      </c>
      <c r="L79" s="237">
        <v>0.0</v>
      </c>
      <c r="M79" s="237">
        <v>1.0</v>
      </c>
      <c r="N79" s="237">
        <v>1.0</v>
      </c>
      <c r="O79" s="1"/>
    </row>
    <row r="80">
      <c r="A80" s="260" t="str">
        <f t="shared" si="1"/>
        <v>Caracciolo A.</v>
      </c>
      <c r="B80" s="237">
        <v>2273.0</v>
      </c>
      <c r="C80" s="236" t="s">
        <v>480</v>
      </c>
      <c r="D80" s="236" t="s">
        <v>481</v>
      </c>
      <c r="E80" s="236" t="s">
        <v>1024</v>
      </c>
      <c r="F80" s="236" t="s">
        <v>977</v>
      </c>
      <c r="G80" s="237">
        <v>5.0</v>
      </c>
      <c r="H80" s="237">
        <v>4.0</v>
      </c>
      <c r="I80" s="237">
        <v>1.0</v>
      </c>
      <c r="J80" s="237">
        <v>5.0</v>
      </c>
      <c r="K80" s="237">
        <v>4.0</v>
      </c>
      <c r="L80" s="237">
        <v>1.0</v>
      </c>
      <c r="M80" s="237">
        <v>12.0</v>
      </c>
      <c r="N80" s="237">
        <v>12.0</v>
      </c>
      <c r="O80" s="1"/>
    </row>
    <row r="81">
      <c r="A81" s="260" t="str">
        <f t="shared" si="1"/>
        <v>Romagna</v>
      </c>
      <c r="B81" s="237">
        <v>2279.0</v>
      </c>
      <c r="C81" s="236" t="s">
        <v>480</v>
      </c>
      <c r="D81" s="236" t="s">
        <v>481</v>
      </c>
      <c r="E81" s="236" t="s">
        <v>1164</v>
      </c>
      <c r="F81" s="236" t="s">
        <v>1005</v>
      </c>
      <c r="G81" s="237">
        <v>1.0</v>
      </c>
      <c r="H81" s="237">
        <v>4.0</v>
      </c>
      <c r="I81" s="237">
        <v>-3.0</v>
      </c>
      <c r="J81" s="237">
        <v>1.0</v>
      </c>
      <c r="K81" s="237">
        <v>4.0</v>
      </c>
      <c r="L81" s="237">
        <v>-3.0</v>
      </c>
      <c r="M81" s="237">
        <v>8.0</v>
      </c>
      <c r="N81" s="237">
        <v>8.0</v>
      </c>
      <c r="O81" s="1"/>
    </row>
    <row r="82">
      <c r="A82" s="260" t="str">
        <f t="shared" si="1"/>
        <v>Mancini</v>
      </c>
      <c r="B82" s="237">
        <v>2296.0</v>
      </c>
      <c r="C82" s="236" t="s">
        <v>480</v>
      </c>
      <c r="D82" s="236" t="s">
        <v>481</v>
      </c>
      <c r="E82" s="236" t="s">
        <v>70</v>
      </c>
      <c r="F82" s="236" t="s">
        <v>988</v>
      </c>
      <c r="G82" s="237">
        <v>11.0</v>
      </c>
      <c r="H82" s="237">
        <v>11.0</v>
      </c>
      <c r="I82" s="237">
        <v>0.0</v>
      </c>
      <c r="J82" s="237">
        <v>11.0</v>
      </c>
      <c r="K82" s="237">
        <v>11.0</v>
      </c>
      <c r="L82" s="237">
        <v>0.0</v>
      </c>
      <c r="M82" s="237">
        <v>39.0</v>
      </c>
      <c r="N82" s="237">
        <v>39.0</v>
      </c>
      <c r="O82" s="1"/>
    </row>
    <row r="83">
      <c r="A83" s="260" t="str">
        <f t="shared" si="1"/>
        <v>Rossi F.</v>
      </c>
      <c r="B83" s="237">
        <v>2297.0</v>
      </c>
      <c r="C83" s="236" t="s">
        <v>477</v>
      </c>
      <c r="D83" s="236" t="s">
        <v>478</v>
      </c>
      <c r="E83" s="236" t="s">
        <v>418</v>
      </c>
      <c r="F83" s="236" t="s">
        <v>980</v>
      </c>
      <c r="G83" s="237">
        <v>1.0</v>
      </c>
      <c r="H83" s="237">
        <v>1.0</v>
      </c>
      <c r="I83" s="237">
        <v>0.0</v>
      </c>
      <c r="J83" s="237">
        <v>1.0</v>
      </c>
      <c r="K83" s="237">
        <v>1.0</v>
      </c>
      <c r="L83" s="237">
        <v>0.0</v>
      </c>
      <c r="M83" s="237">
        <v>1.0</v>
      </c>
      <c r="N83" s="237">
        <v>1.0</v>
      </c>
      <c r="O83" s="1"/>
    </row>
    <row r="84">
      <c r="A84" s="260" t="str">
        <f t="shared" si="1"/>
        <v>Leris</v>
      </c>
      <c r="B84" s="237">
        <v>2334.0</v>
      </c>
      <c r="C84" s="236" t="s">
        <v>492</v>
      </c>
      <c r="D84" s="236" t="s">
        <v>563</v>
      </c>
      <c r="E84" s="236" t="s">
        <v>1097</v>
      </c>
      <c r="F84" s="236" t="s">
        <v>977</v>
      </c>
      <c r="G84" s="237">
        <v>11.0</v>
      </c>
      <c r="H84" s="237">
        <v>2.0</v>
      </c>
      <c r="I84" s="237">
        <v>9.0</v>
      </c>
      <c r="J84" s="237">
        <v>11.0</v>
      </c>
      <c r="K84" s="237">
        <v>2.0</v>
      </c>
      <c r="L84" s="237">
        <v>9.0</v>
      </c>
      <c r="M84" s="237">
        <v>13.0</v>
      </c>
      <c r="N84" s="237">
        <v>13.0</v>
      </c>
      <c r="O84" s="1"/>
    </row>
    <row r="85">
      <c r="A85" s="260" t="str">
        <f t="shared" si="1"/>
        <v>Rabiot</v>
      </c>
      <c r="B85" s="237">
        <v>2379.0</v>
      </c>
      <c r="C85" s="236" t="s">
        <v>492</v>
      </c>
      <c r="D85" s="236" t="s">
        <v>934</v>
      </c>
      <c r="E85" s="236" t="s">
        <v>945</v>
      </c>
      <c r="F85" s="236" t="s">
        <v>991</v>
      </c>
      <c r="G85" s="237">
        <v>26.0</v>
      </c>
      <c r="H85" s="237">
        <v>23.0</v>
      </c>
      <c r="I85" s="237">
        <v>3.0</v>
      </c>
      <c r="J85" s="237">
        <v>26.0</v>
      </c>
      <c r="K85" s="237">
        <v>23.0</v>
      </c>
      <c r="L85" s="237">
        <v>3.0</v>
      </c>
      <c r="M85" s="237">
        <v>144.0</v>
      </c>
      <c r="N85" s="237">
        <v>144.0</v>
      </c>
      <c r="O85" s="1"/>
    </row>
    <row r="86">
      <c r="A86" s="260" t="str">
        <f t="shared" si="1"/>
        <v>Fruchtl</v>
      </c>
      <c r="B86" s="237">
        <v>2401.0</v>
      </c>
      <c r="C86" s="236" t="s">
        <v>477</v>
      </c>
      <c r="D86" s="236" t="s">
        <v>478</v>
      </c>
      <c r="E86" s="236" t="s">
        <v>1066</v>
      </c>
      <c r="F86" s="236" t="s">
        <v>998</v>
      </c>
      <c r="G86" s="237">
        <v>1.0</v>
      </c>
      <c r="H86" s="237">
        <v>1.0</v>
      </c>
      <c r="I86" s="237">
        <v>0.0</v>
      </c>
      <c r="J86" s="237">
        <v>1.0</v>
      </c>
      <c r="K86" s="237">
        <v>1.0</v>
      </c>
      <c r="L86" s="237">
        <v>0.0</v>
      </c>
      <c r="M86" s="237">
        <v>1.0</v>
      </c>
      <c r="N86" s="237">
        <v>1.0</v>
      </c>
      <c r="O86" s="1"/>
    </row>
    <row r="87">
      <c r="A87" s="260" t="str">
        <f t="shared" si="1"/>
        <v>Pulisic</v>
      </c>
      <c r="B87" s="237">
        <v>2423.0</v>
      </c>
      <c r="C87" s="236" t="s">
        <v>492</v>
      </c>
      <c r="D87" s="236" t="s">
        <v>947</v>
      </c>
      <c r="E87" s="236" t="s">
        <v>125</v>
      </c>
      <c r="F87" s="236" t="s">
        <v>991</v>
      </c>
      <c r="G87" s="237">
        <v>30.0</v>
      </c>
      <c r="H87" s="237">
        <v>28.0</v>
      </c>
      <c r="I87" s="237">
        <v>2.0</v>
      </c>
      <c r="J87" s="237">
        <v>30.0</v>
      </c>
      <c r="K87" s="237">
        <v>28.0</v>
      </c>
      <c r="L87" s="237">
        <v>2.0</v>
      </c>
      <c r="M87" s="237">
        <v>255.0</v>
      </c>
      <c r="N87" s="237">
        <v>255.0</v>
      </c>
      <c r="O87" s="1"/>
    </row>
    <row r="88">
      <c r="A88" s="260" t="str">
        <f t="shared" si="1"/>
        <v>Sommer</v>
      </c>
      <c r="B88" s="237">
        <v>2428.0</v>
      </c>
      <c r="C88" s="236" t="s">
        <v>477</v>
      </c>
      <c r="D88" s="236" t="s">
        <v>478</v>
      </c>
      <c r="E88" s="236" t="s">
        <v>382</v>
      </c>
      <c r="F88" s="236" t="s">
        <v>973</v>
      </c>
      <c r="G88" s="237">
        <v>13.0</v>
      </c>
      <c r="H88" s="237">
        <v>16.0</v>
      </c>
      <c r="I88" s="237">
        <v>-3.0</v>
      </c>
      <c r="J88" s="237">
        <v>13.0</v>
      </c>
      <c r="K88" s="237">
        <v>16.0</v>
      </c>
      <c r="L88" s="237">
        <v>-3.0</v>
      </c>
      <c r="M88" s="237">
        <v>64.0</v>
      </c>
      <c r="N88" s="237">
        <v>64.0</v>
      </c>
      <c r="O88" s="1"/>
    </row>
    <row r="89">
      <c r="A89" s="260" t="str">
        <f t="shared" si="1"/>
        <v>Pedro</v>
      </c>
      <c r="B89" s="237">
        <v>2489.0</v>
      </c>
      <c r="C89" s="236" t="s">
        <v>507</v>
      </c>
      <c r="D89" s="236" t="s">
        <v>507</v>
      </c>
      <c r="E89" s="236" t="s">
        <v>233</v>
      </c>
      <c r="F89" s="236" t="s">
        <v>1000</v>
      </c>
      <c r="G89" s="237">
        <v>9.0</v>
      </c>
      <c r="H89" s="237">
        <v>13.0</v>
      </c>
      <c r="I89" s="237">
        <v>-4.0</v>
      </c>
      <c r="J89" s="237">
        <v>9.0</v>
      </c>
      <c r="K89" s="237">
        <v>13.0</v>
      </c>
      <c r="L89" s="237">
        <v>-4.0</v>
      </c>
      <c r="M89" s="237">
        <v>15.0</v>
      </c>
      <c r="N89" s="237">
        <v>15.0</v>
      </c>
      <c r="O89" s="1"/>
    </row>
    <row r="90">
      <c r="A90" s="260" t="str">
        <f t="shared" si="1"/>
        <v>Vardy</v>
      </c>
      <c r="B90" s="237">
        <v>2499.0</v>
      </c>
      <c r="C90" s="236" t="s">
        <v>507</v>
      </c>
      <c r="D90" s="236" t="s">
        <v>512</v>
      </c>
      <c r="E90" s="236" t="s">
        <v>1207</v>
      </c>
      <c r="F90" s="236" t="s">
        <v>995</v>
      </c>
      <c r="G90" s="237">
        <v>19.0</v>
      </c>
      <c r="H90" s="237">
        <v>15.0</v>
      </c>
      <c r="I90" s="237">
        <v>4.0</v>
      </c>
      <c r="J90" s="237">
        <v>19.0</v>
      </c>
      <c r="K90" s="237">
        <v>15.0</v>
      </c>
      <c r="L90" s="237">
        <v>4.0</v>
      </c>
      <c r="M90" s="237">
        <v>51.0</v>
      </c>
      <c r="N90" s="237">
        <v>48.0</v>
      </c>
      <c r="O90" s="1"/>
    </row>
    <row r="91">
      <c r="A91" s="260" t="str">
        <f t="shared" si="1"/>
        <v>De Bruyne</v>
      </c>
      <c r="B91" s="237">
        <v>2517.0</v>
      </c>
      <c r="C91" s="236" t="s">
        <v>492</v>
      </c>
      <c r="D91" s="236" t="s">
        <v>543</v>
      </c>
      <c r="E91" s="236" t="s">
        <v>1041</v>
      </c>
      <c r="F91" s="236" t="s">
        <v>987</v>
      </c>
      <c r="G91" s="237">
        <v>20.0</v>
      </c>
      <c r="H91" s="237">
        <v>23.0</v>
      </c>
      <c r="I91" s="237">
        <v>-3.0</v>
      </c>
      <c r="J91" s="237">
        <v>19.0</v>
      </c>
      <c r="K91" s="237">
        <v>22.0</v>
      </c>
      <c r="L91" s="237">
        <v>-3.0</v>
      </c>
      <c r="M91" s="237">
        <v>80.0</v>
      </c>
      <c r="N91" s="237">
        <v>80.0</v>
      </c>
      <c r="O91" s="1"/>
    </row>
    <row r="92">
      <c r="A92" s="260" t="str">
        <f t="shared" si="1"/>
        <v>De Gea</v>
      </c>
      <c r="B92" s="237">
        <v>2521.0</v>
      </c>
      <c r="C92" s="236" t="s">
        <v>477</v>
      </c>
      <c r="D92" s="236" t="s">
        <v>478</v>
      </c>
      <c r="E92" s="236" t="s">
        <v>687</v>
      </c>
      <c r="F92" s="236" t="s">
        <v>1033</v>
      </c>
      <c r="G92" s="237">
        <v>10.0</v>
      </c>
      <c r="H92" s="237">
        <v>14.0</v>
      </c>
      <c r="I92" s="237">
        <v>-4.0</v>
      </c>
      <c r="J92" s="237">
        <v>10.0</v>
      </c>
      <c r="K92" s="237">
        <v>14.0</v>
      </c>
      <c r="L92" s="237">
        <v>-4.0</v>
      </c>
      <c r="M92" s="237">
        <v>18.0</v>
      </c>
      <c r="N92" s="237">
        <v>18.0</v>
      </c>
      <c r="O92" s="1"/>
    </row>
    <row r="93">
      <c r="A93" s="260" t="str">
        <f t="shared" si="1"/>
        <v>Darmian</v>
      </c>
      <c r="B93" s="237">
        <v>2525.0</v>
      </c>
      <c r="C93" s="236" t="s">
        <v>480</v>
      </c>
      <c r="D93" s="236" t="s">
        <v>1019</v>
      </c>
      <c r="E93" s="236" t="s">
        <v>193</v>
      </c>
      <c r="F93" s="236" t="s">
        <v>973</v>
      </c>
      <c r="G93" s="237">
        <v>2.0</v>
      </c>
      <c r="H93" s="237">
        <v>4.0</v>
      </c>
      <c r="I93" s="237">
        <v>-2.0</v>
      </c>
      <c r="J93" s="237">
        <v>2.0</v>
      </c>
      <c r="K93" s="237">
        <v>5.0</v>
      </c>
      <c r="L93" s="237">
        <v>-3.0</v>
      </c>
      <c r="M93" s="237">
        <v>7.0</v>
      </c>
      <c r="N93" s="237">
        <v>8.0</v>
      </c>
      <c r="O93" s="1"/>
    </row>
    <row r="94">
      <c r="A94" s="260" t="str">
        <f t="shared" si="1"/>
        <v>Matic</v>
      </c>
      <c r="B94" s="237">
        <v>2528.0</v>
      </c>
      <c r="C94" s="236" t="s">
        <v>492</v>
      </c>
      <c r="D94" s="236" t="s">
        <v>930</v>
      </c>
      <c r="E94" s="236" t="s">
        <v>461</v>
      </c>
      <c r="F94" s="236" t="s">
        <v>1005</v>
      </c>
      <c r="G94" s="237">
        <v>11.0</v>
      </c>
      <c r="H94" s="237">
        <v>4.0</v>
      </c>
      <c r="I94" s="237">
        <v>7.0</v>
      </c>
      <c r="J94" s="237">
        <v>11.0</v>
      </c>
      <c r="K94" s="237">
        <v>5.0</v>
      </c>
      <c r="L94" s="237">
        <v>6.0</v>
      </c>
      <c r="M94" s="237">
        <v>17.0</v>
      </c>
      <c r="N94" s="237">
        <v>22.0</v>
      </c>
      <c r="O94" s="1"/>
    </row>
    <row r="95">
      <c r="A95" s="260" t="str">
        <f t="shared" si="1"/>
        <v>Mkhitaryan</v>
      </c>
      <c r="B95" s="237">
        <v>2529.0</v>
      </c>
      <c r="C95" s="236" t="s">
        <v>492</v>
      </c>
      <c r="D95" s="236" t="s">
        <v>934</v>
      </c>
      <c r="E95" s="236" t="s">
        <v>703</v>
      </c>
      <c r="F95" s="236" t="s">
        <v>973</v>
      </c>
      <c r="G95" s="237">
        <v>10.0</v>
      </c>
      <c r="H95" s="237">
        <v>9.0</v>
      </c>
      <c r="I95" s="237">
        <v>1.0</v>
      </c>
      <c r="J95" s="237">
        <v>10.0</v>
      </c>
      <c r="K95" s="237">
        <v>9.0</v>
      </c>
      <c r="L95" s="237">
        <v>1.0</v>
      </c>
      <c r="M95" s="237">
        <v>20.0</v>
      </c>
      <c r="N95" s="237">
        <v>20.0</v>
      </c>
      <c r="O95" s="1"/>
    </row>
    <row r="96">
      <c r="A96" s="260" t="str">
        <f t="shared" si="1"/>
        <v>Lukaku</v>
      </c>
      <c r="B96" s="237">
        <v>2531.0</v>
      </c>
      <c r="C96" s="236" t="s">
        <v>507</v>
      </c>
      <c r="D96" s="236" t="s">
        <v>512</v>
      </c>
      <c r="E96" s="236" t="s">
        <v>685</v>
      </c>
      <c r="F96" s="236" t="s">
        <v>987</v>
      </c>
      <c r="G96" s="237">
        <v>15.0</v>
      </c>
      <c r="H96" s="237">
        <v>31.0</v>
      </c>
      <c r="I96" s="237">
        <v>-16.0</v>
      </c>
      <c r="J96" s="237">
        <v>15.0</v>
      </c>
      <c r="K96" s="237">
        <v>31.0</v>
      </c>
      <c r="L96" s="237">
        <v>-16.0</v>
      </c>
      <c r="M96" s="237">
        <v>55.0</v>
      </c>
      <c r="N96" s="237">
        <v>52.0</v>
      </c>
      <c r="O96" s="1"/>
    </row>
    <row r="97">
      <c r="A97" s="260" t="str">
        <f t="shared" si="1"/>
        <v>Martin</v>
      </c>
      <c r="B97" s="237">
        <v>2593.0</v>
      </c>
      <c r="C97" s="236" t="s">
        <v>480</v>
      </c>
      <c r="D97" s="236" t="s">
        <v>931</v>
      </c>
      <c r="E97" s="236" t="s">
        <v>841</v>
      </c>
      <c r="F97" s="236" t="s">
        <v>1026</v>
      </c>
      <c r="G97" s="237">
        <v>13.0</v>
      </c>
      <c r="H97" s="237">
        <v>10.0</v>
      </c>
      <c r="I97" s="237">
        <v>3.0</v>
      </c>
      <c r="J97" s="237">
        <v>13.0</v>
      </c>
      <c r="K97" s="237">
        <v>10.0</v>
      </c>
      <c r="L97" s="237">
        <v>3.0</v>
      </c>
      <c r="M97" s="237">
        <v>27.0</v>
      </c>
      <c r="N97" s="237">
        <v>27.0</v>
      </c>
      <c r="O97" s="1"/>
    </row>
    <row r="98">
      <c r="A98" s="260" t="str">
        <f t="shared" si="1"/>
        <v>Modric</v>
      </c>
      <c r="B98" s="237">
        <v>2606.0</v>
      </c>
      <c r="C98" s="236" t="s">
        <v>492</v>
      </c>
      <c r="D98" s="236" t="s">
        <v>492</v>
      </c>
      <c r="E98" s="236" t="s">
        <v>1110</v>
      </c>
      <c r="F98" s="236" t="s">
        <v>991</v>
      </c>
      <c r="G98" s="237">
        <v>20.0</v>
      </c>
      <c r="H98" s="237">
        <v>12.0</v>
      </c>
      <c r="I98" s="237">
        <v>8.0</v>
      </c>
      <c r="J98" s="237">
        <v>20.0</v>
      </c>
      <c r="K98" s="237">
        <v>12.0</v>
      </c>
      <c r="L98" s="237">
        <v>8.0</v>
      </c>
      <c r="M98" s="237">
        <v>78.0</v>
      </c>
      <c r="N98" s="237">
        <v>78.0</v>
      </c>
      <c r="O98" s="1"/>
    </row>
    <row r="99">
      <c r="A99" s="260" t="str">
        <f t="shared" si="1"/>
        <v>Kolasinac</v>
      </c>
      <c r="B99" s="237">
        <v>2640.0</v>
      </c>
      <c r="C99" s="236" t="s">
        <v>480</v>
      </c>
      <c r="D99" s="236" t="s">
        <v>979</v>
      </c>
      <c r="E99" s="236" t="s">
        <v>386</v>
      </c>
      <c r="F99" s="236" t="s">
        <v>980</v>
      </c>
      <c r="G99" s="237">
        <v>4.0</v>
      </c>
      <c r="H99" s="237">
        <v>7.0</v>
      </c>
      <c r="I99" s="237">
        <v>-3.0</v>
      </c>
      <c r="J99" s="237">
        <v>4.0</v>
      </c>
      <c r="K99" s="237">
        <v>7.0</v>
      </c>
      <c r="L99" s="237">
        <v>-3.0</v>
      </c>
      <c r="M99" s="237">
        <v>14.0</v>
      </c>
      <c r="N99" s="237">
        <v>17.0</v>
      </c>
      <c r="O99" s="1"/>
    </row>
    <row r="100">
      <c r="A100" s="260" t="str">
        <f t="shared" si="1"/>
        <v>Lykogiannis</v>
      </c>
      <c r="B100" s="237">
        <v>2653.0</v>
      </c>
      <c r="C100" s="236" t="s">
        <v>480</v>
      </c>
      <c r="D100" s="236" t="s">
        <v>931</v>
      </c>
      <c r="E100" s="236" t="s">
        <v>872</v>
      </c>
      <c r="F100" s="236" t="s">
        <v>1009</v>
      </c>
      <c r="G100" s="237">
        <v>2.0</v>
      </c>
      <c r="H100" s="237">
        <v>5.0</v>
      </c>
      <c r="I100" s="237">
        <v>-3.0</v>
      </c>
      <c r="J100" s="237">
        <v>2.0</v>
      </c>
      <c r="K100" s="237">
        <v>5.0</v>
      </c>
      <c r="L100" s="237">
        <v>-3.0</v>
      </c>
      <c r="M100" s="237">
        <v>10.0</v>
      </c>
      <c r="N100" s="237">
        <v>10.0</v>
      </c>
      <c r="O100" s="1"/>
    </row>
    <row r="101">
      <c r="A101" s="260" t="str">
        <f t="shared" si="1"/>
        <v>Fullkrug</v>
      </c>
      <c r="B101" s="237">
        <v>2678.0</v>
      </c>
      <c r="C101" s="236" t="s">
        <v>507</v>
      </c>
      <c r="D101" s="236" t="s">
        <v>512</v>
      </c>
      <c r="E101" s="236" t="s">
        <v>96</v>
      </c>
      <c r="F101" s="236" t="s">
        <v>991</v>
      </c>
      <c r="G101" s="237">
        <v>14.0</v>
      </c>
      <c r="H101" s="237">
        <v>13.0</v>
      </c>
      <c r="I101" s="237">
        <v>1.0</v>
      </c>
      <c r="J101" s="237">
        <v>14.0</v>
      </c>
      <c r="K101" s="237">
        <v>13.0</v>
      </c>
      <c r="L101" s="237">
        <v>1.0</v>
      </c>
      <c r="M101" s="237">
        <v>35.0</v>
      </c>
      <c r="N101" s="237">
        <v>32.0</v>
      </c>
      <c r="O101" s="1"/>
    </row>
    <row r="102">
      <c r="A102" s="260" t="str">
        <f t="shared" si="1"/>
        <v>Ravaglia F.</v>
      </c>
      <c r="B102" s="237">
        <v>2722.0</v>
      </c>
      <c r="C102" s="236" t="s">
        <v>477</v>
      </c>
      <c r="D102" s="236" t="s">
        <v>478</v>
      </c>
      <c r="E102" s="236" t="s">
        <v>628</v>
      </c>
      <c r="F102" s="236" t="s">
        <v>1009</v>
      </c>
      <c r="G102" s="237">
        <v>9.0</v>
      </c>
      <c r="H102" s="237">
        <v>3.0</v>
      </c>
      <c r="I102" s="237">
        <v>6.0</v>
      </c>
      <c r="J102" s="237">
        <v>9.0</v>
      </c>
      <c r="K102" s="237">
        <v>3.0</v>
      </c>
      <c r="L102" s="237">
        <v>6.0</v>
      </c>
      <c r="M102" s="237">
        <v>8.0</v>
      </c>
      <c r="N102" s="237">
        <v>8.0</v>
      </c>
      <c r="O102" s="1"/>
    </row>
    <row r="103">
      <c r="A103" s="260" t="str">
        <f t="shared" si="1"/>
        <v>Buongiorno</v>
      </c>
      <c r="B103" s="237">
        <v>2724.0</v>
      </c>
      <c r="C103" s="236" t="s">
        <v>480</v>
      </c>
      <c r="D103" s="236" t="s">
        <v>481</v>
      </c>
      <c r="E103" s="236" t="s">
        <v>429</v>
      </c>
      <c r="F103" s="236" t="s">
        <v>987</v>
      </c>
      <c r="G103" s="237">
        <v>10.0</v>
      </c>
      <c r="H103" s="237">
        <v>13.0</v>
      </c>
      <c r="I103" s="237">
        <v>-3.0</v>
      </c>
      <c r="J103" s="237">
        <v>10.0</v>
      </c>
      <c r="K103" s="237">
        <v>13.0</v>
      </c>
      <c r="L103" s="237">
        <v>-3.0</v>
      </c>
      <c r="M103" s="237">
        <v>17.0</v>
      </c>
      <c r="N103" s="237">
        <v>17.0</v>
      </c>
      <c r="O103" s="1"/>
    </row>
    <row r="104">
      <c r="A104" s="260" t="str">
        <f t="shared" si="1"/>
        <v>Pellegrini Lu.</v>
      </c>
      <c r="B104" s="237">
        <v>2728.0</v>
      </c>
      <c r="C104" s="236" t="s">
        <v>480</v>
      </c>
      <c r="D104" s="236" t="s">
        <v>931</v>
      </c>
      <c r="E104" s="236" t="s">
        <v>1145</v>
      </c>
      <c r="F104" s="236" t="s">
        <v>1000</v>
      </c>
      <c r="G104" s="237">
        <v>6.0</v>
      </c>
      <c r="H104" s="237">
        <v>3.0</v>
      </c>
      <c r="I104" s="237">
        <v>3.0</v>
      </c>
      <c r="J104" s="237">
        <v>6.0</v>
      </c>
      <c r="K104" s="237">
        <v>3.0</v>
      </c>
      <c r="L104" s="237">
        <v>3.0</v>
      </c>
      <c r="M104" s="237">
        <v>11.0</v>
      </c>
      <c r="N104" s="237">
        <v>11.0</v>
      </c>
      <c r="O104" s="1"/>
    </row>
    <row r="105">
      <c r="A105" s="260" t="str">
        <f t="shared" si="1"/>
        <v>Calabresi</v>
      </c>
      <c r="B105" s="237">
        <v>2745.0</v>
      </c>
      <c r="C105" s="236" t="s">
        <v>480</v>
      </c>
      <c r="D105" s="236" t="s">
        <v>1019</v>
      </c>
      <c r="E105" s="236" t="s">
        <v>1018</v>
      </c>
      <c r="F105" s="236" t="s">
        <v>977</v>
      </c>
      <c r="G105" s="237">
        <v>5.0</v>
      </c>
      <c r="H105" s="237">
        <v>3.0</v>
      </c>
      <c r="I105" s="237">
        <v>2.0</v>
      </c>
      <c r="J105" s="237">
        <v>5.0</v>
      </c>
      <c r="K105" s="237">
        <v>4.0</v>
      </c>
      <c r="L105" s="237">
        <v>1.0</v>
      </c>
      <c r="M105" s="237">
        <v>7.0</v>
      </c>
      <c r="N105" s="237">
        <v>9.0</v>
      </c>
      <c r="O105" s="1"/>
    </row>
    <row r="106">
      <c r="A106" s="260" t="str">
        <f t="shared" si="1"/>
        <v>Martinez L.</v>
      </c>
      <c r="B106" s="237">
        <v>2764.0</v>
      </c>
      <c r="C106" s="236" t="s">
        <v>507</v>
      </c>
      <c r="D106" s="236" t="s">
        <v>512</v>
      </c>
      <c r="E106" s="236" t="s">
        <v>145</v>
      </c>
      <c r="F106" s="236" t="s">
        <v>973</v>
      </c>
      <c r="G106" s="237">
        <v>36.0</v>
      </c>
      <c r="H106" s="237">
        <v>34.0</v>
      </c>
      <c r="I106" s="237">
        <v>2.0</v>
      </c>
      <c r="J106" s="237">
        <v>36.0</v>
      </c>
      <c r="K106" s="237">
        <v>34.0</v>
      </c>
      <c r="L106" s="237">
        <v>2.0</v>
      </c>
      <c r="M106" s="237">
        <v>370.0</v>
      </c>
      <c r="N106" s="237">
        <v>370.0</v>
      </c>
      <c r="O106" s="1"/>
    </row>
    <row r="107">
      <c r="A107" s="260" t="str">
        <f t="shared" si="1"/>
        <v>Odgaard</v>
      </c>
      <c r="B107" s="237">
        <v>2765.0</v>
      </c>
      <c r="C107" s="236" t="s">
        <v>492</v>
      </c>
      <c r="D107" s="236" t="s">
        <v>947</v>
      </c>
      <c r="E107" s="236" t="s">
        <v>73</v>
      </c>
      <c r="F107" s="236" t="s">
        <v>1009</v>
      </c>
      <c r="G107" s="237">
        <v>17.0</v>
      </c>
      <c r="H107" s="237">
        <v>16.0</v>
      </c>
      <c r="I107" s="237">
        <v>1.0</v>
      </c>
      <c r="J107" s="237">
        <v>16.0</v>
      </c>
      <c r="K107" s="237">
        <v>15.0</v>
      </c>
      <c r="L107" s="237">
        <v>1.0</v>
      </c>
      <c r="M107" s="237">
        <v>30.0</v>
      </c>
      <c r="N107" s="237">
        <v>30.0</v>
      </c>
      <c r="O107" s="1"/>
    </row>
    <row r="108">
      <c r="A108" s="260" t="str">
        <f t="shared" si="1"/>
        <v>Zaniolo</v>
      </c>
      <c r="B108" s="237">
        <v>2766.0</v>
      </c>
      <c r="C108" s="236" t="s">
        <v>492</v>
      </c>
      <c r="D108" s="236" t="s">
        <v>947</v>
      </c>
      <c r="E108" s="236" t="s">
        <v>787</v>
      </c>
      <c r="F108" s="236" t="s">
        <v>993</v>
      </c>
      <c r="G108" s="237">
        <v>20.0</v>
      </c>
      <c r="H108" s="237">
        <v>11.0</v>
      </c>
      <c r="I108" s="237">
        <v>9.0</v>
      </c>
      <c r="J108" s="237">
        <v>20.0</v>
      </c>
      <c r="K108" s="237">
        <v>10.0</v>
      </c>
      <c r="L108" s="237">
        <v>10.0</v>
      </c>
      <c r="M108" s="237">
        <v>80.0</v>
      </c>
      <c r="N108" s="237">
        <v>80.0</v>
      </c>
      <c r="O108" s="1"/>
    </row>
    <row r="109">
      <c r="A109" s="260" t="str">
        <f t="shared" si="1"/>
        <v>Bremer</v>
      </c>
      <c r="B109" s="237">
        <v>2788.0</v>
      </c>
      <c r="C109" s="236" t="s">
        <v>480</v>
      </c>
      <c r="D109" s="236" t="s">
        <v>481</v>
      </c>
      <c r="E109" s="236" t="s">
        <v>246</v>
      </c>
      <c r="F109" s="236" t="s">
        <v>976</v>
      </c>
      <c r="G109" s="237">
        <v>17.0</v>
      </c>
      <c r="H109" s="237">
        <v>13.0</v>
      </c>
      <c r="I109" s="237">
        <v>4.0</v>
      </c>
      <c r="J109" s="237">
        <v>17.0</v>
      </c>
      <c r="K109" s="237">
        <v>13.0</v>
      </c>
      <c r="L109" s="237">
        <v>4.0</v>
      </c>
      <c r="M109" s="237">
        <v>72.0</v>
      </c>
      <c r="N109" s="237">
        <v>72.0</v>
      </c>
      <c r="O109" s="1"/>
    </row>
    <row r="110">
      <c r="A110" s="260" t="str">
        <f t="shared" si="1"/>
        <v>Vigorito</v>
      </c>
      <c r="B110" s="237">
        <v>2809.0</v>
      </c>
      <c r="C110" s="236" t="s">
        <v>477</v>
      </c>
      <c r="D110" s="236" t="s">
        <v>478</v>
      </c>
      <c r="E110" s="236" t="s">
        <v>1211</v>
      </c>
      <c r="F110" s="236" t="s">
        <v>974</v>
      </c>
      <c r="G110" s="237">
        <v>1.0</v>
      </c>
      <c r="H110" s="237">
        <v>1.0</v>
      </c>
      <c r="I110" s="237">
        <v>0.0</v>
      </c>
      <c r="J110" s="237">
        <v>1.0</v>
      </c>
      <c r="K110" s="237">
        <v>1.0</v>
      </c>
      <c r="L110" s="237">
        <v>0.0</v>
      </c>
      <c r="M110" s="237">
        <v>1.0</v>
      </c>
      <c r="N110" s="237">
        <v>1.0</v>
      </c>
      <c r="O110" s="1"/>
    </row>
    <row r="111">
      <c r="A111" s="260" t="str">
        <f t="shared" si="1"/>
        <v>Provedel</v>
      </c>
      <c r="B111" s="237">
        <v>2814.0</v>
      </c>
      <c r="C111" s="236" t="s">
        <v>477</v>
      </c>
      <c r="D111" s="236" t="s">
        <v>478</v>
      </c>
      <c r="E111" s="236" t="s">
        <v>347</v>
      </c>
      <c r="F111" s="236" t="s">
        <v>1000</v>
      </c>
      <c r="G111" s="237">
        <v>17.0</v>
      </c>
      <c r="H111" s="237">
        <v>12.0</v>
      </c>
      <c r="I111" s="237">
        <v>5.0</v>
      </c>
      <c r="J111" s="237">
        <v>17.0</v>
      </c>
      <c r="K111" s="237">
        <v>12.0</v>
      </c>
      <c r="L111" s="237">
        <v>5.0</v>
      </c>
      <c r="M111" s="237">
        <v>71.0</v>
      </c>
      <c r="N111" s="237">
        <v>71.0</v>
      </c>
      <c r="O111" s="1"/>
    </row>
    <row r="112">
      <c r="A112" s="260" t="str">
        <f t="shared" si="1"/>
        <v>Terracciano</v>
      </c>
      <c r="B112" s="237">
        <v>2815.0</v>
      </c>
      <c r="C112" s="236" t="s">
        <v>477</v>
      </c>
      <c r="D112" s="236" t="s">
        <v>478</v>
      </c>
      <c r="E112" s="236" t="s">
        <v>709</v>
      </c>
      <c r="F112" s="236" t="s">
        <v>991</v>
      </c>
      <c r="G112" s="237">
        <v>1.0</v>
      </c>
      <c r="H112" s="237">
        <v>1.0</v>
      </c>
      <c r="I112" s="237">
        <v>0.0</v>
      </c>
      <c r="J112" s="237">
        <v>1.0</v>
      </c>
      <c r="K112" s="237">
        <v>1.0</v>
      </c>
      <c r="L112" s="237">
        <v>0.0</v>
      </c>
      <c r="M112" s="237">
        <v>1.0</v>
      </c>
      <c r="N112" s="237">
        <v>1.0</v>
      </c>
      <c r="O112" s="1"/>
    </row>
    <row r="113">
      <c r="A113" s="260" t="str">
        <f t="shared" si="1"/>
        <v>Di Lorenzo</v>
      </c>
      <c r="B113" s="237">
        <v>2816.0</v>
      </c>
      <c r="C113" s="236" t="s">
        <v>480</v>
      </c>
      <c r="D113" s="236" t="s">
        <v>938</v>
      </c>
      <c r="E113" s="236" t="s">
        <v>717</v>
      </c>
      <c r="F113" s="236" t="s">
        <v>987</v>
      </c>
      <c r="G113" s="237">
        <v>12.0</v>
      </c>
      <c r="H113" s="237">
        <v>14.0</v>
      </c>
      <c r="I113" s="237">
        <v>-2.0</v>
      </c>
      <c r="J113" s="237">
        <v>12.0</v>
      </c>
      <c r="K113" s="237">
        <v>14.0</v>
      </c>
      <c r="L113" s="237">
        <v>-2.0</v>
      </c>
      <c r="M113" s="237">
        <v>37.0</v>
      </c>
      <c r="N113" s="237">
        <v>37.0</v>
      </c>
      <c r="O113" s="1"/>
    </row>
    <row r="114">
      <c r="A114" s="260" t="str">
        <f t="shared" si="1"/>
        <v>Boga</v>
      </c>
      <c r="B114" s="237">
        <v>2832.0</v>
      </c>
      <c r="C114" s="236" t="s">
        <v>507</v>
      </c>
      <c r="D114" s="236" t="s">
        <v>935</v>
      </c>
      <c r="E114" s="236" t="s">
        <v>422</v>
      </c>
      <c r="F114" s="236" t="s">
        <v>976</v>
      </c>
      <c r="G114" s="237">
        <v>6.0</v>
      </c>
      <c r="H114" s="237">
        <v>6.0</v>
      </c>
      <c r="I114" s="237">
        <v>0.0</v>
      </c>
      <c r="J114" s="237">
        <v>7.0</v>
      </c>
      <c r="K114" s="237">
        <v>7.0</v>
      </c>
      <c r="L114" s="237">
        <v>0.0</v>
      </c>
      <c r="M114" s="237">
        <v>13.0</v>
      </c>
      <c r="N114" s="237">
        <v>15.0</v>
      </c>
      <c r="O114" s="1"/>
    </row>
    <row r="115">
      <c r="A115" s="260" t="str">
        <f t="shared" si="1"/>
        <v>Sottil</v>
      </c>
      <c r="B115" s="237">
        <v>2839.0</v>
      </c>
      <c r="C115" s="236" t="s">
        <v>492</v>
      </c>
      <c r="D115" s="236" t="s">
        <v>935</v>
      </c>
      <c r="E115" s="236" t="s">
        <v>1185</v>
      </c>
      <c r="F115" s="236" t="s">
        <v>998</v>
      </c>
      <c r="G115" s="237">
        <v>12.0</v>
      </c>
      <c r="H115" s="237">
        <v>11.0</v>
      </c>
      <c r="I115" s="237">
        <v>1.0</v>
      </c>
      <c r="J115" s="237">
        <v>11.0</v>
      </c>
      <c r="K115" s="237">
        <v>10.0</v>
      </c>
      <c r="L115" s="237">
        <v>1.0</v>
      </c>
      <c r="M115" s="237">
        <v>17.0</v>
      </c>
      <c r="N115" s="237">
        <v>17.0</v>
      </c>
      <c r="O115" s="1"/>
    </row>
    <row r="116">
      <c r="A116" s="260" t="str">
        <f t="shared" si="1"/>
        <v>Vlahovic</v>
      </c>
      <c r="B116" s="237">
        <v>2841.0</v>
      </c>
      <c r="C116" s="236" t="s">
        <v>507</v>
      </c>
      <c r="D116" s="236" t="s">
        <v>512</v>
      </c>
      <c r="E116" s="236" t="s">
        <v>282</v>
      </c>
      <c r="F116" s="236" t="s">
        <v>976</v>
      </c>
      <c r="G116" s="237">
        <v>14.0</v>
      </c>
      <c r="H116" s="237">
        <v>24.0</v>
      </c>
      <c r="I116" s="237">
        <v>-10.0</v>
      </c>
      <c r="J116" s="237">
        <v>14.0</v>
      </c>
      <c r="K116" s="237">
        <v>24.0</v>
      </c>
      <c r="L116" s="237">
        <v>-10.0</v>
      </c>
      <c r="M116" s="237">
        <v>50.0</v>
      </c>
      <c r="N116" s="237">
        <v>47.0</v>
      </c>
      <c r="O116" s="1"/>
    </row>
    <row r="117">
      <c r="A117" s="260" t="str">
        <f t="shared" si="1"/>
        <v>Contini</v>
      </c>
      <c r="B117" s="237">
        <v>2845.0</v>
      </c>
      <c r="C117" s="236" t="s">
        <v>477</v>
      </c>
      <c r="D117" s="236" t="s">
        <v>478</v>
      </c>
      <c r="E117" s="236" t="s">
        <v>456</v>
      </c>
      <c r="F117" s="236" t="s">
        <v>987</v>
      </c>
      <c r="G117" s="237">
        <v>1.0</v>
      </c>
      <c r="H117" s="237">
        <v>1.0</v>
      </c>
      <c r="I117" s="237">
        <v>0.0</v>
      </c>
      <c r="J117" s="237">
        <v>1.0</v>
      </c>
      <c r="K117" s="237">
        <v>1.0</v>
      </c>
      <c r="L117" s="237">
        <v>0.0</v>
      </c>
      <c r="M117" s="237">
        <v>1.0</v>
      </c>
      <c r="N117" s="237">
        <v>1.0</v>
      </c>
      <c r="O117" s="1"/>
    </row>
    <row r="118">
      <c r="A118" s="260" t="str">
        <f t="shared" si="1"/>
        <v>Frattesi</v>
      </c>
      <c r="B118" s="237">
        <v>2848.0</v>
      </c>
      <c r="C118" s="236" t="s">
        <v>492</v>
      </c>
      <c r="D118" s="236" t="s">
        <v>934</v>
      </c>
      <c r="E118" s="236" t="s">
        <v>256</v>
      </c>
      <c r="F118" s="236" t="s">
        <v>973</v>
      </c>
      <c r="G118" s="237">
        <v>4.0</v>
      </c>
      <c r="H118" s="237">
        <v>14.0</v>
      </c>
      <c r="I118" s="237">
        <v>-10.0</v>
      </c>
      <c r="J118" s="237">
        <v>4.0</v>
      </c>
      <c r="K118" s="237">
        <v>14.0</v>
      </c>
      <c r="L118" s="237">
        <v>-10.0</v>
      </c>
      <c r="M118" s="237">
        <v>10.0</v>
      </c>
      <c r="N118" s="237">
        <v>10.0</v>
      </c>
      <c r="O118" s="1"/>
    </row>
    <row r="119">
      <c r="A119" s="260" t="str">
        <f t="shared" si="1"/>
        <v>Semper</v>
      </c>
      <c r="B119" s="237">
        <v>2861.0</v>
      </c>
      <c r="C119" s="236" t="s">
        <v>477</v>
      </c>
      <c r="D119" s="236" t="s">
        <v>478</v>
      </c>
      <c r="E119" s="236" t="s">
        <v>1175</v>
      </c>
      <c r="F119" s="236" t="s">
        <v>977</v>
      </c>
      <c r="G119" s="237">
        <v>9.0</v>
      </c>
      <c r="H119" s="237">
        <v>3.0</v>
      </c>
      <c r="I119" s="237">
        <v>6.0</v>
      </c>
      <c r="J119" s="237">
        <v>9.0</v>
      </c>
      <c r="K119" s="237">
        <v>3.0</v>
      </c>
      <c r="L119" s="237">
        <v>6.0</v>
      </c>
      <c r="M119" s="237">
        <v>2.0</v>
      </c>
      <c r="N119" s="237">
        <v>2.0</v>
      </c>
      <c r="O119" s="1"/>
    </row>
    <row r="120">
      <c r="A120" s="260" t="str">
        <f t="shared" si="1"/>
        <v>Diego Carlos</v>
      </c>
      <c r="B120" s="237">
        <v>4137.0</v>
      </c>
      <c r="C120" s="236" t="s">
        <v>480</v>
      </c>
      <c r="D120" s="236" t="s">
        <v>481</v>
      </c>
      <c r="E120" s="236" t="s">
        <v>137</v>
      </c>
      <c r="F120" s="236" t="s">
        <v>974</v>
      </c>
      <c r="G120" s="237">
        <v>7.0</v>
      </c>
      <c r="H120" s="237">
        <v>5.0</v>
      </c>
      <c r="I120" s="237">
        <v>2.0</v>
      </c>
      <c r="J120" s="237">
        <v>7.0</v>
      </c>
      <c r="K120" s="237">
        <v>5.0</v>
      </c>
      <c r="L120" s="237">
        <v>2.0</v>
      </c>
      <c r="M120" s="237">
        <v>21.0</v>
      </c>
      <c r="N120" s="237">
        <v>21.0</v>
      </c>
      <c r="O120" s="1"/>
    </row>
    <row r="121">
      <c r="A121" s="260" t="str">
        <f t="shared" si="1"/>
        <v>Akanji</v>
      </c>
      <c r="B121" s="237">
        <v>4159.0</v>
      </c>
      <c r="C121" s="236" t="s">
        <v>480</v>
      </c>
      <c r="D121" s="236" t="s">
        <v>481</v>
      </c>
      <c r="E121" s="236" t="s">
        <v>981</v>
      </c>
      <c r="F121" s="236" t="s">
        <v>973</v>
      </c>
      <c r="G121" s="237">
        <v>11.0</v>
      </c>
      <c r="H121" s="237">
        <v>9.0</v>
      </c>
      <c r="I121" s="237">
        <v>2.0</v>
      </c>
      <c r="J121" s="237">
        <v>11.0</v>
      </c>
      <c r="K121" s="237">
        <v>9.0</v>
      </c>
      <c r="L121" s="237">
        <v>2.0</v>
      </c>
      <c r="M121" s="237">
        <v>51.0</v>
      </c>
      <c r="N121" s="237">
        <v>51.0</v>
      </c>
      <c r="O121" s="1"/>
    </row>
    <row r="122">
      <c r="A122" s="260" t="str">
        <f t="shared" si="1"/>
        <v>Loftus-Cheek</v>
      </c>
      <c r="B122" s="237">
        <v>4199.0</v>
      </c>
      <c r="C122" s="236" t="s">
        <v>492</v>
      </c>
      <c r="D122" s="236" t="s">
        <v>934</v>
      </c>
      <c r="E122" s="236" t="s">
        <v>444</v>
      </c>
      <c r="F122" s="236" t="s">
        <v>991</v>
      </c>
      <c r="G122" s="237">
        <v>14.0</v>
      </c>
      <c r="H122" s="237">
        <v>8.0</v>
      </c>
      <c r="I122" s="237">
        <v>6.0</v>
      </c>
      <c r="J122" s="237">
        <v>14.0</v>
      </c>
      <c r="K122" s="237">
        <v>8.0</v>
      </c>
      <c r="L122" s="237">
        <v>6.0</v>
      </c>
      <c r="M122" s="237">
        <v>22.0</v>
      </c>
      <c r="N122" s="237">
        <v>22.0</v>
      </c>
      <c r="O122" s="1"/>
    </row>
    <row r="123">
      <c r="A123" s="260" t="str">
        <f t="shared" si="1"/>
        <v>Mina</v>
      </c>
      <c r="B123" s="237">
        <v>4210.0</v>
      </c>
      <c r="C123" s="236" t="s">
        <v>480</v>
      </c>
      <c r="D123" s="236" t="s">
        <v>481</v>
      </c>
      <c r="E123" s="236" t="s">
        <v>820</v>
      </c>
      <c r="F123" s="236" t="s">
        <v>975</v>
      </c>
      <c r="G123" s="237">
        <v>9.0</v>
      </c>
      <c r="H123" s="237">
        <v>7.0</v>
      </c>
      <c r="I123" s="237">
        <v>2.0</v>
      </c>
      <c r="J123" s="237">
        <v>9.0</v>
      </c>
      <c r="K123" s="237">
        <v>7.0</v>
      </c>
      <c r="L123" s="237">
        <v>2.0</v>
      </c>
      <c r="M123" s="237">
        <v>14.0</v>
      </c>
      <c r="N123" s="237">
        <v>14.0</v>
      </c>
      <c r="O123" s="1"/>
    </row>
    <row r="124">
      <c r="A124" s="260" t="str">
        <f t="shared" si="1"/>
        <v>Zambo Anguissa</v>
      </c>
      <c r="B124" s="237">
        <v>4220.0</v>
      </c>
      <c r="C124" s="236" t="s">
        <v>492</v>
      </c>
      <c r="D124" s="236" t="s">
        <v>930</v>
      </c>
      <c r="E124" s="236" t="s">
        <v>866</v>
      </c>
      <c r="F124" s="236" t="s">
        <v>987</v>
      </c>
      <c r="G124" s="237">
        <v>18.0</v>
      </c>
      <c r="H124" s="237">
        <v>15.0</v>
      </c>
      <c r="I124" s="237">
        <v>3.0</v>
      </c>
      <c r="J124" s="237">
        <v>18.0</v>
      </c>
      <c r="K124" s="237">
        <v>16.0</v>
      </c>
      <c r="L124" s="237">
        <v>2.0</v>
      </c>
      <c r="M124" s="237">
        <v>67.0</v>
      </c>
      <c r="N124" s="237">
        <v>77.0</v>
      </c>
      <c r="O124" s="1"/>
    </row>
    <row r="125">
      <c r="A125" s="260" t="str">
        <f t="shared" si="1"/>
        <v>Muric</v>
      </c>
      <c r="B125" s="237">
        <v>4236.0</v>
      </c>
      <c r="C125" s="236" t="s">
        <v>477</v>
      </c>
      <c r="D125" s="236" t="s">
        <v>478</v>
      </c>
      <c r="E125" s="236" t="s">
        <v>227</v>
      </c>
      <c r="F125" s="236" t="s">
        <v>1005</v>
      </c>
      <c r="G125" s="237">
        <v>12.0</v>
      </c>
      <c r="H125" s="237">
        <v>3.0</v>
      </c>
      <c r="I125" s="237">
        <v>9.0</v>
      </c>
      <c r="J125" s="237">
        <v>12.0</v>
      </c>
      <c r="K125" s="237">
        <v>3.0</v>
      </c>
      <c r="L125" s="237">
        <v>9.0</v>
      </c>
      <c r="M125" s="237">
        <v>14.0</v>
      </c>
      <c r="N125" s="237">
        <v>14.0</v>
      </c>
      <c r="O125" s="1"/>
    </row>
    <row r="126">
      <c r="A126" s="260" t="str">
        <f t="shared" si="1"/>
        <v>Kabasele</v>
      </c>
      <c r="B126" s="237">
        <v>4263.0</v>
      </c>
      <c r="C126" s="236" t="s">
        <v>480</v>
      </c>
      <c r="D126" s="236" t="s">
        <v>481</v>
      </c>
      <c r="E126" s="236" t="s">
        <v>228</v>
      </c>
      <c r="F126" s="236" t="s">
        <v>993</v>
      </c>
      <c r="G126" s="237">
        <v>12.0</v>
      </c>
      <c r="H126" s="237">
        <v>3.0</v>
      </c>
      <c r="I126" s="237">
        <v>9.0</v>
      </c>
      <c r="J126" s="237">
        <v>12.0</v>
      </c>
      <c r="K126" s="237">
        <v>3.0</v>
      </c>
      <c r="L126" s="237">
        <v>9.0</v>
      </c>
      <c r="M126" s="237">
        <v>13.0</v>
      </c>
      <c r="N126" s="237">
        <v>13.0</v>
      </c>
      <c r="O126" s="1"/>
    </row>
    <row r="127">
      <c r="A127" s="260" t="str">
        <f t="shared" si="1"/>
        <v>Sergi Roberto</v>
      </c>
      <c r="B127" s="237">
        <v>4284.0</v>
      </c>
      <c r="C127" s="236" t="s">
        <v>492</v>
      </c>
      <c r="D127" s="236" t="s">
        <v>930</v>
      </c>
      <c r="E127" s="236" t="s">
        <v>707</v>
      </c>
      <c r="F127" s="236" t="s">
        <v>974</v>
      </c>
      <c r="G127" s="237">
        <v>3.0</v>
      </c>
      <c r="H127" s="237">
        <v>4.0</v>
      </c>
      <c r="I127" s="237">
        <v>-1.0</v>
      </c>
      <c r="J127" s="237">
        <v>3.0</v>
      </c>
      <c r="K127" s="237">
        <v>4.0</v>
      </c>
      <c r="L127" s="237">
        <v>-1.0</v>
      </c>
      <c r="M127" s="237">
        <v>10.0</v>
      </c>
      <c r="N127" s="237">
        <v>10.0</v>
      </c>
      <c r="O127" s="1"/>
    </row>
    <row r="128">
      <c r="A128" s="260" t="str">
        <f t="shared" si="1"/>
        <v>Lobotka</v>
      </c>
      <c r="B128" s="237">
        <v>4287.0</v>
      </c>
      <c r="C128" s="236" t="s">
        <v>492</v>
      </c>
      <c r="D128" s="236" t="s">
        <v>930</v>
      </c>
      <c r="E128" s="236" t="s">
        <v>609</v>
      </c>
      <c r="F128" s="236" t="s">
        <v>987</v>
      </c>
      <c r="G128" s="237">
        <v>10.0</v>
      </c>
      <c r="H128" s="237">
        <v>9.0</v>
      </c>
      <c r="I128" s="237">
        <v>1.0</v>
      </c>
      <c r="J128" s="237">
        <v>10.0</v>
      </c>
      <c r="K128" s="237">
        <v>10.0</v>
      </c>
      <c r="L128" s="237">
        <v>0.0</v>
      </c>
      <c r="M128" s="237">
        <v>25.0</v>
      </c>
      <c r="N128" s="237">
        <v>30.0</v>
      </c>
      <c r="O128" s="1"/>
    </row>
    <row r="129">
      <c r="A129" s="260" t="str">
        <f t="shared" si="1"/>
        <v>Maignan</v>
      </c>
      <c r="B129" s="237">
        <v>4312.0</v>
      </c>
      <c r="C129" s="236" t="s">
        <v>477</v>
      </c>
      <c r="D129" s="236" t="s">
        <v>478</v>
      </c>
      <c r="E129" s="236" t="s">
        <v>261</v>
      </c>
      <c r="F129" s="236" t="s">
        <v>991</v>
      </c>
      <c r="G129" s="237">
        <v>20.0</v>
      </c>
      <c r="H129" s="237">
        <v>16.0</v>
      </c>
      <c r="I129" s="237">
        <v>4.0</v>
      </c>
      <c r="J129" s="237">
        <v>20.0</v>
      </c>
      <c r="K129" s="237">
        <v>16.0</v>
      </c>
      <c r="L129" s="237">
        <v>4.0</v>
      </c>
      <c r="M129" s="237">
        <v>92.0</v>
      </c>
      <c r="N129" s="237">
        <v>92.0</v>
      </c>
      <c r="O129" s="1"/>
    </row>
    <row r="130">
      <c r="A130" s="260" t="str">
        <f t="shared" si="1"/>
        <v>N'Dicka</v>
      </c>
      <c r="B130" s="237">
        <v>4317.0</v>
      </c>
      <c r="C130" s="236" t="s">
        <v>480</v>
      </c>
      <c r="D130" s="236" t="s">
        <v>481</v>
      </c>
      <c r="E130" s="236" t="s">
        <v>756</v>
      </c>
      <c r="F130" s="236" t="s">
        <v>988</v>
      </c>
      <c r="G130" s="237">
        <v>6.0</v>
      </c>
      <c r="H130" s="237">
        <v>10.0</v>
      </c>
      <c r="I130" s="237">
        <v>-4.0</v>
      </c>
      <c r="J130" s="237">
        <v>6.0</v>
      </c>
      <c r="K130" s="237">
        <v>10.0</v>
      </c>
      <c r="L130" s="237">
        <v>-4.0</v>
      </c>
      <c r="M130" s="237">
        <v>28.0</v>
      </c>
      <c r="N130" s="237">
        <v>28.0</v>
      </c>
      <c r="O130" s="1"/>
    </row>
    <row r="131">
      <c r="A131" s="260" t="str">
        <f t="shared" si="1"/>
        <v>Nicolussi Caviglia</v>
      </c>
      <c r="B131" s="237">
        <v>4349.0</v>
      </c>
      <c r="C131" s="236" t="s">
        <v>492</v>
      </c>
      <c r="D131" s="236" t="s">
        <v>930</v>
      </c>
      <c r="E131" s="236" t="s">
        <v>842</v>
      </c>
      <c r="F131" s="236" t="s">
        <v>985</v>
      </c>
      <c r="G131" s="237">
        <v>3.0</v>
      </c>
      <c r="H131" s="237">
        <v>9.0</v>
      </c>
      <c r="I131" s="237">
        <v>-6.0</v>
      </c>
      <c r="J131" s="237">
        <v>3.0</v>
      </c>
      <c r="K131" s="237">
        <v>10.0</v>
      </c>
      <c r="L131" s="237">
        <v>-7.0</v>
      </c>
      <c r="M131" s="237">
        <v>14.0</v>
      </c>
      <c r="N131" s="237">
        <v>17.0</v>
      </c>
      <c r="O131" s="1"/>
    </row>
    <row r="132">
      <c r="A132" s="260" t="str">
        <f t="shared" si="1"/>
        <v>Piccoli</v>
      </c>
      <c r="B132" s="237">
        <v>4359.0</v>
      </c>
      <c r="C132" s="236" t="s">
        <v>507</v>
      </c>
      <c r="D132" s="236" t="s">
        <v>512</v>
      </c>
      <c r="E132" s="236" t="s">
        <v>767</v>
      </c>
      <c r="F132" s="236" t="s">
        <v>1033</v>
      </c>
      <c r="G132" s="237">
        <v>9.0</v>
      </c>
      <c r="H132" s="237">
        <v>17.0</v>
      </c>
      <c r="I132" s="237">
        <v>-8.0</v>
      </c>
      <c r="J132" s="237">
        <v>9.0</v>
      </c>
      <c r="K132" s="237">
        <v>17.0</v>
      </c>
      <c r="L132" s="237">
        <v>-8.0</v>
      </c>
      <c r="M132" s="237">
        <v>15.0</v>
      </c>
      <c r="N132" s="237">
        <v>12.0</v>
      </c>
      <c r="O132" s="1"/>
    </row>
    <row r="133">
      <c r="A133" s="260" t="str">
        <f t="shared" si="1"/>
        <v>Caprile</v>
      </c>
      <c r="B133" s="237">
        <v>4360.0</v>
      </c>
      <c r="C133" s="236" t="s">
        <v>477</v>
      </c>
      <c r="D133" s="236" t="s">
        <v>478</v>
      </c>
      <c r="E133" s="236" t="s">
        <v>183</v>
      </c>
      <c r="F133" s="236" t="s">
        <v>975</v>
      </c>
      <c r="G133" s="237">
        <v>13.0</v>
      </c>
      <c r="H133" s="237">
        <v>7.0</v>
      </c>
      <c r="I133" s="237">
        <v>6.0</v>
      </c>
      <c r="J133" s="237">
        <v>13.0</v>
      </c>
      <c r="K133" s="237">
        <v>7.0</v>
      </c>
      <c r="L133" s="237">
        <v>6.0</v>
      </c>
      <c r="M133" s="237">
        <v>28.0</v>
      </c>
      <c r="N133" s="237">
        <v>28.0</v>
      </c>
      <c r="O133" s="1"/>
    </row>
    <row r="134">
      <c r="A134" s="260" t="str">
        <f t="shared" si="1"/>
        <v>Gaetano</v>
      </c>
      <c r="B134" s="237">
        <v>4364.0</v>
      </c>
      <c r="C134" s="236" t="s">
        <v>492</v>
      </c>
      <c r="D134" s="236" t="s">
        <v>543</v>
      </c>
      <c r="E134" s="236" t="s">
        <v>863</v>
      </c>
      <c r="F134" s="236" t="s">
        <v>975</v>
      </c>
      <c r="G134" s="237">
        <v>14.0</v>
      </c>
      <c r="H134" s="237">
        <v>8.0</v>
      </c>
      <c r="I134" s="237">
        <v>6.0</v>
      </c>
      <c r="J134" s="237">
        <v>14.0</v>
      </c>
      <c r="K134" s="237">
        <v>7.0</v>
      </c>
      <c r="L134" s="237">
        <v>7.0</v>
      </c>
      <c r="M134" s="237">
        <v>20.0</v>
      </c>
      <c r="N134" s="237">
        <v>17.0</v>
      </c>
      <c r="O134" s="1"/>
    </row>
    <row r="135">
      <c r="A135" s="260" t="str">
        <f t="shared" si="1"/>
        <v>Raspadori</v>
      </c>
      <c r="B135" s="237">
        <v>4371.0</v>
      </c>
      <c r="C135" s="236" t="s">
        <v>507</v>
      </c>
      <c r="D135" s="236" t="s">
        <v>507</v>
      </c>
      <c r="E135" s="236" t="s">
        <v>423</v>
      </c>
      <c r="F135" s="236" t="s">
        <v>980</v>
      </c>
      <c r="G135" s="237">
        <v>15.0</v>
      </c>
      <c r="H135" s="237">
        <v>13.0</v>
      </c>
      <c r="I135" s="237">
        <v>2.0</v>
      </c>
      <c r="J135" s="237">
        <v>15.0</v>
      </c>
      <c r="K135" s="237">
        <v>13.0</v>
      </c>
      <c r="L135" s="237">
        <v>2.0</v>
      </c>
      <c r="M135" s="237">
        <v>69.0</v>
      </c>
      <c r="N135" s="237">
        <v>69.0</v>
      </c>
      <c r="O135" s="1"/>
    </row>
    <row r="136">
      <c r="A136" s="260" t="str">
        <f t="shared" si="1"/>
        <v>Walukiewicz</v>
      </c>
      <c r="B136" s="237">
        <v>4374.0</v>
      </c>
      <c r="C136" s="236" t="s">
        <v>480</v>
      </c>
      <c r="D136" s="236" t="s">
        <v>937</v>
      </c>
      <c r="E136" s="236" t="s">
        <v>277</v>
      </c>
      <c r="F136" s="236" t="s">
        <v>1005</v>
      </c>
      <c r="G136" s="237">
        <v>6.0</v>
      </c>
      <c r="H136" s="237">
        <v>5.0</v>
      </c>
      <c r="I136" s="237">
        <v>1.0</v>
      </c>
      <c r="J136" s="237">
        <v>6.0</v>
      </c>
      <c r="K136" s="237">
        <v>6.0</v>
      </c>
      <c r="L136" s="237">
        <v>0.0</v>
      </c>
      <c r="M136" s="237">
        <v>13.0</v>
      </c>
      <c r="N136" s="237">
        <v>15.0</v>
      </c>
      <c r="O136" s="1"/>
    </row>
    <row r="137">
      <c r="A137" s="260" t="str">
        <f t="shared" si="1"/>
        <v>Ranieri L.</v>
      </c>
      <c r="B137" s="237">
        <v>4378.0</v>
      </c>
      <c r="C137" s="236" t="s">
        <v>480</v>
      </c>
      <c r="D137" s="236" t="s">
        <v>1022</v>
      </c>
      <c r="E137" s="236" t="s">
        <v>853</v>
      </c>
      <c r="F137" s="236" t="s">
        <v>1033</v>
      </c>
      <c r="G137" s="237">
        <v>6.0</v>
      </c>
      <c r="H137" s="237">
        <v>7.0</v>
      </c>
      <c r="I137" s="237">
        <v>-1.0</v>
      </c>
      <c r="J137" s="237">
        <v>6.0</v>
      </c>
      <c r="K137" s="237">
        <v>7.0</v>
      </c>
      <c r="L137" s="237">
        <v>-1.0</v>
      </c>
      <c r="M137" s="237">
        <v>10.0</v>
      </c>
      <c r="N137" s="237">
        <v>12.0</v>
      </c>
      <c r="O137" s="1"/>
    </row>
    <row r="138">
      <c r="A138" s="260" t="str">
        <f t="shared" si="1"/>
        <v>Lazaro</v>
      </c>
      <c r="B138" s="237">
        <v>4385.0</v>
      </c>
      <c r="C138" s="236" t="s">
        <v>480</v>
      </c>
      <c r="D138" s="236" t="s">
        <v>938</v>
      </c>
      <c r="E138" s="236" t="s">
        <v>838</v>
      </c>
      <c r="F138" s="236" t="s">
        <v>972</v>
      </c>
      <c r="G138" s="237">
        <v>6.0</v>
      </c>
      <c r="H138" s="237">
        <v>7.0</v>
      </c>
      <c r="I138" s="237">
        <v>-1.0</v>
      </c>
      <c r="J138" s="237">
        <v>6.0</v>
      </c>
      <c r="K138" s="237">
        <v>7.0</v>
      </c>
      <c r="L138" s="237">
        <v>-1.0</v>
      </c>
      <c r="M138" s="237">
        <v>12.0</v>
      </c>
      <c r="N138" s="237">
        <v>12.0</v>
      </c>
      <c r="O138" s="1"/>
    </row>
    <row r="139">
      <c r="A139" s="260" t="str">
        <f t="shared" si="1"/>
        <v>Gabbia</v>
      </c>
      <c r="B139" s="237">
        <v>4401.0</v>
      </c>
      <c r="C139" s="236" t="s">
        <v>480</v>
      </c>
      <c r="D139" s="236" t="s">
        <v>481</v>
      </c>
      <c r="E139" s="236" t="s">
        <v>761</v>
      </c>
      <c r="F139" s="236" t="s">
        <v>991</v>
      </c>
      <c r="G139" s="237">
        <v>8.0</v>
      </c>
      <c r="H139" s="237">
        <v>6.0</v>
      </c>
      <c r="I139" s="237">
        <v>2.0</v>
      </c>
      <c r="J139" s="237">
        <v>8.0</v>
      </c>
      <c r="K139" s="237">
        <v>6.0</v>
      </c>
      <c r="L139" s="237">
        <v>2.0</v>
      </c>
      <c r="M139" s="237">
        <v>22.0</v>
      </c>
      <c r="N139" s="237">
        <v>22.0</v>
      </c>
      <c r="O139" s="1"/>
    </row>
    <row r="140">
      <c r="A140" s="260" t="str">
        <f t="shared" si="1"/>
        <v>Thorsby</v>
      </c>
      <c r="B140" s="237">
        <v>4404.0</v>
      </c>
      <c r="C140" s="236" t="s">
        <v>492</v>
      </c>
      <c r="D140" s="236" t="s">
        <v>934</v>
      </c>
      <c r="E140" s="236" t="s">
        <v>1194</v>
      </c>
      <c r="F140" s="236" t="s">
        <v>995</v>
      </c>
      <c r="G140" s="237">
        <v>14.0</v>
      </c>
      <c r="H140" s="237">
        <v>5.0</v>
      </c>
      <c r="I140" s="237">
        <v>9.0</v>
      </c>
      <c r="J140" s="237">
        <v>14.0</v>
      </c>
      <c r="K140" s="237">
        <v>5.0</v>
      </c>
      <c r="L140" s="237">
        <v>9.0</v>
      </c>
      <c r="M140" s="237">
        <v>12.0</v>
      </c>
      <c r="N140" s="237">
        <v>12.0</v>
      </c>
      <c r="O140" s="1"/>
    </row>
    <row r="141">
      <c r="A141" s="260" t="str">
        <f t="shared" si="1"/>
        <v>Rrahmani</v>
      </c>
      <c r="B141" s="237">
        <v>4409.0</v>
      </c>
      <c r="C141" s="236" t="s">
        <v>480</v>
      </c>
      <c r="D141" s="236" t="s">
        <v>481</v>
      </c>
      <c r="E141" s="236" t="s">
        <v>816</v>
      </c>
      <c r="F141" s="236" t="s">
        <v>987</v>
      </c>
      <c r="G141" s="237">
        <v>12.0</v>
      </c>
      <c r="H141" s="237">
        <v>11.0</v>
      </c>
      <c r="I141" s="237">
        <v>1.0</v>
      </c>
      <c r="J141" s="237">
        <v>12.0</v>
      </c>
      <c r="K141" s="237">
        <v>11.0</v>
      </c>
      <c r="L141" s="237">
        <v>1.0</v>
      </c>
      <c r="M141" s="237">
        <v>34.0</v>
      </c>
      <c r="N141" s="237">
        <v>34.0</v>
      </c>
      <c r="O141" s="1"/>
    </row>
    <row r="142">
      <c r="A142" s="260" t="str">
        <f t="shared" si="1"/>
        <v>Malinovskyi</v>
      </c>
      <c r="B142" s="237">
        <v>4427.0</v>
      </c>
      <c r="C142" s="236" t="s">
        <v>492</v>
      </c>
      <c r="D142" s="236" t="s">
        <v>934</v>
      </c>
      <c r="E142" s="236" t="s">
        <v>462</v>
      </c>
      <c r="F142" s="236" t="s">
        <v>1026</v>
      </c>
      <c r="G142" s="237">
        <v>15.0</v>
      </c>
      <c r="H142" s="237">
        <v>8.0</v>
      </c>
      <c r="I142" s="237">
        <v>7.0</v>
      </c>
      <c r="J142" s="237">
        <v>15.0</v>
      </c>
      <c r="K142" s="237">
        <v>8.0</v>
      </c>
      <c r="L142" s="237">
        <v>7.0</v>
      </c>
      <c r="M142" s="237">
        <v>48.0</v>
      </c>
      <c r="N142" s="237">
        <v>50.0</v>
      </c>
      <c r="O142" s="1"/>
    </row>
    <row r="143">
      <c r="A143" s="260" t="str">
        <f t="shared" si="1"/>
        <v>Carnesecchi</v>
      </c>
      <c r="B143" s="237">
        <v>4431.0</v>
      </c>
      <c r="C143" s="236" t="s">
        <v>477</v>
      </c>
      <c r="D143" s="236" t="s">
        <v>478</v>
      </c>
      <c r="E143" s="236" t="s">
        <v>393</v>
      </c>
      <c r="F143" s="236" t="s">
        <v>980</v>
      </c>
      <c r="G143" s="237">
        <v>20.0</v>
      </c>
      <c r="H143" s="237">
        <v>14.0</v>
      </c>
      <c r="I143" s="237">
        <v>6.0</v>
      </c>
      <c r="J143" s="237">
        <v>20.0</v>
      </c>
      <c r="K143" s="237">
        <v>14.0</v>
      </c>
      <c r="L143" s="237">
        <v>6.0</v>
      </c>
      <c r="M143" s="237">
        <v>72.0</v>
      </c>
      <c r="N143" s="237">
        <v>72.0</v>
      </c>
      <c r="O143" s="1"/>
    </row>
    <row r="144">
      <c r="A144" s="260" t="str">
        <f t="shared" si="1"/>
        <v>Zortea</v>
      </c>
      <c r="B144" s="237">
        <v>4433.0</v>
      </c>
      <c r="C144" s="236" t="s">
        <v>480</v>
      </c>
      <c r="D144" s="236" t="s">
        <v>521</v>
      </c>
      <c r="E144" s="236" t="s">
        <v>631</v>
      </c>
      <c r="F144" s="236" t="s">
        <v>1009</v>
      </c>
      <c r="G144" s="237">
        <v>8.0</v>
      </c>
      <c r="H144" s="237">
        <v>16.0</v>
      </c>
      <c r="I144" s="237">
        <v>-8.0</v>
      </c>
      <c r="J144" s="237">
        <v>7.0</v>
      </c>
      <c r="K144" s="237">
        <v>15.0</v>
      </c>
      <c r="L144" s="237">
        <v>-8.0</v>
      </c>
      <c r="M144" s="237">
        <v>14.0</v>
      </c>
      <c r="N144" s="237">
        <v>12.0</v>
      </c>
      <c r="O144" s="1"/>
    </row>
    <row r="145">
      <c r="A145" s="260" t="str">
        <f t="shared" si="1"/>
        <v>Cambiaghi</v>
      </c>
      <c r="B145" s="237">
        <v>4436.0</v>
      </c>
      <c r="C145" s="236" t="s">
        <v>507</v>
      </c>
      <c r="D145" s="236" t="s">
        <v>507</v>
      </c>
      <c r="E145" s="236" t="s">
        <v>1020</v>
      </c>
      <c r="F145" s="236" t="s">
        <v>1009</v>
      </c>
      <c r="G145" s="237">
        <v>16.0</v>
      </c>
      <c r="H145" s="237">
        <v>11.0</v>
      </c>
      <c r="I145" s="237">
        <v>5.0</v>
      </c>
      <c r="J145" s="237">
        <v>16.0</v>
      </c>
      <c r="K145" s="237">
        <v>11.0</v>
      </c>
      <c r="L145" s="237">
        <v>5.0</v>
      </c>
      <c r="M145" s="237">
        <v>28.0</v>
      </c>
      <c r="N145" s="237">
        <v>28.0</v>
      </c>
      <c r="O145" s="1"/>
    </row>
    <row r="146">
      <c r="A146" s="260" t="str">
        <f t="shared" si="1"/>
        <v>Rovella</v>
      </c>
      <c r="B146" s="237">
        <v>4459.0</v>
      </c>
      <c r="C146" s="236" t="s">
        <v>492</v>
      </c>
      <c r="D146" s="236" t="s">
        <v>930</v>
      </c>
      <c r="E146" s="236" t="s">
        <v>637</v>
      </c>
      <c r="F146" s="236" t="s">
        <v>1000</v>
      </c>
      <c r="G146" s="237">
        <v>3.0</v>
      </c>
      <c r="H146" s="237">
        <v>8.0</v>
      </c>
      <c r="I146" s="237">
        <v>-5.0</v>
      </c>
      <c r="J146" s="237">
        <v>3.0</v>
      </c>
      <c r="K146" s="237">
        <v>9.0</v>
      </c>
      <c r="L146" s="237">
        <v>-6.0</v>
      </c>
      <c r="M146" s="237">
        <v>12.0</v>
      </c>
      <c r="N146" s="237">
        <v>15.0</v>
      </c>
      <c r="O146" s="1"/>
    </row>
    <row r="147">
      <c r="A147" s="260" t="str">
        <f t="shared" si="1"/>
        <v>Zappa</v>
      </c>
      <c r="B147" s="237">
        <v>4461.0</v>
      </c>
      <c r="C147" s="236" t="s">
        <v>480</v>
      </c>
      <c r="D147" s="236" t="s">
        <v>1019</v>
      </c>
      <c r="E147" s="236" t="s">
        <v>897</v>
      </c>
      <c r="F147" s="236" t="s">
        <v>975</v>
      </c>
      <c r="G147" s="237">
        <v>8.0</v>
      </c>
      <c r="H147" s="237">
        <v>6.0</v>
      </c>
      <c r="I147" s="237">
        <v>2.0</v>
      </c>
      <c r="J147" s="237">
        <v>8.0</v>
      </c>
      <c r="K147" s="237">
        <v>7.0</v>
      </c>
      <c r="L147" s="237">
        <v>1.0</v>
      </c>
      <c r="M147" s="237">
        <v>12.0</v>
      </c>
      <c r="N147" s="237">
        <v>15.0</v>
      </c>
      <c r="O147" s="1"/>
    </row>
    <row r="148">
      <c r="A148" s="260" t="str">
        <f t="shared" si="1"/>
        <v>Esposito Se.</v>
      </c>
      <c r="B148" s="237">
        <v>4463.0</v>
      </c>
      <c r="C148" s="236" t="s">
        <v>507</v>
      </c>
      <c r="D148" s="236" t="s">
        <v>507</v>
      </c>
      <c r="E148" s="236" t="s">
        <v>835</v>
      </c>
      <c r="F148" s="236" t="s">
        <v>975</v>
      </c>
      <c r="G148" s="237">
        <v>17.0</v>
      </c>
      <c r="H148" s="237">
        <v>7.0</v>
      </c>
      <c r="I148" s="237">
        <v>10.0</v>
      </c>
      <c r="J148" s="237">
        <v>17.0</v>
      </c>
      <c r="K148" s="237">
        <v>7.0</v>
      </c>
      <c r="L148" s="237">
        <v>10.0</v>
      </c>
      <c r="M148" s="237">
        <v>57.0</v>
      </c>
      <c r="N148" s="237">
        <v>57.0</v>
      </c>
      <c r="O148" s="1"/>
    </row>
    <row r="149">
      <c r="A149" s="260" t="str">
        <f t="shared" si="1"/>
        <v>Fagioli</v>
      </c>
      <c r="B149" s="237">
        <v>4465.0</v>
      </c>
      <c r="C149" s="236" t="s">
        <v>492</v>
      </c>
      <c r="D149" s="236" t="s">
        <v>492</v>
      </c>
      <c r="E149" s="236" t="s">
        <v>779</v>
      </c>
      <c r="F149" s="236" t="s">
        <v>1033</v>
      </c>
      <c r="G149" s="237">
        <v>8.0</v>
      </c>
      <c r="H149" s="237">
        <v>8.0</v>
      </c>
      <c r="I149" s="237">
        <v>0.0</v>
      </c>
      <c r="J149" s="237">
        <v>8.0</v>
      </c>
      <c r="K149" s="237">
        <v>8.0</v>
      </c>
      <c r="L149" s="237">
        <v>0.0</v>
      </c>
      <c r="M149" s="237">
        <v>27.0</v>
      </c>
      <c r="N149" s="237">
        <v>27.0</v>
      </c>
      <c r="O149" s="1"/>
    </row>
    <row r="150">
      <c r="A150" s="260" t="str">
        <f t="shared" si="1"/>
        <v>Elmas</v>
      </c>
      <c r="B150" s="237">
        <v>4479.0</v>
      </c>
      <c r="C150" s="236" t="s">
        <v>492</v>
      </c>
      <c r="D150" s="236" t="s">
        <v>1057</v>
      </c>
      <c r="E150" s="236" t="s">
        <v>253</v>
      </c>
      <c r="F150" s="236" t="s">
        <v>987</v>
      </c>
      <c r="G150" s="237">
        <v>6.0</v>
      </c>
      <c r="H150" s="237">
        <v>11.0</v>
      </c>
      <c r="I150" s="237">
        <v>-5.0</v>
      </c>
      <c r="J150" s="237">
        <v>6.0</v>
      </c>
      <c r="K150" s="237">
        <v>11.0</v>
      </c>
      <c r="L150" s="237">
        <v>-5.0</v>
      </c>
      <c r="M150" s="237">
        <v>23.0</v>
      </c>
      <c r="N150" s="237">
        <v>25.0</v>
      </c>
      <c r="O150" s="1"/>
    </row>
    <row r="151">
      <c r="A151" s="260" t="str">
        <f t="shared" si="1"/>
        <v>Strefezza</v>
      </c>
      <c r="B151" s="237">
        <v>4486.0</v>
      </c>
      <c r="C151" s="236" t="s">
        <v>492</v>
      </c>
      <c r="D151" s="236" t="s">
        <v>935</v>
      </c>
      <c r="E151" s="236" t="s">
        <v>629</v>
      </c>
      <c r="F151" s="236" t="s">
        <v>985</v>
      </c>
      <c r="G151" s="237">
        <v>10.0</v>
      </c>
      <c r="H151" s="237">
        <v>14.0</v>
      </c>
      <c r="I151" s="237">
        <v>-4.0</v>
      </c>
      <c r="J151" s="237">
        <v>9.0</v>
      </c>
      <c r="K151" s="237">
        <v>13.0</v>
      </c>
      <c r="L151" s="237">
        <v>-4.0</v>
      </c>
      <c r="M151" s="237">
        <v>30.0</v>
      </c>
      <c r="N151" s="237">
        <v>28.0</v>
      </c>
      <c r="O151" s="1"/>
    </row>
    <row r="152">
      <c r="A152" s="260" t="str">
        <f t="shared" si="1"/>
        <v>Gallo</v>
      </c>
      <c r="B152" s="237">
        <v>4502.0</v>
      </c>
      <c r="C152" s="236" t="s">
        <v>480</v>
      </c>
      <c r="D152" s="236" t="s">
        <v>931</v>
      </c>
      <c r="E152" s="236" t="s">
        <v>892</v>
      </c>
      <c r="F152" s="236" t="s">
        <v>998</v>
      </c>
      <c r="G152" s="237">
        <v>8.0</v>
      </c>
      <c r="H152" s="237">
        <v>5.0</v>
      </c>
      <c r="I152" s="237">
        <v>3.0</v>
      </c>
      <c r="J152" s="237">
        <v>8.0</v>
      </c>
      <c r="K152" s="237">
        <v>5.0</v>
      </c>
      <c r="L152" s="237">
        <v>3.0</v>
      </c>
      <c r="M152" s="237">
        <v>13.0</v>
      </c>
      <c r="N152" s="237">
        <v>13.0</v>
      </c>
      <c r="O152" s="1"/>
    </row>
    <row r="153">
      <c r="A153" s="260" t="str">
        <f t="shared" si="1"/>
        <v>Leao</v>
      </c>
      <c r="B153" s="237">
        <v>4510.0</v>
      </c>
      <c r="C153" s="236" t="s">
        <v>507</v>
      </c>
      <c r="D153" s="236" t="s">
        <v>507</v>
      </c>
      <c r="E153" s="236" t="s">
        <v>306</v>
      </c>
      <c r="F153" s="236" t="s">
        <v>991</v>
      </c>
      <c r="G153" s="237">
        <v>28.0</v>
      </c>
      <c r="H153" s="237">
        <v>24.0</v>
      </c>
      <c r="I153" s="237">
        <v>4.0</v>
      </c>
      <c r="J153" s="237">
        <v>28.0</v>
      </c>
      <c r="K153" s="237">
        <v>24.0</v>
      </c>
      <c r="L153" s="237">
        <v>4.0</v>
      </c>
      <c r="M153" s="237">
        <v>182.0</v>
      </c>
      <c r="N153" s="237">
        <v>182.0</v>
      </c>
      <c r="O153" s="1"/>
    </row>
    <row r="154">
      <c r="A154" s="260" t="str">
        <f t="shared" si="1"/>
        <v>Celik</v>
      </c>
      <c r="B154" s="237">
        <v>4657.0</v>
      </c>
      <c r="C154" s="236" t="s">
        <v>480</v>
      </c>
      <c r="D154" s="236" t="s">
        <v>1019</v>
      </c>
      <c r="E154" s="236" t="s">
        <v>1029</v>
      </c>
      <c r="F154" s="236" t="s">
        <v>988</v>
      </c>
      <c r="G154" s="237">
        <v>14.0</v>
      </c>
      <c r="H154" s="237">
        <v>7.0</v>
      </c>
      <c r="I154" s="237">
        <v>7.0</v>
      </c>
      <c r="J154" s="237">
        <v>14.0</v>
      </c>
      <c r="K154" s="237">
        <v>8.0</v>
      </c>
      <c r="L154" s="237">
        <v>6.0</v>
      </c>
      <c r="M154" s="237">
        <v>14.0</v>
      </c>
      <c r="N154" s="237">
        <v>17.0</v>
      </c>
      <c r="O154" s="1"/>
    </row>
    <row r="155">
      <c r="A155" s="260" t="str">
        <f t="shared" si="1"/>
        <v>Maripan</v>
      </c>
      <c r="B155" s="237">
        <v>4665.0</v>
      </c>
      <c r="C155" s="236" t="s">
        <v>480</v>
      </c>
      <c r="D155" s="236" t="s">
        <v>481</v>
      </c>
      <c r="E155" s="236" t="s">
        <v>697</v>
      </c>
      <c r="F155" s="236" t="s">
        <v>972</v>
      </c>
      <c r="G155" s="237">
        <v>11.0</v>
      </c>
      <c r="H155" s="237">
        <v>7.0</v>
      </c>
      <c r="I155" s="237">
        <v>4.0</v>
      </c>
      <c r="J155" s="237">
        <v>11.0</v>
      </c>
      <c r="K155" s="237">
        <v>7.0</v>
      </c>
      <c r="L155" s="237">
        <v>4.0</v>
      </c>
      <c r="M155" s="237">
        <v>20.0</v>
      </c>
      <c r="N155" s="237">
        <v>20.0</v>
      </c>
      <c r="O155" s="1"/>
    </row>
    <row r="156">
      <c r="A156" s="260" t="str">
        <f t="shared" si="1"/>
        <v>Cornet</v>
      </c>
      <c r="B156" s="237">
        <v>4677.0</v>
      </c>
      <c r="C156" s="236" t="s">
        <v>492</v>
      </c>
      <c r="D156" s="236" t="s">
        <v>563</v>
      </c>
      <c r="E156" s="236" t="s">
        <v>1035</v>
      </c>
      <c r="F156" s="236" t="s">
        <v>1026</v>
      </c>
      <c r="G156" s="237">
        <v>2.0</v>
      </c>
      <c r="H156" s="237">
        <v>7.0</v>
      </c>
      <c r="I156" s="237">
        <v>-5.0</v>
      </c>
      <c r="J156" s="237">
        <v>2.0</v>
      </c>
      <c r="K156" s="237">
        <v>7.0</v>
      </c>
      <c r="L156" s="237">
        <v>-5.0</v>
      </c>
      <c r="M156" s="237">
        <v>5.0</v>
      </c>
      <c r="N156" s="237">
        <v>5.0</v>
      </c>
      <c r="O156" s="1"/>
    </row>
    <row r="157">
      <c r="A157" s="260" t="str">
        <f t="shared" si="1"/>
        <v>Fofana Y.</v>
      </c>
      <c r="B157" s="237">
        <v>4686.0</v>
      </c>
      <c r="C157" s="236" t="s">
        <v>492</v>
      </c>
      <c r="D157" s="236" t="s">
        <v>930</v>
      </c>
      <c r="E157" s="236" t="s">
        <v>750</v>
      </c>
      <c r="F157" s="236" t="s">
        <v>991</v>
      </c>
      <c r="G157" s="237">
        <v>10.0</v>
      </c>
      <c r="H157" s="237">
        <v>11.0</v>
      </c>
      <c r="I157" s="237">
        <v>-1.0</v>
      </c>
      <c r="J157" s="237">
        <v>10.0</v>
      </c>
      <c r="K157" s="237">
        <v>12.0</v>
      </c>
      <c r="L157" s="237">
        <v>-2.0</v>
      </c>
      <c r="M157" s="237">
        <v>27.0</v>
      </c>
      <c r="N157" s="237">
        <v>32.0</v>
      </c>
      <c r="O157" s="1"/>
    </row>
    <row r="158">
      <c r="A158" s="260" t="str">
        <f t="shared" si="1"/>
        <v>Kostic</v>
      </c>
      <c r="B158" s="237">
        <v>4711.0</v>
      </c>
      <c r="C158" s="236" t="s">
        <v>492</v>
      </c>
      <c r="D158" s="236" t="s">
        <v>1089</v>
      </c>
      <c r="E158" s="236" t="s">
        <v>1088</v>
      </c>
      <c r="F158" s="236" t="s">
        <v>976</v>
      </c>
      <c r="G158" s="237">
        <v>14.0</v>
      </c>
      <c r="H158" s="237">
        <v>4.0</v>
      </c>
      <c r="I158" s="237">
        <v>10.0</v>
      </c>
      <c r="J158" s="237">
        <v>14.0</v>
      </c>
      <c r="K158" s="237">
        <v>5.0</v>
      </c>
      <c r="L158" s="237">
        <v>9.0</v>
      </c>
      <c r="M158" s="237">
        <v>17.0</v>
      </c>
      <c r="N158" s="237">
        <v>17.0</v>
      </c>
      <c r="O158" s="1"/>
    </row>
    <row r="159">
      <c r="A159" s="260" t="str">
        <f t="shared" si="1"/>
        <v>Nkunku</v>
      </c>
      <c r="B159" s="237">
        <v>4728.0</v>
      </c>
      <c r="C159" s="236" t="s">
        <v>507</v>
      </c>
      <c r="D159" s="236" t="s">
        <v>507</v>
      </c>
      <c r="E159" s="236" t="s">
        <v>1126</v>
      </c>
      <c r="F159" s="236" t="s">
        <v>991</v>
      </c>
      <c r="G159" s="237">
        <v>19.0</v>
      </c>
      <c r="H159" s="237">
        <v>20.0</v>
      </c>
      <c r="I159" s="237">
        <v>-1.0</v>
      </c>
      <c r="J159" s="237">
        <v>19.0</v>
      </c>
      <c r="K159" s="237">
        <v>20.0</v>
      </c>
      <c r="L159" s="237">
        <v>-1.0</v>
      </c>
      <c r="M159" s="237">
        <v>45.0</v>
      </c>
      <c r="N159" s="237">
        <v>45.0</v>
      </c>
      <c r="O159" s="1"/>
    </row>
    <row r="160">
      <c r="A160" s="260" t="str">
        <f t="shared" si="1"/>
        <v>Miranda J.</v>
      </c>
      <c r="B160" s="237">
        <v>4734.0</v>
      </c>
      <c r="C160" s="236" t="s">
        <v>480</v>
      </c>
      <c r="D160" s="236" t="s">
        <v>931</v>
      </c>
      <c r="E160" s="236" t="s">
        <v>72</v>
      </c>
      <c r="F160" s="236" t="s">
        <v>1009</v>
      </c>
      <c r="G160" s="237">
        <v>10.0</v>
      </c>
      <c r="H160" s="237">
        <v>9.0</v>
      </c>
      <c r="I160" s="237">
        <v>1.0</v>
      </c>
      <c r="J160" s="237">
        <v>10.0</v>
      </c>
      <c r="K160" s="237">
        <v>9.0</v>
      </c>
      <c r="L160" s="237">
        <v>1.0</v>
      </c>
      <c r="M160" s="237">
        <v>13.0</v>
      </c>
      <c r="N160" s="237">
        <v>13.0</v>
      </c>
      <c r="O160" s="1"/>
    </row>
    <row r="161">
      <c r="A161" s="260" t="str">
        <f t="shared" si="1"/>
        <v>Tomori</v>
      </c>
      <c r="B161" s="237">
        <v>4751.0</v>
      </c>
      <c r="C161" s="236" t="s">
        <v>480</v>
      </c>
      <c r="D161" s="236" t="s">
        <v>481</v>
      </c>
      <c r="E161" s="236" t="s">
        <v>769</v>
      </c>
      <c r="F161" s="236" t="s">
        <v>991</v>
      </c>
      <c r="G161" s="237">
        <v>8.0</v>
      </c>
      <c r="H161" s="237">
        <v>8.0</v>
      </c>
      <c r="I161" s="237">
        <v>0.0</v>
      </c>
      <c r="J161" s="237">
        <v>8.0</v>
      </c>
      <c r="K161" s="237">
        <v>8.0</v>
      </c>
      <c r="L161" s="237">
        <v>0.0</v>
      </c>
      <c r="M161" s="237">
        <v>30.0</v>
      </c>
      <c r="N161" s="237">
        <v>30.0</v>
      </c>
      <c r="O161" s="1"/>
    </row>
    <row r="162">
      <c r="A162" s="260" t="str">
        <f t="shared" si="1"/>
        <v>Angelino</v>
      </c>
      <c r="B162" s="237">
        <v>4772.0</v>
      </c>
      <c r="C162" s="236" t="s">
        <v>480</v>
      </c>
      <c r="D162" s="236" t="s">
        <v>521</v>
      </c>
      <c r="E162" s="236" t="s">
        <v>321</v>
      </c>
      <c r="F162" s="236" t="s">
        <v>988</v>
      </c>
      <c r="G162" s="237">
        <v>7.0</v>
      </c>
      <c r="H162" s="237">
        <v>15.0</v>
      </c>
      <c r="I162" s="237">
        <v>-8.0</v>
      </c>
      <c r="J162" s="237">
        <v>7.0</v>
      </c>
      <c r="K162" s="237">
        <v>14.0</v>
      </c>
      <c r="L162" s="237">
        <v>-7.0</v>
      </c>
      <c r="M162" s="237">
        <v>10.0</v>
      </c>
      <c r="N162" s="237">
        <v>10.0</v>
      </c>
      <c r="O162" s="1"/>
    </row>
    <row r="163">
      <c r="A163" s="260" t="str">
        <f t="shared" si="1"/>
        <v>McTominay</v>
      </c>
      <c r="B163" s="237">
        <v>4777.0</v>
      </c>
      <c r="C163" s="236" t="s">
        <v>492</v>
      </c>
      <c r="D163" s="236" t="s">
        <v>934</v>
      </c>
      <c r="E163" s="236" t="s">
        <v>405</v>
      </c>
      <c r="F163" s="236" t="s">
        <v>987</v>
      </c>
      <c r="G163" s="237">
        <v>24.0</v>
      </c>
      <c r="H163" s="237">
        <v>26.0</v>
      </c>
      <c r="I163" s="237">
        <v>-2.0</v>
      </c>
      <c r="J163" s="237">
        <v>24.0</v>
      </c>
      <c r="K163" s="237">
        <v>26.0</v>
      </c>
      <c r="L163" s="237">
        <v>-2.0</v>
      </c>
      <c r="M163" s="237">
        <v>206.0</v>
      </c>
      <c r="N163" s="237">
        <v>206.0</v>
      </c>
      <c r="O163" s="1"/>
    </row>
    <row r="164">
      <c r="A164" s="260" t="str">
        <f t="shared" si="1"/>
        <v>Hermoso</v>
      </c>
      <c r="B164" s="237">
        <v>4807.0</v>
      </c>
      <c r="C164" s="236" t="s">
        <v>480</v>
      </c>
      <c r="D164" s="236" t="s">
        <v>481</v>
      </c>
      <c r="E164" s="236" t="s">
        <v>1072</v>
      </c>
      <c r="F164" s="236" t="s">
        <v>988</v>
      </c>
      <c r="G164" s="237">
        <v>10.0</v>
      </c>
      <c r="H164" s="237">
        <v>3.0</v>
      </c>
      <c r="I164" s="237">
        <v>7.0</v>
      </c>
      <c r="J164" s="237">
        <v>10.0</v>
      </c>
      <c r="K164" s="237">
        <v>3.0</v>
      </c>
      <c r="L164" s="237">
        <v>7.0</v>
      </c>
      <c r="M164" s="237">
        <v>18.0</v>
      </c>
      <c r="N164" s="237">
        <v>18.0</v>
      </c>
      <c r="O164" s="1"/>
    </row>
    <row r="165">
      <c r="A165" s="260" t="str">
        <f t="shared" si="1"/>
        <v>Turati</v>
      </c>
      <c r="B165" s="237">
        <v>4867.0</v>
      </c>
      <c r="C165" s="236" t="s">
        <v>477</v>
      </c>
      <c r="D165" s="236" t="s">
        <v>478</v>
      </c>
      <c r="E165" s="236" t="s">
        <v>830</v>
      </c>
      <c r="F165" s="236" t="s">
        <v>1005</v>
      </c>
      <c r="G165" s="237">
        <v>1.0</v>
      </c>
      <c r="H165" s="237">
        <v>7.0</v>
      </c>
      <c r="I165" s="237">
        <v>-6.0</v>
      </c>
      <c r="J165" s="237">
        <v>1.0</v>
      </c>
      <c r="K165" s="237">
        <v>7.0</v>
      </c>
      <c r="L165" s="237">
        <v>-6.0</v>
      </c>
      <c r="M165" s="237">
        <v>1.0</v>
      </c>
      <c r="N165" s="237">
        <v>1.0</v>
      </c>
      <c r="O165" s="1"/>
    </row>
    <row r="166">
      <c r="A166" s="260" t="str">
        <f t="shared" si="1"/>
        <v>Adopo</v>
      </c>
      <c r="B166" s="237">
        <v>4870.0</v>
      </c>
      <c r="C166" s="236" t="s">
        <v>492</v>
      </c>
      <c r="D166" s="236" t="s">
        <v>930</v>
      </c>
      <c r="E166" s="236" t="s">
        <v>763</v>
      </c>
      <c r="F166" s="236" t="s">
        <v>975</v>
      </c>
      <c r="G166" s="237">
        <v>7.0</v>
      </c>
      <c r="H166" s="237">
        <v>5.0</v>
      </c>
      <c r="I166" s="237">
        <v>2.0</v>
      </c>
      <c r="J166" s="237">
        <v>7.0</v>
      </c>
      <c r="K166" s="237">
        <v>6.0</v>
      </c>
      <c r="L166" s="237">
        <v>1.0</v>
      </c>
      <c r="M166" s="237">
        <v>14.0</v>
      </c>
      <c r="N166" s="237">
        <v>15.0</v>
      </c>
      <c r="O166" s="1"/>
    </row>
    <row r="167">
      <c r="A167" s="260" t="str">
        <f t="shared" si="1"/>
        <v>Thuram</v>
      </c>
      <c r="B167" s="237">
        <v>4871.0</v>
      </c>
      <c r="C167" s="236" t="s">
        <v>507</v>
      </c>
      <c r="D167" s="236" t="s">
        <v>512</v>
      </c>
      <c r="E167" s="236" t="s">
        <v>273</v>
      </c>
      <c r="F167" s="236" t="s">
        <v>973</v>
      </c>
      <c r="G167" s="237">
        <v>29.0</v>
      </c>
      <c r="H167" s="237">
        <v>29.0</v>
      </c>
      <c r="I167" s="237">
        <v>0.0</v>
      </c>
      <c r="J167" s="237">
        <v>29.0</v>
      </c>
      <c r="K167" s="237">
        <v>29.0</v>
      </c>
      <c r="L167" s="237">
        <v>0.0</v>
      </c>
      <c r="M167" s="237">
        <v>228.0</v>
      </c>
      <c r="N167" s="237">
        <v>228.0</v>
      </c>
      <c r="O167" s="1"/>
    </row>
    <row r="168">
      <c r="A168" s="260" t="str">
        <f t="shared" si="1"/>
        <v>Bellanova</v>
      </c>
      <c r="B168" s="237">
        <v>4887.0</v>
      </c>
      <c r="C168" s="236" t="s">
        <v>480</v>
      </c>
      <c r="D168" s="236" t="s">
        <v>521</v>
      </c>
      <c r="E168" s="236" t="s">
        <v>606</v>
      </c>
      <c r="F168" s="236" t="s">
        <v>980</v>
      </c>
      <c r="G168" s="237">
        <v>6.0</v>
      </c>
      <c r="H168" s="237">
        <v>13.0</v>
      </c>
      <c r="I168" s="237">
        <v>-7.0</v>
      </c>
      <c r="J168" s="237">
        <v>6.0</v>
      </c>
      <c r="K168" s="237">
        <v>12.0</v>
      </c>
      <c r="L168" s="237">
        <v>-6.0</v>
      </c>
      <c r="M168" s="237">
        <v>16.0</v>
      </c>
      <c r="N168" s="237">
        <v>16.0</v>
      </c>
      <c r="O168" s="1"/>
    </row>
    <row r="169">
      <c r="A169" s="260" t="str">
        <f t="shared" si="1"/>
        <v>Tameze</v>
      </c>
      <c r="B169" s="237">
        <v>4890.0</v>
      </c>
      <c r="C169" s="236" t="s">
        <v>492</v>
      </c>
      <c r="D169" s="236" t="s">
        <v>930</v>
      </c>
      <c r="E169" s="236" t="s">
        <v>891</v>
      </c>
      <c r="F169" s="236" t="s">
        <v>972</v>
      </c>
      <c r="G169" s="237">
        <v>4.0</v>
      </c>
      <c r="H169" s="237">
        <v>5.0</v>
      </c>
      <c r="I169" s="237">
        <v>-1.0</v>
      </c>
      <c r="J169" s="237">
        <v>4.0</v>
      </c>
      <c r="K169" s="237">
        <v>5.0</v>
      </c>
      <c r="L169" s="237">
        <v>-1.0</v>
      </c>
      <c r="M169" s="237">
        <v>9.0</v>
      </c>
      <c r="N169" s="237">
        <v>12.0</v>
      </c>
      <c r="O169" s="1"/>
    </row>
    <row r="170">
      <c r="A170" s="260" t="str">
        <f t="shared" si="1"/>
        <v>Saelemaekers</v>
      </c>
      <c r="B170" s="237">
        <v>4892.0</v>
      </c>
      <c r="C170" s="236" t="s">
        <v>492</v>
      </c>
      <c r="D170" s="236" t="s">
        <v>1089</v>
      </c>
      <c r="E170" s="236" t="s">
        <v>869</v>
      </c>
      <c r="F170" s="236" t="s">
        <v>991</v>
      </c>
      <c r="G170" s="237">
        <v>19.0</v>
      </c>
      <c r="H170" s="237">
        <v>12.0</v>
      </c>
      <c r="I170" s="237">
        <v>7.0</v>
      </c>
      <c r="J170" s="237">
        <v>19.0</v>
      </c>
      <c r="K170" s="237">
        <v>14.0</v>
      </c>
      <c r="L170" s="237">
        <v>5.0</v>
      </c>
      <c r="M170" s="237">
        <v>87.0</v>
      </c>
      <c r="N170" s="237">
        <v>89.0</v>
      </c>
      <c r="O170" s="1"/>
    </row>
    <row r="171">
      <c r="A171" s="260" t="str">
        <f t="shared" si="1"/>
        <v>Maldini</v>
      </c>
      <c r="B171" s="237">
        <v>4896.0</v>
      </c>
      <c r="C171" s="236" t="s">
        <v>492</v>
      </c>
      <c r="D171" s="236" t="s">
        <v>947</v>
      </c>
      <c r="E171" s="236" t="s">
        <v>645</v>
      </c>
      <c r="F171" s="236" t="s">
        <v>1000</v>
      </c>
      <c r="G171" s="237">
        <v>3.0</v>
      </c>
      <c r="H171" s="237">
        <v>9.0</v>
      </c>
      <c r="I171" s="237">
        <v>-6.0</v>
      </c>
      <c r="J171" s="237">
        <v>3.0</v>
      </c>
      <c r="K171" s="237">
        <v>8.0</v>
      </c>
      <c r="L171" s="237">
        <v>-5.0</v>
      </c>
      <c r="M171" s="237">
        <v>18.0</v>
      </c>
      <c r="N171" s="237">
        <v>18.0</v>
      </c>
      <c r="O171" s="1"/>
    </row>
    <row r="172">
      <c r="A172" s="260" t="str">
        <f t="shared" si="1"/>
        <v>Colombo</v>
      </c>
      <c r="B172" s="237">
        <v>4923.0</v>
      </c>
      <c r="C172" s="236" t="s">
        <v>507</v>
      </c>
      <c r="D172" s="236" t="s">
        <v>512</v>
      </c>
      <c r="E172" s="236" t="s">
        <v>758</v>
      </c>
      <c r="F172" s="236" t="s">
        <v>1026</v>
      </c>
      <c r="G172" s="237">
        <v>13.0</v>
      </c>
      <c r="H172" s="237">
        <v>12.0</v>
      </c>
      <c r="I172" s="237">
        <v>1.0</v>
      </c>
      <c r="J172" s="237">
        <v>14.0</v>
      </c>
      <c r="K172" s="237">
        <v>11.0</v>
      </c>
      <c r="L172" s="237">
        <v>3.0</v>
      </c>
      <c r="M172" s="237">
        <v>44.0</v>
      </c>
      <c r="N172" s="237">
        <v>41.0</v>
      </c>
      <c r="O172" s="1"/>
    </row>
    <row r="173">
      <c r="A173" s="260" t="str">
        <f t="shared" si="1"/>
        <v>Ciocci</v>
      </c>
      <c r="B173" s="237">
        <v>4929.0</v>
      </c>
      <c r="C173" s="236" t="s">
        <v>477</v>
      </c>
      <c r="D173" s="236" t="s">
        <v>478</v>
      </c>
      <c r="E173" s="236" t="s">
        <v>1031</v>
      </c>
      <c r="F173" s="236" t="s">
        <v>975</v>
      </c>
      <c r="G173" s="237">
        <v>1.0</v>
      </c>
      <c r="H173" s="237">
        <v>1.0</v>
      </c>
      <c r="I173" s="237">
        <v>0.0</v>
      </c>
      <c r="J173" s="237">
        <v>1.0</v>
      </c>
      <c r="K173" s="237">
        <v>1.0</v>
      </c>
      <c r="L173" s="237">
        <v>0.0</v>
      </c>
      <c r="M173" s="237">
        <v>1.0</v>
      </c>
      <c r="N173" s="237">
        <v>1.0</v>
      </c>
      <c r="O173" s="1"/>
    </row>
    <row r="174">
      <c r="A174" s="260" t="str">
        <f t="shared" si="1"/>
        <v>Brescianini</v>
      </c>
      <c r="B174" s="237">
        <v>4947.0</v>
      </c>
      <c r="C174" s="236" t="s">
        <v>492</v>
      </c>
      <c r="D174" s="236" t="s">
        <v>934</v>
      </c>
      <c r="E174" s="236" t="s">
        <v>139</v>
      </c>
      <c r="F174" s="236" t="s">
        <v>1033</v>
      </c>
      <c r="G174" s="237">
        <v>10.0</v>
      </c>
      <c r="H174" s="237">
        <v>8.0</v>
      </c>
      <c r="I174" s="237">
        <v>2.0</v>
      </c>
      <c r="J174" s="237">
        <v>10.0</v>
      </c>
      <c r="K174" s="237">
        <v>8.0</v>
      </c>
      <c r="L174" s="237">
        <v>2.0</v>
      </c>
      <c r="M174" s="237">
        <v>28.0</v>
      </c>
      <c r="N174" s="237">
        <v>28.0</v>
      </c>
      <c r="O174" s="1"/>
    </row>
    <row r="175">
      <c r="A175" s="260" t="str">
        <f t="shared" si="1"/>
        <v>Montipò</v>
      </c>
      <c r="B175" s="237">
        <v>4957.0</v>
      </c>
      <c r="C175" s="236" t="s">
        <v>477</v>
      </c>
      <c r="D175" s="236" t="s">
        <v>478</v>
      </c>
      <c r="E175" s="236" t="s">
        <v>407</v>
      </c>
      <c r="F175" s="236" t="s">
        <v>983</v>
      </c>
      <c r="G175" s="237">
        <v>9.0</v>
      </c>
      <c r="H175" s="237">
        <v>5.0</v>
      </c>
      <c r="I175" s="237">
        <v>4.0</v>
      </c>
      <c r="J175" s="237">
        <v>9.0</v>
      </c>
      <c r="K175" s="237">
        <v>5.0</v>
      </c>
      <c r="L175" s="237">
        <v>4.0</v>
      </c>
      <c r="M175" s="237">
        <v>2.0</v>
      </c>
      <c r="N175" s="237">
        <v>2.0</v>
      </c>
      <c r="O175" s="1"/>
    </row>
    <row r="176">
      <c r="A176" s="260" t="str">
        <f t="shared" si="1"/>
        <v>Messias</v>
      </c>
      <c r="B176" s="237">
        <v>4970.0</v>
      </c>
      <c r="C176" s="236" t="s">
        <v>492</v>
      </c>
      <c r="D176" s="236" t="s">
        <v>1056</v>
      </c>
      <c r="E176" s="236" t="s">
        <v>702</v>
      </c>
      <c r="F176" s="236" t="s">
        <v>1026</v>
      </c>
      <c r="G176" s="237">
        <v>7.0</v>
      </c>
      <c r="H176" s="237">
        <v>8.0</v>
      </c>
      <c r="I176" s="237">
        <v>-1.0</v>
      </c>
      <c r="J176" s="237">
        <v>7.0</v>
      </c>
      <c r="K176" s="237">
        <v>8.0</v>
      </c>
      <c r="L176" s="237">
        <v>-1.0</v>
      </c>
      <c r="M176" s="237">
        <v>10.0</v>
      </c>
      <c r="N176" s="237">
        <v>10.0</v>
      </c>
      <c r="O176" s="1"/>
    </row>
    <row r="177">
      <c r="A177" s="260" t="str">
        <f t="shared" si="1"/>
        <v>McKennie</v>
      </c>
      <c r="B177" s="237">
        <v>4973.0</v>
      </c>
      <c r="C177" s="236" t="s">
        <v>492</v>
      </c>
      <c r="D177" s="236" t="s">
        <v>930</v>
      </c>
      <c r="E177" s="236" t="s">
        <v>732</v>
      </c>
      <c r="F177" s="236" t="s">
        <v>976</v>
      </c>
      <c r="G177" s="237">
        <v>16.0</v>
      </c>
      <c r="H177" s="237">
        <v>10.0</v>
      </c>
      <c r="I177" s="237">
        <v>6.0</v>
      </c>
      <c r="J177" s="237">
        <v>15.0</v>
      </c>
      <c r="K177" s="237">
        <v>11.0</v>
      </c>
      <c r="L177" s="237">
        <v>4.0</v>
      </c>
      <c r="M177" s="237">
        <v>82.0</v>
      </c>
      <c r="N177" s="237">
        <v>92.0</v>
      </c>
      <c r="O177" s="1"/>
    </row>
    <row r="178">
      <c r="A178" s="260" t="str">
        <f t="shared" si="1"/>
        <v>Kalulu</v>
      </c>
      <c r="B178" s="237">
        <v>4976.0</v>
      </c>
      <c r="C178" s="236" t="s">
        <v>480</v>
      </c>
      <c r="D178" s="236" t="s">
        <v>937</v>
      </c>
      <c r="E178" s="236" t="s">
        <v>667</v>
      </c>
      <c r="F178" s="236" t="s">
        <v>976</v>
      </c>
      <c r="G178" s="237">
        <v>13.0</v>
      </c>
      <c r="H178" s="237">
        <v>9.0</v>
      </c>
      <c r="I178" s="237">
        <v>4.0</v>
      </c>
      <c r="J178" s="237">
        <v>13.0</v>
      </c>
      <c r="K178" s="237">
        <v>10.0</v>
      </c>
      <c r="L178" s="237">
        <v>3.0</v>
      </c>
      <c r="M178" s="237">
        <v>55.0</v>
      </c>
      <c r="N178" s="237">
        <v>58.0</v>
      </c>
      <c r="O178" s="1"/>
    </row>
    <row r="179">
      <c r="A179" s="260" t="str">
        <f t="shared" si="1"/>
        <v>Vojvoda</v>
      </c>
      <c r="B179" s="237">
        <v>4994.0</v>
      </c>
      <c r="C179" s="236" t="s">
        <v>480</v>
      </c>
      <c r="D179" s="236" t="s">
        <v>938</v>
      </c>
      <c r="E179" s="236" t="s">
        <v>875</v>
      </c>
      <c r="F179" s="236" t="s">
        <v>974</v>
      </c>
      <c r="G179" s="237">
        <v>12.0</v>
      </c>
      <c r="H179" s="237">
        <v>6.0</v>
      </c>
      <c r="I179" s="237">
        <v>6.0</v>
      </c>
      <c r="J179" s="237">
        <v>12.0</v>
      </c>
      <c r="K179" s="237">
        <v>6.0</v>
      </c>
      <c r="L179" s="237">
        <v>6.0</v>
      </c>
      <c r="M179" s="237">
        <v>12.0</v>
      </c>
      <c r="N179" s="237">
        <v>12.0</v>
      </c>
      <c r="O179" s="1"/>
    </row>
    <row r="180">
      <c r="A180" s="260" t="str">
        <f t="shared" si="1"/>
        <v>Ilic</v>
      </c>
      <c r="B180" s="237">
        <v>5007.0</v>
      </c>
      <c r="C180" s="236" t="s">
        <v>492</v>
      </c>
      <c r="D180" s="236" t="s">
        <v>492</v>
      </c>
      <c r="E180" s="236" t="s">
        <v>730</v>
      </c>
      <c r="F180" s="236" t="s">
        <v>972</v>
      </c>
      <c r="G180" s="237">
        <v>3.0</v>
      </c>
      <c r="H180" s="237">
        <v>7.0</v>
      </c>
      <c r="I180" s="237">
        <v>-4.0</v>
      </c>
      <c r="J180" s="237">
        <v>3.0</v>
      </c>
      <c r="K180" s="237">
        <v>7.0</v>
      </c>
      <c r="L180" s="237">
        <v>-4.0</v>
      </c>
      <c r="M180" s="237">
        <v>8.0</v>
      </c>
      <c r="N180" s="237">
        <v>8.0</v>
      </c>
      <c r="O180" s="1"/>
    </row>
    <row r="181">
      <c r="A181" s="260" t="str">
        <f t="shared" si="1"/>
        <v>Ismajli</v>
      </c>
      <c r="B181" s="237">
        <v>5010.0</v>
      </c>
      <c r="C181" s="236" t="s">
        <v>480</v>
      </c>
      <c r="D181" s="236" t="s">
        <v>481</v>
      </c>
      <c r="E181" s="236" t="s">
        <v>615</v>
      </c>
      <c r="F181" s="236" t="s">
        <v>972</v>
      </c>
      <c r="G181" s="237">
        <v>6.0</v>
      </c>
      <c r="H181" s="237">
        <v>8.0</v>
      </c>
      <c r="I181" s="237">
        <v>-2.0</v>
      </c>
      <c r="J181" s="237">
        <v>6.0</v>
      </c>
      <c r="K181" s="237">
        <v>8.0</v>
      </c>
      <c r="L181" s="237">
        <v>-2.0</v>
      </c>
      <c r="M181" s="237">
        <v>10.0</v>
      </c>
      <c r="N181" s="237">
        <v>10.0</v>
      </c>
      <c r="O181" s="1"/>
    </row>
    <row r="182">
      <c r="A182" s="260" t="str">
        <f t="shared" si="1"/>
        <v>Pavlovic</v>
      </c>
      <c r="B182" s="237">
        <v>5022.0</v>
      </c>
      <c r="C182" s="236" t="s">
        <v>480</v>
      </c>
      <c r="D182" s="236" t="s">
        <v>481</v>
      </c>
      <c r="E182" s="236" t="s">
        <v>410</v>
      </c>
      <c r="F182" s="236" t="s">
        <v>991</v>
      </c>
      <c r="G182" s="237">
        <v>15.0</v>
      </c>
      <c r="H182" s="237">
        <v>7.0</v>
      </c>
      <c r="I182" s="237">
        <v>8.0</v>
      </c>
      <c r="J182" s="237">
        <v>15.0</v>
      </c>
      <c r="K182" s="237">
        <v>7.0</v>
      </c>
      <c r="L182" s="237">
        <v>8.0</v>
      </c>
      <c r="M182" s="237">
        <v>30.0</v>
      </c>
      <c r="N182" s="237">
        <v>30.0</v>
      </c>
      <c r="O182" s="1"/>
    </row>
    <row r="183">
      <c r="A183" s="260" t="str">
        <f t="shared" si="1"/>
        <v>Caqueret</v>
      </c>
      <c r="B183" s="237">
        <v>5036.0</v>
      </c>
      <c r="C183" s="236" t="s">
        <v>492</v>
      </c>
      <c r="D183" s="236" t="s">
        <v>934</v>
      </c>
      <c r="E183" s="236" t="s">
        <v>95</v>
      </c>
      <c r="F183" s="236" t="s">
        <v>974</v>
      </c>
      <c r="G183" s="237">
        <v>12.0</v>
      </c>
      <c r="H183" s="237">
        <v>12.0</v>
      </c>
      <c r="I183" s="237">
        <v>0.0</v>
      </c>
      <c r="J183" s="237">
        <v>12.0</v>
      </c>
      <c r="K183" s="237">
        <v>12.0</v>
      </c>
      <c r="L183" s="237">
        <v>0.0</v>
      </c>
      <c r="M183" s="237">
        <v>13.0</v>
      </c>
      <c r="N183" s="237">
        <v>13.0</v>
      </c>
      <c r="O183" s="1"/>
    </row>
    <row r="184">
      <c r="A184" s="260" t="str">
        <f t="shared" si="1"/>
        <v>Martinez Jo.</v>
      </c>
      <c r="B184" s="237">
        <v>5116.0</v>
      </c>
      <c r="C184" s="236" t="s">
        <v>477</v>
      </c>
      <c r="D184" s="236" t="s">
        <v>478</v>
      </c>
      <c r="E184" s="236" t="s">
        <v>374</v>
      </c>
      <c r="F184" s="236" t="s">
        <v>973</v>
      </c>
      <c r="G184" s="237">
        <v>1.0</v>
      </c>
      <c r="H184" s="237">
        <v>2.0</v>
      </c>
      <c r="I184" s="237">
        <v>-1.0</v>
      </c>
      <c r="J184" s="237">
        <v>1.0</v>
      </c>
      <c r="K184" s="237">
        <v>2.0</v>
      </c>
      <c r="L184" s="237">
        <v>-1.0</v>
      </c>
      <c r="M184" s="237">
        <v>1.0</v>
      </c>
      <c r="N184" s="237">
        <v>1.0</v>
      </c>
      <c r="O184" s="1"/>
    </row>
    <row r="185">
      <c r="A185" s="260" t="str">
        <f t="shared" si="1"/>
        <v>Samardzic</v>
      </c>
      <c r="B185" s="237">
        <v>5119.0</v>
      </c>
      <c r="C185" s="236" t="s">
        <v>492</v>
      </c>
      <c r="D185" s="236" t="s">
        <v>543</v>
      </c>
      <c r="E185" s="236" t="s">
        <v>387</v>
      </c>
      <c r="F185" s="236" t="s">
        <v>980</v>
      </c>
      <c r="G185" s="237">
        <v>10.0</v>
      </c>
      <c r="H185" s="237">
        <v>12.0</v>
      </c>
      <c r="I185" s="237">
        <v>-2.0</v>
      </c>
      <c r="J185" s="237">
        <v>10.0</v>
      </c>
      <c r="K185" s="237">
        <v>11.0</v>
      </c>
      <c r="L185" s="237">
        <v>-1.0</v>
      </c>
      <c r="M185" s="237">
        <v>10.0</v>
      </c>
      <c r="N185" s="237">
        <v>10.0</v>
      </c>
      <c r="O185" s="1"/>
    </row>
    <row r="186">
      <c r="A186" s="260" t="str">
        <f t="shared" si="1"/>
        <v>Gilmour</v>
      </c>
      <c r="B186" s="237">
        <v>5131.0</v>
      </c>
      <c r="C186" s="236" t="s">
        <v>492</v>
      </c>
      <c r="D186" s="236" t="s">
        <v>930</v>
      </c>
      <c r="E186" s="236" t="s">
        <v>621</v>
      </c>
      <c r="F186" s="236" t="s">
        <v>987</v>
      </c>
      <c r="G186" s="237">
        <v>6.0</v>
      </c>
      <c r="H186" s="237">
        <v>7.0</v>
      </c>
      <c r="I186" s="237">
        <v>-1.0</v>
      </c>
      <c r="J186" s="237">
        <v>6.0</v>
      </c>
      <c r="K186" s="237">
        <v>7.0</v>
      </c>
      <c r="L186" s="237">
        <v>-1.0</v>
      </c>
      <c r="M186" s="237">
        <v>12.0</v>
      </c>
      <c r="N186" s="237">
        <v>15.0</v>
      </c>
      <c r="O186" s="1"/>
    </row>
    <row r="187">
      <c r="A187" s="260" t="str">
        <f t="shared" si="1"/>
        <v>Nkounkou</v>
      </c>
      <c r="B187" s="237">
        <v>5156.0</v>
      </c>
      <c r="C187" s="236" t="s">
        <v>480</v>
      </c>
      <c r="D187" s="236" t="s">
        <v>931</v>
      </c>
      <c r="E187" s="236" t="s">
        <v>1125</v>
      </c>
      <c r="F187" s="236" t="s">
        <v>972</v>
      </c>
      <c r="G187" s="237">
        <v>1.0</v>
      </c>
      <c r="H187" s="237">
        <v>3.0</v>
      </c>
      <c r="I187" s="237">
        <v>-2.0</v>
      </c>
      <c r="J187" s="237">
        <v>1.0</v>
      </c>
      <c r="K187" s="237">
        <v>3.0</v>
      </c>
      <c r="L187" s="237">
        <v>-2.0</v>
      </c>
      <c r="M187" s="237">
        <v>8.0</v>
      </c>
      <c r="N187" s="237">
        <v>8.0</v>
      </c>
      <c r="O187" s="1"/>
    </row>
    <row r="188">
      <c r="A188" s="260" t="str">
        <f t="shared" si="1"/>
        <v>Tsimikas</v>
      </c>
      <c r="B188" s="237">
        <v>5168.0</v>
      </c>
      <c r="C188" s="236" t="s">
        <v>480</v>
      </c>
      <c r="D188" s="236" t="s">
        <v>931</v>
      </c>
      <c r="E188" s="236" t="s">
        <v>1201</v>
      </c>
      <c r="F188" s="236" t="s">
        <v>988</v>
      </c>
      <c r="G188" s="237">
        <v>4.0</v>
      </c>
      <c r="H188" s="237">
        <v>4.0</v>
      </c>
      <c r="I188" s="237">
        <v>0.0</v>
      </c>
      <c r="J188" s="237">
        <v>4.0</v>
      </c>
      <c r="K188" s="237">
        <v>4.0</v>
      </c>
      <c r="L188" s="237">
        <v>0.0</v>
      </c>
      <c r="M188" s="237">
        <v>9.0</v>
      </c>
      <c r="N188" s="237">
        <v>9.0</v>
      </c>
      <c r="O188" s="1"/>
    </row>
    <row r="189">
      <c r="A189" s="260" t="str">
        <f t="shared" si="1"/>
        <v>Estupinan</v>
      </c>
      <c r="B189" s="237">
        <v>5273.0</v>
      </c>
      <c r="C189" s="236" t="s">
        <v>480</v>
      </c>
      <c r="D189" s="236" t="s">
        <v>931</v>
      </c>
      <c r="E189" s="236" t="s">
        <v>1060</v>
      </c>
      <c r="F189" s="236" t="s">
        <v>991</v>
      </c>
      <c r="G189" s="237">
        <v>3.0</v>
      </c>
      <c r="H189" s="237">
        <v>11.0</v>
      </c>
      <c r="I189" s="237">
        <v>-8.0</v>
      </c>
      <c r="J189" s="237">
        <v>3.0</v>
      </c>
      <c r="K189" s="237">
        <v>11.0</v>
      </c>
      <c r="L189" s="237">
        <v>-8.0</v>
      </c>
      <c r="M189" s="237">
        <v>10.0</v>
      </c>
      <c r="N189" s="237">
        <v>10.0</v>
      </c>
      <c r="O189" s="1"/>
    </row>
    <row r="190">
      <c r="A190" s="260" t="str">
        <f t="shared" si="1"/>
        <v>Akpa Akpro</v>
      </c>
      <c r="B190" s="237">
        <v>5286.0</v>
      </c>
      <c r="C190" s="236" t="s">
        <v>492</v>
      </c>
      <c r="D190" s="236" t="s">
        <v>930</v>
      </c>
      <c r="E190" s="236" t="s">
        <v>1266</v>
      </c>
      <c r="F190" s="236" t="s">
        <v>983</v>
      </c>
      <c r="G190" s="237">
        <v>2.0</v>
      </c>
      <c r="H190" s="237">
        <v>1.0</v>
      </c>
      <c r="I190" s="237">
        <v>1.0</v>
      </c>
      <c r="J190" s="237">
        <v>2.0</v>
      </c>
      <c r="K190" s="237">
        <v>1.0</v>
      </c>
      <c r="L190" s="237">
        <v>1.0</v>
      </c>
      <c r="M190" s="237">
        <v>6.0</v>
      </c>
      <c r="N190" s="237">
        <v>8.0</v>
      </c>
      <c r="O190" s="1"/>
    </row>
    <row r="191">
      <c r="A191" s="260" t="str">
        <f t="shared" si="1"/>
        <v>Estevez</v>
      </c>
      <c r="B191" s="237">
        <v>5290.0</v>
      </c>
      <c r="C191" s="236" t="s">
        <v>492</v>
      </c>
      <c r="D191" s="236" t="s">
        <v>930</v>
      </c>
      <c r="E191" s="236" t="s">
        <v>692</v>
      </c>
      <c r="F191" s="236" t="s">
        <v>985</v>
      </c>
      <c r="G191" s="237">
        <v>5.0</v>
      </c>
      <c r="H191" s="237">
        <v>2.0</v>
      </c>
      <c r="I191" s="237">
        <v>3.0</v>
      </c>
      <c r="J191" s="237">
        <v>5.0</v>
      </c>
      <c r="K191" s="237">
        <v>2.0</v>
      </c>
      <c r="L191" s="237">
        <v>3.0</v>
      </c>
      <c r="M191" s="237">
        <v>10.0</v>
      </c>
      <c r="N191" s="237">
        <v>10.0</v>
      </c>
      <c r="O191" s="1"/>
    </row>
    <row r="192">
      <c r="A192" s="260" t="str">
        <f t="shared" si="1"/>
        <v>Musah</v>
      </c>
      <c r="B192" s="237">
        <v>5295.0</v>
      </c>
      <c r="C192" s="236" t="s">
        <v>492</v>
      </c>
      <c r="D192" s="236" t="s">
        <v>1056</v>
      </c>
      <c r="E192" s="236" t="s">
        <v>1115</v>
      </c>
      <c r="F192" s="236" t="s">
        <v>980</v>
      </c>
      <c r="G192" s="237">
        <v>5.0</v>
      </c>
      <c r="H192" s="237">
        <v>6.0</v>
      </c>
      <c r="I192" s="237">
        <v>-1.0</v>
      </c>
      <c r="J192" s="237">
        <v>5.0</v>
      </c>
      <c r="K192" s="237">
        <v>6.0</v>
      </c>
      <c r="L192" s="237">
        <v>-1.0</v>
      </c>
      <c r="M192" s="237">
        <v>11.0</v>
      </c>
      <c r="N192" s="237">
        <v>13.0</v>
      </c>
      <c r="O192" s="1"/>
    </row>
    <row r="193">
      <c r="A193" s="260" t="str">
        <f t="shared" si="1"/>
        <v>Pobega</v>
      </c>
      <c r="B193" s="237">
        <v>5298.0</v>
      </c>
      <c r="C193" s="236" t="s">
        <v>492</v>
      </c>
      <c r="D193" s="236" t="s">
        <v>930</v>
      </c>
      <c r="E193" s="236" t="s">
        <v>829</v>
      </c>
      <c r="F193" s="236" t="s">
        <v>1009</v>
      </c>
      <c r="G193" s="237">
        <v>10.0</v>
      </c>
      <c r="H193" s="237">
        <v>8.0</v>
      </c>
      <c r="I193" s="237">
        <v>2.0</v>
      </c>
      <c r="J193" s="237">
        <v>11.0</v>
      </c>
      <c r="K193" s="237">
        <v>9.0</v>
      </c>
      <c r="L193" s="237">
        <v>2.0</v>
      </c>
      <c r="M193" s="237">
        <v>16.0</v>
      </c>
      <c r="N193" s="237">
        <v>21.0</v>
      </c>
      <c r="O193" s="1"/>
    </row>
    <row r="194">
      <c r="A194" s="260" t="str">
        <f t="shared" si="1"/>
        <v>Luis Henrique</v>
      </c>
      <c r="B194" s="237">
        <v>5301.0</v>
      </c>
      <c r="C194" s="236" t="s">
        <v>492</v>
      </c>
      <c r="D194" s="236" t="s">
        <v>1089</v>
      </c>
      <c r="E194" s="236" t="s">
        <v>279</v>
      </c>
      <c r="F194" s="236" t="s">
        <v>973</v>
      </c>
      <c r="G194" s="237">
        <v>7.0</v>
      </c>
      <c r="H194" s="237">
        <v>7.0</v>
      </c>
      <c r="I194" s="237">
        <v>0.0</v>
      </c>
      <c r="J194" s="237">
        <v>7.0</v>
      </c>
      <c r="K194" s="237">
        <v>7.0</v>
      </c>
      <c r="L194" s="237">
        <v>0.0</v>
      </c>
      <c r="M194" s="237">
        <v>15.0</v>
      </c>
      <c r="N194" s="237">
        <v>15.0</v>
      </c>
      <c r="O194" s="1"/>
    </row>
    <row r="195">
      <c r="A195" s="260" t="str">
        <f t="shared" si="1"/>
        <v>Valenti</v>
      </c>
      <c r="B195" s="237">
        <v>5307.0</v>
      </c>
      <c r="C195" s="236" t="s">
        <v>480</v>
      </c>
      <c r="D195" s="236" t="s">
        <v>481</v>
      </c>
      <c r="E195" s="236" t="s">
        <v>653</v>
      </c>
      <c r="F195" s="236" t="s">
        <v>985</v>
      </c>
      <c r="G195" s="237">
        <v>6.0</v>
      </c>
      <c r="H195" s="237">
        <v>4.0</v>
      </c>
      <c r="I195" s="237">
        <v>2.0</v>
      </c>
      <c r="J195" s="237">
        <v>6.0</v>
      </c>
      <c r="K195" s="237">
        <v>4.0</v>
      </c>
      <c r="L195" s="237">
        <v>2.0</v>
      </c>
      <c r="M195" s="237">
        <v>14.0</v>
      </c>
      <c r="N195" s="237">
        <v>14.0</v>
      </c>
      <c r="O195" s="1"/>
    </row>
    <row r="196">
      <c r="A196" s="260" t="str">
        <f t="shared" si="1"/>
        <v>Tramoni M.</v>
      </c>
      <c r="B196" s="237">
        <v>5318.0</v>
      </c>
      <c r="C196" s="236" t="s">
        <v>492</v>
      </c>
      <c r="D196" s="236" t="s">
        <v>1057</v>
      </c>
      <c r="E196" s="236" t="s">
        <v>1199</v>
      </c>
      <c r="F196" s="236" t="s">
        <v>977</v>
      </c>
      <c r="G196" s="237">
        <v>9.0</v>
      </c>
      <c r="H196" s="237">
        <v>12.0</v>
      </c>
      <c r="I196" s="237">
        <v>-3.0</v>
      </c>
      <c r="J196" s="237">
        <v>9.0</v>
      </c>
      <c r="K196" s="237">
        <v>12.0</v>
      </c>
      <c r="L196" s="237">
        <v>-3.0</v>
      </c>
      <c r="M196" s="237">
        <v>23.0</v>
      </c>
      <c r="N196" s="237">
        <v>25.0</v>
      </c>
      <c r="O196" s="1"/>
    </row>
    <row r="197">
      <c r="A197" s="260" t="str">
        <f t="shared" si="1"/>
        <v>Sohm</v>
      </c>
      <c r="B197" s="237">
        <v>5319.0</v>
      </c>
      <c r="C197" s="236" t="s">
        <v>492</v>
      </c>
      <c r="D197" s="236" t="s">
        <v>492</v>
      </c>
      <c r="E197" s="236" t="s">
        <v>675</v>
      </c>
      <c r="F197" s="236" t="s">
        <v>1009</v>
      </c>
      <c r="G197" s="237">
        <v>4.0</v>
      </c>
      <c r="H197" s="237">
        <v>12.0</v>
      </c>
      <c r="I197" s="237">
        <v>-8.0</v>
      </c>
      <c r="J197" s="237">
        <v>4.0</v>
      </c>
      <c r="K197" s="237">
        <v>12.0</v>
      </c>
      <c r="L197" s="237">
        <v>-8.0</v>
      </c>
      <c r="M197" s="237">
        <v>10.0</v>
      </c>
      <c r="N197" s="237">
        <v>10.0</v>
      </c>
      <c r="O197" s="1"/>
    </row>
    <row r="198">
      <c r="A198" s="260" t="str">
        <f t="shared" si="1"/>
        <v>Paleari</v>
      </c>
      <c r="B198" s="237">
        <v>5320.0</v>
      </c>
      <c r="C198" s="236" t="s">
        <v>477</v>
      </c>
      <c r="D198" s="236" t="s">
        <v>478</v>
      </c>
      <c r="E198" s="236" t="s">
        <v>191</v>
      </c>
      <c r="F198" s="236" t="s">
        <v>972</v>
      </c>
      <c r="G198" s="237">
        <v>9.0</v>
      </c>
      <c r="H198" s="237">
        <v>1.0</v>
      </c>
      <c r="I198" s="237">
        <v>8.0</v>
      </c>
      <c r="J198" s="237">
        <v>9.0</v>
      </c>
      <c r="K198" s="237">
        <v>1.0</v>
      </c>
      <c r="L198" s="237">
        <v>8.0</v>
      </c>
      <c r="M198" s="237">
        <v>11.0</v>
      </c>
      <c r="N198" s="237">
        <v>11.0</v>
      </c>
      <c r="O198" s="1"/>
    </row>
    <row r="199">
      <c r="A199" s="260" t="str">
        <f t="shared" si="1"/>
        <v>Nzola</v>
      </c>
      <c r="B199" s="237">
        <v>5336.0</v>
      </c>
      <c r="C199" s="236" t="s">
        <v>507</v>
      </c>
      <c r="D199" s="236" t="s">
        <v>512</v>
      </c>
      <c r="E199" s="236" t="s">
        <v>388</v>
      </c>
      <c r="F199" s="236" t="s">
        <v>1005</v>
      </c>
      <c r="G199" s="237">
        <v>10.0</v>
      </c>
      <c r="H199" s="237">
        <v>12.0</v>
      </c>
      <c r="I199" s="237">
        <v>-2.0</v>
      </c>
      <c r="J199" s="237">
        <v>10.0</v>
      </c>
      <c r="K199" s="237">
        <v>12.0</v>
      </c>
      <c r="L199" s="237">
        <v>-2.0</v>
      </c>
      <c r="M199" s="237">
        <v>12.0</v>
      </c>
      <c r="N199" s="237">
        <v>10.0</v>
      </c>
      <c r="O199" s="1"/>
    </row>
    <row r="200">
      <c r="A200" s="260" t="str">
        <f t="shared" si="1"/>
        <v>Rinaldi</v>
      </c>
      <c r="B200" s="237">
        <v>5338.0</v>
      </c>
      <c r="C200" s="236" t="s">
        <v>477</v>
      </c>
      <c r="D200" s="236" t="s">
        <v>478</v>
      </c>
      <c r="E200" s="236" t="s">
        <v>1160</v>
      </c>
      <c r="F200" s="236" t="s">
        <v>985</v>
      </c>
      <c r="G200" s="237">
        <v>3.0</v>
      </c>
      <c r="H200" s="237">
        <v>1.0</v>
      </c>
      <c r="I200" s="237">
        <v>2.0</v>
      </c>
      <c r="J200" s="237">
        <v>3.0</v>
      </c>
      <c r="K200" s="237">
        <v>1.0</v>
      </c>
      <c r="L200" s="237">
        <v>2.0</v>
      </c>
      <c r="M200" s="237">
        <v>1.0</v>
      </c>
      <c r="N200" s="237">
        <v>1.0</v>
      </c>
      <c r="O200" s="1"/>
    </row>
    <row r="201">
      <c r="A201" s="260" t="str">
        <f t="shared" si="1"/>
        <v>Zalewski</v>
      </c>
      <c r="B201" s="237">
        <v>5422.0</v>
      </c>
      <c r="C201" s="236" t="s">
        <v>492</v>
      </c>
      <c r="D201" s="236" t="s">
        <v>1089</v>
      </c>
      <c r="E201" s="236" t="s">
        <v>656</v>
      </c>
      <c r="F201" s="236" t="s">
        <v>980</v>
      </c>
      <c r="G201" s="237">
        <v>15.0</v>
      </c>
      <c r="H201" s="237">
        <v>6.0</v>
      </c>
      <c r="I201" s="237">
        <v>9.0</v>
      </c>
      <c r="J201" s="237">
        <v>15.0</v>
      </c>
      <c r="K201" s="237">
        <v>6.0</v>
      </c>
      <c r="L201" s="237">
        <v>9.0</v>
      </c>
      <c r="M201" s="237">
        <v>24.0</v>
      </c>
      <c r="N201" s="237">
        <v>24.0</v>
      </c>
      <c r="O201" s="1"/>
    </row>
    <row r="202">
      <c r="A202" s="260" t="str">
        <f t="shared" si="1"/>
        <v>Gutierrez</v>
      </c>
      <c r="B202" s="237">
        <v>5427.0</v>
      </c>
      <c r="C202" s="236" t="s">
        <v>480</v>
      </c>
      <c r="D202" s="236" t="s">
        <v>931</v>
      </c>
      <c r="E202" s="236" t="s">
        <v>1070</v>
      </c>
      <c r="F202" s="236" t="s">
        <v>987</v>
      </c>
      <c r="G202" s="237">
        <v>6.0</v>
      </c>
      <c r="H202" s="237">
        <v>8.0</v>
      </c>
      <c r="I202" s="237">
        <v>-2.0</v>
      </c>
      <c r="J202" s="237">
        <v>6.0</v>
      </c>
      <c r="K202" s="237">
        <v>8.0</v>
      </c>
      <c r="L202" s="237">
        <v>-2.0</v>
      </c>
      <c r="M202" s="237">
        <v>10.0</v>
      </c>
      <c r="N202" s="237">
        <v>10.0</v>
      </c>
      <c r="O202" s="1"/>
    </row>
    <row r="203">
      <c r="A203" s="260" t="str">
        <f t="shared" si="1"/>
        <v>Moreno Alb.</v>
      </c>
      <c r="B203" s="237">
        <v>5435.0</v>
      </c>
      <c r="C203" s="236" t="s">
        <v>480</v>
      </c>
      <c r="D203" s="236" t="s">
        <v>931</v>
      </c>
      <c r="E203" s="236" t="s">
        <v>736</v>
      </c>
      <c r="F203" s="236" t="s">
        <v>974</v>
      </c>
      <c r="G203" s="237">
        <v>10.0</v>
      </c>
      <c r="H203" s="237">
        <v>3.0</v>
      </c>
      <c r="I203" s="237">
        <v>7.0</v>
      </c>
      <c r="J203" s="237">
        <v>10.0</v>
      </c>
      <c r="K203" s="237">
        <v>3.0</v>
      </c>
      <c r="L203" s="237">
        <v>7.0</v>
      </c>
      <c r="M203" s="237">
        <v>8.0</v>
      </c>
      <c r="N203" s="237">
        <v>8.0</v>
      </c>
      <c r="O203" s="1"/>
    </row>
    <row r="204">
      <c r="A204" s="260" t="str">
        <f t="shared" si="1"/>
        <v>Parisi</v>
      </c>
      <c r="B204" s="237">
        <v>5449.0</v>
      </c>
      <c r="C204" s="236" t="s">
        <v>480</v>
      </c>
      <c r="D204" s="236" t="s">
        <v>521</v>
      </c>
      <c r="E204" s="236" t="s">
        <v>635</v>
      </c>
      <c r="F204" s="236" t="s">
        <v>1033</v>
      </c>
      <c r="G204" s="237">
        <v>7.0</v>
      </c>
      <c r="H204" s="237">
        <v>5.0</v>
      </c>
      <c r="I204" s="237">
        <v>2.0</v>
      </c>
      <c r="J204" s="237">
        <v>7.0</v>
      </c>
      <c r="K204" s="237">
        <v>4.0</v>
      </c>
      <c r="L204" s="237">
        <v>3.0</v>
      </c>
      <c r="M204" s="237">
        <v>14.0</v>
      </c>
      <c r="N204" s="237">
        <v>14.0</v>
      </c>
      <c r="O204" s="1"/>
    </row>
    <row r="205">
      <c r="A205" s="260" t="str">
        <f t="shared" si="1"/>
        <v>Ricci S.</v>
      </c>
      <c r="B205" s="237">
        <v>5453.0</v>
      </c>
      <c r="C205" s="236" t="s">
        <v>492</v>
      </c>
      <c r="D205" s="236" t="s">
        <v>930</v>
      </c>
      <c r="E205" s="236" t="s">
        <v>79</v>
      </c>
      <c r="F205" s="236" t="s">
        <v>991</v>
      </c>
      <c r="G205" s="237">
        <v>13.0</v>
      </c>
      <c r="H205" s="237">
        <v>10.0</v>
      </c>
      <c r="I205" s="237">
        <v>3.0</v>
      </c>
      <c r="J205" s="237">
        <v>14.0</v>
      </c>
      <c r="K205" s="237">
        <v>11.0</v>
      </c>
      <c r="L205" s="237">
        <v>3.0</v>
      </c>
      <c r="M205" s="237">
        <v>13.0</v>
      </c>
      <c r="N205" s="237">
        <v>16.0</v>
      </c>
      <c r="O205" s="1"/>
    </row>
    <row r="206">
      <c r="A206" s="260" t="str">
        <f t="shared" si="1"/>
        <v>Moreo</v>
      </c>
      <c r="B206" s="237">
        <v>5455.0</v>
      </c>
      <c r="C206" s="236" t="s">
        <v>507</v>
      </c>
      <c r="D206" s="236" t="s">
        <v>507</v>
      </c>
      <c r="E206" s="236" t="s">
        <v>1111</v>
      </c>
      <c r="F206" s="236" t="s">
        <v>977</v>
      </c>
      <c r="G206" s="237">
        <v>18.0</v>
      </c>
      <c r="H206" s="237">
        <v>5.0</v>
      </c>
      <c r="I206" s="237">
        <v>13.0</v>
      </c>
      <c r="J206" s="237">
        <v>18.0</v>
      </c>
      <c r="K206" s="237">
        <v>5.0</v>
      </c>
      <c r="L206" s="237">
        <v>13.0</v>
      </c>
      <c r="M206" s="237">
        <v>20.0</v>
      </c>
      <c r="N206" s="237">
        <v>20.0</v>
      </c>
      <c r="O206" s="1"/>
    </row>
    <row r="207">
      <c r="A207" s="260" t="str">
        <f t="shared" si="1"/>
        <v>Maleh</v>
      </c>
      <c r="B207" s="237">
        <v>5457.0</v>
      </c>
      <c r="C207" s="236" t="s">
        <v>492</v>
      </c>
      <c r="D207" s="236" t="s">
        <v>930</v>
      </c>
      <c r="E207" s="236" t="s">
        <v>1101</v>
      </c>
      <c r="F207" s="236" t="s">
        <v>995</v>
      </c>
      <c r="G207" s="237">
        <v>4.0</v>
      </c>
      <c r="H207" s="237">
        <v>6.0</v>
      </c>
      <c r="I207" s="237">
        <v>-2.0</v>
      </c>
      <c r="J207" s="237">
        <v>4.0</v>
      </c>
      <c r="K207" s="237">
        <v>7.0</v>
      </c>
      <c r="L207" s="237">
        <v>-3.0</v>
      </c>
      <c r="M207" s="237">
        <v>6.0</v>
      </c>
      <c r="N207" s="237">
        <v>8.0</v>
      </c>
      <c r="O207" s="1"/>
    </row>
    <row r="208">
      <c r="A208" s="260" t="str">
        <f t="shared" si="1"/>
        <v>Djuric</v>
      </c>
      <c r="B208" s="237">
        <v>5471.0</v>
      </c>
      <c r="C208" s="236" t="s">
        <v>507</v>
      </c>
      <c r="D208" s="236" t="s">
        <v>512</v>
      </c>
      <c r="E208" s="236" t="s">
        <v>619</v>
      </c>
      <c r="F208" s="236" t="s">
        <v>995</v>
      </c>
      <c r="G208" s="237">
        <v>2.0</v>
      </c>
      <c r="H208" s="237">
        <v>9.0</v>
      </c>
      <c r="I208" s="237">
        <v>-7.0</v>
      </c>
      <c r="J208" s="237">
        <v>2.0</v>
      </c>
      <c r="K208" s="237">
        <v>8.0</v>
      </c>
      <c r="L208" s="237">
        <v>-6.0</v>
      </c>
      <c r="M208" s="237">
        <v>10.0</v>
      </c>
      <c r="N208" s="237">
        <v>10.0</v>
      </c>
      <c r="O208" s="1"/>
    </row>
    <row r="209">
      <c r="A209" s="260" t="str">
        <f t="shared" si="1"/>
        <v>Mazzocchi</v>
      </c>
      <c r="B209" s="237">
        <v>5481.0</v>
      </c>
      <c r="C209" s="236" t="s">
        <v>480</v>
      </c>
      <c r="D209" s="236" t="s">
        <v>944</v>
      </c>
      <c r="E209" s="236" t="s">
        <v>885</v>
      </c>
      <c r="F209" s="236" t="s">
        <v>987</v>
      </c>
      <c r="G209" s="237">
        <v>2.0</v>
      </c>
      <c r="H209" s="237">
        <v>3.0</v>
      </c>
      <c r="I209" s="237">
        <v>-1.0</v>
      </c>
      <c r="J209" s="237">
        <v>2.0</v>
      </c>
      <c r="K209" s="237">
        <v>3.0</v>
      </c>
      <c r="L209" s="237">
        <v>-1.0</v>
      </c>
      <c r="M209" s="237">
        <v>3.0</v>
      </c>
      <c r="N209" s="237">
        <v>5.0</v>
      </c>
      <c r="O209" s="1"/>
    </row>
    <row r="210">
      <c r="A210" s="260" t="str">
        <f t="shared" si="1"/>
        <v>Casale</v>
      </c>
      <c r="B210" s="237">
        <v>5498.0</v>
      </c>
      <c r="C210" s="236" t="s">
        <v>480</v>
      </c>
      <c r="D210" s="236" t="s">
        <v>481</v>
      </c>
      <c r="E210" s="236" t="s">
        <v>861</v>
      </c>
      <c r="F210" s="236" t="s">
        <v>1009</v>
      </c>
      <c r="G210" s="237">
        <v>2.0</v>
      </c>
      <c r="H210" s="237">
        <v>4.0</v>
      </c>
      <c r="I210" s="237">
        <v>-2.0</v>
      </c>
      <c r="J210" s="237">
        <v>2.0</v>
      </c>
      <c r="K210" s="237">
        <v>4.0</v>
      </c>
      <c r="L210" s="237">
        <v>-2.0</v>
      </c>
      <c r="M210" s="237">
        <v>7.0</v>
      </c>
      <c r="N210" s="237">
        <v>7.0</v>
      </c>
      <c r="O210" s="1"/>
    </row>
    <row r="211">
      <c r="A211" s="260" t="str">
        <f t="shared" si="1"/>
        <v>Cancellieri</v>
      </c>
      <c r="B211" s="237">
        <v>5500.0</v>
      </c>
      <c r="C211" s="236" t="s">
        <v>507</v>
      </c>
      <c r="D211" s="236" t="s">
        <v>935</v>
      </c>
      <c r="E211" s="236" t="s">
        <v>903</v>
      </c>
      <c r="F211" s="236" t="s">
        <v>1000</v>
      </c>
      <c r="G211" s="237">
        <v>14.0</v>
      </c>
      <c r="H211" s="237">
        <v>3.0</v>
      </c>
      <c r="I211" s="237">
        <v>11.0</v>
      </c>
      <c r="J211" s="237">
        <v>14.0</v>
      </c>
      <c r="K211" s="237">
        <v>3.0</v>
      </c>
      <c r="L211" s="237">
        <v>11.0</v>
      </c>
      <c r="M211" s="237">
        <v>22.0</v>
      </c>
      <c r="N211" s="237">
        <v>19.0</v>
      </c>
      <c r="O211" s="1"/>
    </row>
    <row r="212">
      <c r="A212" s="260" t="str">
        <f t="shared" si="1"/>
        <v>Coulibaly L.</v>
      </c>
      <c r="B212" s="237">
        <v>5504.0</v>
      </c>
      <c r="C212" s="236" t="s">
        <v>492</v>
      </c>
      <c r="D212" s="236" t="s">
        <v>930</v>
      </c>
      <c r="E212" s="236" t="s">
        <v>1037</v>
      </c>
      <c r="F212" s="236" t="s">
        <v>998</v>
      </c>
      <c r="G212" s="237">
        <v>13.0</v>
      </c>
      <c r="H212" s="237">
        <v>7.0</v>
      </c>
      <c r="I212" s="237">
        <v>6.0</v>
      </c>
      <c r="J212" s="237">
        <v>13.0</v>
      </c>
      <c r="K212" s="237">
        <v>8.0</v>
      </c>
      <c r="L212" s="237">
        <v>5.0</v>
      </c>
      <c r="M212" s="237">
        <v>21.0</v>
      </c>
      <c r="N212" s="237">
        <v>26.0</v>
      </c>
      <c r="O212" s="1"/>
    </row>
    <row r="213">
      <c r="A213" s="260" t="str">
        <f t="shared" si="1"/>
        <v>Ekuban</v>
      </c>
      <c r="B213" s="237">
        <v>5506.0</v>
      </c>
      <c r="C213" s="236" t="s">
        <v>507</v>
      </c>
      <c r="D213" s="236" t="s">
        <v>507</v>
      </c>
      <c r="E213" s="236" t="s">
        <v>1054</v>
      </c>
      <c r="F213" s="236" t="s">
        <v>1026</v>
      </c>
      <c r="G213" s="237">
        <v>10.0</v>
      </c>
      <c r="H213" s="237">
        <v>2.0</v>
      </c>
      <c r="I213" s="237">
        <v>8.0</v>
      </c>
      <c r="J213" s="237">
        <v>10.0</v>
      </c>
      <c r="K213" s="237">
        <v>2.0</v>
      </c>
      <c r="L213" s="237">
        <v>8.0</v>
      </c>
      <c r="M213" s="237">
        <v>11.0</v>
      </c>
      <c r="N213" s="237">
        <v>11.0</v>
      </c>
      <c r="O213" s="1"/>
    </row>
    <row r="214">
      <c r="A214" s="260" t="str">
        <f t="shared" si="1"/>
        <v>Dumfries</v>
      </c>
      <c r="B214" s="237">
        <v>5513.0</v>
      </c>
      <c r="C214" s="236" t="s">
        <v>480</v>
      </c>
      <c r="D214" s="236" t="s">
        <v>521</v>
      </c>
      <c r="E214" s="236" t="s">
        <v>751</v>
      </c>
      <c r="F214" s="236" t="s">
        <v>973</v>
      </c>
      <c r="G214" s="237">
        <v>10.0</v>
      </c>
      <c r="H214" s="237">
        <v>20.0</v>
      </c>
      <c r="I214" s="237">
        <v>-10.0</v>
      </c>
      <c r="J214" s="237">
        <v>9.0</v>
      </c>
      <c r="K214" s="237">
        <v>19.0</v>
      </c>
      <c r="L214" s="237">
        <v>-10.0</v>
      </c>
      <c r="M214" s="237">
        <v>25.0</v>
      </c>
      <c r="N214" s="237">
        <v>25.0</v>
      </c>
      <c r="O214" s="1"/>
    </row>
    <row r="215">
      <c r="A215" s="260" t="str">
        <f t="shared" si="1"/>
        <v>Vasquez</v>
      </c>
      <c r="B215" s="237">
        <v>5514.0</v>
      </c>
      <c r="C215" s="236" t="s">
        <v>480</v>
      </c>
      <c r="D215" s="236" t="s">
        <v>1022</v>
      </c>
      <c r="E215" s="236" t="s">
        <v>770</v>
      </c>
      <c r="F215" s="236" t="s">
        <v>1026</v>
      </c>
      <c r="G215" s="237">
        <v>10.0</v>
      </c>
      <c r="H215" s="237">
        <v>9.0</v>
      </c>
      <c r="I215" s="237">
        <v>1.0</v>
      </c>
      <c r="J215" s="237">
        <v>10.0</v>
      </c>
      <c r="K215" s="237">
        <v>10.0</v>
      </c>
      <c r="L215" s="237">
        <v>0.0</v>
      </c>
      <c r="M215" s="237">
        <v>24.0</v>
      </c>
      <c r="N215" s="237">
        <v>26.0</v>
      </c>
      <c r="O215" s="1"/>
    </row>
    <row r="216">
      <c r="A216" s="260" t="str">
        <f t="shared" si="1"/>
        <v>Okereke</v>
      </c>
      <c r="B216" s="237">
        <v>5515.0</v>
      </c>
      <c r="C216" s="236" t="s">
        <v>507</v>
      </c>
      <c r="D216" s="236" t="s">
        <v>507</v>
      </c>
      <c r="E216" s="236" t="s">
        <v>1132</v>
      </c>
      <c r="F216" s="236" t="s">
        <v>995</v>
      </c>
      <c r="G216" s="237">
        <v>1.0</v>
      </c>
      <c r="H216" s="237">
        <v>5.0</v>
      </c>
      <c r="I216" s="237">
        <v>-4.0</v>
      </c>
      <c r="J216" s="237">
        <v>1.0</v>
      </c>
      <c r="K216" s="237">
        <v>5.0</v>
      </c>
      <c r="L216" s="237">
        <v>-4.0</v>
      </c>
      <c r="M216" s="237">
        <v>3.0</v>
      </c>
      <c r="N216" s="237">
        <v>3.0</v>
      </c>
      <c r="O216" s="1"/>
    </row>
    <row r="217">
      <c r="A217" s="260" t="str">
        <f t="shared" si="1"/>
        <v>Cambiaso</v>
      </c>
      <c r="B217" s="237">
        <v>5520.0</v>
      </c>
      <c r="C217" s="236" t="s">
        <v>480</v>
      </c>
      <c r="D217" s="236" t="s">
        <v>521</v>
      </c>
      <c r="E217" s="236" t="s">
        <v>431</v>
      </c>
      <c r="F217" s="236" t="s">
        <v>976</v>
      </c>
      <c r="G217" s="237">
        <v>9.0</v>
      </c>
      <c r="H217" s="237">
        <v>15.0</v>
      </c>
      <c r="I217" s="237">
        <v>-6.0</v>
      </c>
      <c r="J217" s="237">
        <v>9.0</v>
      </c>
      <c r="K217" s="237">
        <v>14.0</v>
      </c>
      <c r="L217" s="237">
        <v>-5.0</v>
      </c>
      <c r="M217" s="237">
        <v>18.0</v>
      </c>
      <c r="N217" s="237">
        <v>15.0</v>
      </c>
      <c r="O217" s="1"/>
    </row>
    <row r="218">
      <c r="A218" s="260" t="str">
        <f t="shared" si="1"/>
        <v>Scalvini</v>
      </c>
      <c r="B218" s="237">
        <v>5526.0</v>
      </c>
      <c r="C218" s="236" t="s">
        <v>480</v>
      </c>
      <c r="D218" s="236" t="s">
        <v>481</v>
      </c>
      <c r="E218" s="236" t="s">
        <v>269</v>
      </c>
      <c r="F218" s="236" t="s">
        <v>980</v>
      </c>
      <c r="G218" s="237">
        <v>14.0</v>
      </c>
      <c r="H218" s="237">
        <v>8.0</v>
      </c>
      <c r="I218" s="237">
        <v>6.0</v>
      </c>
      <c r="J218" s="237">
        <v>14.0</v>
      </c>
      <c r="K218" s="237">
        <v>8.0</v>
      </c>
      <c r="L218" s="237">
        <v>6.0</v>
      </c>
      <c r="M218" s="237">
        <v>17.0</v>
      </c>
      <c r="N218" s="237">
        <v>17.0</v>
      </c>
      <c r="O218" s="1"/>
    </row>
    <row r="219">
      <c r="A219" s="260" t="str">
        <f t="shared" si="1"/>
        <v>Zanoli</v>
      </c>
      <c r="B219" s="237">
        <v>5527.0</v>
      </c>
      <c r="C219" s="236" t="s">
        <v>480</v>
      </c>
      <c r="D219" s="236" t="s">
        <v>938</v>
      </c>
      <c r="E219" s="236" t="s">
        <v>876</v>
      </c>
      <c r="F219" s="236" t="s">
        <v>993</v>
      </c>
      <c r="G219" s="237">
        <v>10.0</v>
      </c>
      <c r="H219" s="237">
        <v>3.0</v>
      </c>
      <c r="I219" s="237">
        <v>7.0</v>
      </c>
      <c r="J219" s="237">
        <v>10.0</v>
      </c>
      <c r="K219" s="237">
        <v>3.0</v>
      </c>
      <c r="L219" s="237">
        <v>7.0</v>
      </c>
      <c r="M219" s="237">
        <v>12.0</v>
      </c>
      <c r="N219" s="237">
        <v>12.0</v>
      </c>
      <c r="O219" s="1"/>
    </row>
    <row r="220">
      <c r="A220" s="260" t="str">
        <f t="shared" si="1"/>
        <v>Bradaric</v>
      </c>
      <c r="B220" s="237">
        <v>5532.0</v>
      </c>
      <c r="C220" s="236" t="s">
        <v>480</v>
      </c>
      <c r="D220" s="236" t="s">
        <v>931</v>
      </c>
      <c r="E220" s="236" t="s">
        <v>1016</v>
      </c>
      <c r="F220" s="236" t="s">
        <v>983</v>
      </c>
      <c r="G220" s="237">
        <v>5.0</v>
      </c>
      <c r="H220" s="237">
        <v>4.0</v>
      </c>
      <c r="I220" s="237">
        <v>1.0</v>
      </c>
      <c r="J220" s="237">
        <v>5.0</v>
      </c>
      <c r="K220" s="237">
        <v>4.0</v>
      </c>
      <c r="L220" s="237">
        <v>1.0</v>
      </c>
      <c r="M220" s="237">
        <v>11.0</v>
      </c>
      <c r="N220" s="237">
        <v>11.0</v>
      </c>
      <c r="O220" s="1"/>
    </row>
    <row r="221">
      <c r="A221" s="260" t="str">
        <f t="shared" si="1"/>
        <v>Niasse</v>
      </c>
      <c r="B221" s="237">
        <v>5540.0</v>
      </c>
      <c r="C221" s="236" t="s">
        <v>492</v>
      </c>
      <c r="D221" s="236" t="s">
        <v>930</v>
      </c>
      <c r="E221" s="236" t="s">
        <v>1122</v>
      </c>
      <c r="F221" s="236" t="s">
        <v>983</v>
      </c>
      <c r="G221" s="237">
        <v>5.0</v>
      </c>
      <c r="H221" s="237">
        <v>3.0</v>
      </c>
      <c r="I221" s="237">
        <v>2.0</v>
      </c>
      <c r="J221" s="237">
        <v>5.0</v>
      </c>
      <c r="K221" s="237">
        <v>3.0</v>
      </c>
      <c r="L221" s="237">
        <v>2.0</v>
      </c>
      <c r="M221" s="237">
        <v>10.0</v>
      </c>
      <c r="N221" s="237">
        <v>13.0</v>
      </c>
      <c r="O221" s="1"/>
    </row>
    <row r="222">
      <c r="A222" s="260" t="str">
        <f t="shared" si="1"/>
        <v>David</v>
      </c>
      <c r="B222" s="237">
        <v>5544.0</v>
      </c>
      <c r="C222" s="236" t="s">
        <v>507</v>
      </c>
      <c r="D222" s="236" t="s">
        <v>512</v>
      </c>
      <c r="E222" s="236" t="s">
        <v>1039</v>
      </c>
      <c r="F222" s="236" t="s">
        <v>976</v>
      </c>
      <c r="G222" s="237">
        <v>15.0</v>
      </c>
      <c r="H222" s="237">
        <v>27.0</v>
      </c>
      <c r="I222" s="237">
        <v>-12.0</v>
      </c>
      <c r="J222" s="237">
        <v>15.0</v>
      </c>
      <c r="K222" s="237">
        <v>27.0</v>
      </c>
      <c r="L222" s="237">
        <v>-12.0</v>
      </c>
      <c r="M222" s="237">
        <v>61.0</v>
      </c>
      <c r="N222" s="237">
        <v>58.0</v>
      </c>
      <c r="O222" s="1"/>
    </row>
    <row r="223">
      <c r="A223" s="260" t="str">
        <f t="shared" si="1"/>
        <v>Kamara H.</v>
      </c>
      <c r="B223" s="237">
        <v>5555.0</v>
      </c>
      <c r="C223" s="236" t="s">
        <v>480</v>
      </c>
      <c r="D223" s="236" t="s">
        <v>931</v>
      </c>
      <c r="E223" s="236" t="s">
        <v>682</v>
      </c>
      <c r="F223" s="236" t="s">
        <v>993</v>
      </c>
      <c r="G223" s="237">
        <v>5.0</v>
      </c>
      <c r="H223" s="237">
        <v>7.0</v>
      </c>
      <c r="I223" s="237">
        <v>-2.0</v>
      </c>
      <c r="J223" s="237">
        <v>5.0</v>
      </c>
      <c r="K223" s="237">
        <v>7.0</v>
      </c>
      <c r="L223" s="237">
        <v>-2.0</v>
      </c>
      <c r="M223" s="237">
        <v>15.0</v>
      </c>
      <c r="N223" s="237">
        <v>15.0</v>
      </c>
      <c r="O223" s="1"/>
    </row>
    <row r="224">
      <c r="A224" s="260" t="str">
        <f t="shared" si="1"/>
        <v>Da Cunha</v>
      </c>
      <c r="B224" s="237">
        <v>5559.0</v>
      </c>
      <c r="C224" s="236" t="s">
        <v>492</v>
      </c>
      <c r="D224" s="236" t="s">
        <v>1038</v>
      </c>
      <c r="E224" s="236" t="s">
        <v>617</v>
      </c>
      <c r="F224" s="236" t="s">
        <v>974</v>
      </c>
      <c r="G224" s="237">
        <v>13.0</v>
      </c>
      <c r="H224" s="237">
        <v>12.0</v>
      </c>
      <c r="I224" s="237">
        <v>1.0</v>
      </c>
      <c r="J224" s="237">
        <v>13.0</v>
      </c>
      <c r="K224" s="237">
        <v>13.0</v>
      </c>
      <c r="L224" s="237">
        <v>0.0</v>
      </c>
      <c r="M224" s="237">
        <v>25.0</v>
      </c>
      <c r="N224" s="237">
        <v>28.0</v>
      </c>
      <c r="O224" s="1"/>
    </row>
    <row r="225">
      <c r="A225" s="260" t="str">
        <f t="shared" si="1"/>
        <v>Stengs</v>
      </c>
      <c r="B225" s="237">
        <v>5561.0</v>
      </c>
      <c r="C225" s="236" t="s">
        <v>492</v>
      </c>
      <c r="D225" s="236" t="s">
        <v>1057</v>
      </c>
      <c r="E225" s="236" t="s">
        <v>1188</v>
      </c>
      <c r="F225" s="236" t="s">
        <v>977</v>
      </c>
      <c r="G225" s="237">
        <v>1.0</v>
      </c>
      <c r="H225" s="237">
        <v>11.0</v>
      </c>
      <c r="I225" s="237">
        <v>-10.0</v>
      </c>
      <c r="J225" s="237">
        <v>1.0</v>
      </c>
      <c r="K225" s="237">
        <v>11.0</v>
      </c>
      <c r="L225" s="237">
        <v>-10.0</v>
      </c>
      <c r="M225" s="237">
        <v>13.0</v>
      </c>
      <c r="N225" s="237">
        <v>13.0</v>
      </c>
      <c r="O225" s="1"/>
    </row>
    <row r="226">
      <c r="A226" s="260" t="str">
        <f t="shared" si="1"/>
        <v>Thuram K.</v>
      </c>
      <c r="B226" s="237">
        <v>5562.0</v>
      </c>
      <c r="C226" s="236" t="s">
        <v>492</v>
      </c>
      <c r="D226" s="236" t="s">
        <v>930</v>
      </c>
      <c r="E226" s="236" t="s">
        <v>317</v>
      </c>
      <c r="F226" s="236" t="s">
        <v>976</v>
      </c>
      <c r="G226" s="237">
        <v>14.0</v>
      </c>
      <c r="H226" s="237">
        <v>16.0</v>
      </c>
      <c r="I226" s="237">
        <v>-2.0</v>
      </c>
      <c r="J226" s="237">
        <v>14.0</v>
      </c>
      <c r="K226" s="237">
        <v>17.0</v>
      </c>
      <c r="L226" s="237">
        <v>-3.0</v>
      </c>
      <c r="M226" s="237">
        <v>49.0</v>
      </c>
      <c r="N226" s="237">
        <v>54.0</v>
      </c>
      <c r="O226" s="1"/>
    </row>
    <row r="227">
      <c r="A227" s="260" t="str">
        <f t="shared" si="1"/>
        <v>Kossounou</v>
      </c>
      <c r="B227" s="237">
        <v>5578.0</v>
      </c>
      <c r="C227" s="236" t="s">
        <v>480</v>
      </c>
      <c r="D227" s="236" t="s">
        <v>937</v>
      </c>
      <c r="E227" s="236" t="s">
        <v>783</v>
      </c>
      <c r="F227" s="236" t="s">
        <v>980</v>
      </c>
      <c r="G227" s="237">
        <v>7.0</v>
      </c>
      <c r="H227" s="237">
        <v>9.0</v>
      </c>
      <c r="I227" s="237">
        <v>-2.0</v>
      </c>
      <c r="J227" s="237">
        <v>7.0</v>
      </c>
      <c r="K227" s="237">
        <v>9.0</v>
      </c>
      <c r="L227" s="237">
        <v>-2.0</v>
      </c>
      <c r="M227" s="237">
        <v>10.0</v>
      </c>
      <c r="N227" s="237">
        <v>12.0</v>
      </c>
      <c r="O227" s="1"/>
    </row>
    <row r="228">
      <c r="A228" s="260" t="str">
        <f t="shared" si="1"/>
        <v>Malen</v>
      </c>
      <c r="B228" s="237">
        <v>5585.0</v>
      </c>
      <c r="C228" s="236" t="s">
        <v>507</v>
      </c>
      <c r="D228" s="236" t="s">
        <v>507</v>
      </c>
      <c r="E228" s="236" t="s">
        <v>283</v>
      </c>
      <c r="F228" s="236" t="s">
        <v>988</v>
      </c>
      <c r="G228" s="237">
        <v>14.0</v>
      </c>
      <c r="H228" s="237">
        <v>14.0</v>
      </c>
      <c r="I228" s="237">
        <v>0.0</v>
      </c>
      <c r="J228" s="237">
        <v>14.0</v>
      </c>
      <c r="K228" s="237">
        <v>14.0</v>
      </c>
      <c r="L228" s="237">
        <v>0.0</v>
      </c>
      <c r="M228" s="237">
        <v>67.0</v>
      </c>
      <c r="N228" s="237">
        <v>67.0</v>
      </c>
      <c r="O228" s="1"/>
    </row>
    <row r="229">
      <c r="A229" s="260" t="str">
        <f t="shared" si="1"/>
        <v>Konè M.</v>
      </c>
      <c r="B229" s="237">
        <v>5589.0</v>
      </c>
      <c r="C229" s="236" t="s">
        <v>492</v>
      </c>
      <c r="D229" s="236" t="s">
        <v>930</v>
      </c>
      <c r="E229" s="236" t="s">
        <v>1087</v>
      </c>
      <c r="F229" s="236" t="s">
        <v>988</v>
      </c>
      <c r="G229" s="237">
        <v>16.0</v>
      </c>
      <c r="H229" s="237">
        <v>14.0</v>
      </c>
      <c r="I229" s="237">
        <v>2.0</v>
      </c>
      <c r="J229" s="237">
        <v>16.0</v>
      </c>
      <c r="K229" s="237">
        <v>15.0</v>
      </c>
      <c r="L229" s="237">
        <v>1.0</v>
      </c>
      <c r="M229" s="237">
        <v>45.0</v>
      </c>
      <c r="N229" s="237">
        <v>50.0</v>
      </c>
      <c r="O229" s="1"/>
    </row>
    <row r="230">
      <c r="A230" s="260" t="str">
        <f t="shared" si="1"/>
        <v>Pongracic</v>
      </c>
      <c r="B230" s="237">
        <v>5603.0</v>
      </c>
      <c r="C230" s="236" t="s">
        <v>480</v>
      </c>
      <c r="D230" s="236" t="s">
        <v>481</v>
      </c>
      <c r="E230" s="236" t="s">
        <v>706</v>
      </c>
      <c r="F230" s="236" t="s">
        <v>1033</v>
      </c>
      <c r="G230" s="237">
        <v>4.0</v>
      </c>
      <c r="H230" s="237">
        <v>5.0</v>
      </c>
      <c r="I230" s="237">
        <v>-1.0</v>
      </c>
      <c r="J230" s="237">
        <v>4.0</v>
      </c>
      <c r="K230" s="237">
        <v>5.0</v>
      </c>
      <c r="L230" s="237">
        <v>-1.0</v>
      </c>
      <c r="M230" s="237">
        <v>12.0</v>
      </c>
      <c r="N230" s="237">
        <v>12.0</v>
      </c>
      <c r="O230" s="1"/>
    </row>
    <row r="231">
      <c r="A231" s="260" t="str">
        <f t="shared" si="1"/>
        <v>Vranckx</v>
      </c>
      <c r="B231" s="237">
        <v>5610.0</v>
      </c>
      <c r="C231" s="236" t="s">
        <v>492</v>
      </c>
      <c r="D231" s="236" t="s">
        <v>930</v>
      </c>
      <c r="E231" s="236" t="s">
        <v>1213</v>
      </c>
      <c r="F231" s="236" t="s">
        <v>1005</v>
      </c>
      <c r="G231" s="237">
        <v>2.0</v>
      </c>
      <c r="H231" s="237">
        <v>4.0</v>
      </c>
      <c r="I231" s="237">
        <v>-2.0</v>
      </c>
      <c r="J231" s="237">
        <v>2.0</v>
      </c>
      <c r="K231" s="237">
        <v>5.0</v>
      </c>
      <c r="L231" s="237">
        <v>-3.0</v>
      </c>
      <c r="M231" s="237">
        <v>10.0</v>
      </c>
      <c r="N231" s="237">
        <v>13.0</v>
      </c>
      <c r="O231" s="1"/>
    </row>
    <row r="232">
      <c r="A232" s="260" t="str">
        <f t="shared" si="1"/>
        <v>Tavares N.</v>
      </c>
      <c r="B232" s="237">
        <v>5620.0</v>
      </c>
      <c r="C232" s="236" t="s">
        <v>480</v>
      </c>
      <c r="D232" s="236" t="s">
        <v>931</v>
      </c>
      <c r="E232" s="236" t="s">
        <v>177</v>
      </c>
      <c r="F232" s="236" t="s">
        <v>1000</v>
      </c>
      <c r="G232" s="237">
        <v>6.0</v>
      </c>
      <c r="H232" s="237">
        <v>12.0</v>
      </c>
      <c r="I232" s="237">
        <v>-6.0</v>
      </c>
      <c r="J232" s="237">
        <v>6.0</v>
      </c>
      <c r="K232" s="237">
        <v>12.0</v>
      </c>
      <c r="L232" s="237">
        <v>-6.0</v>
      </c>
      <c r="M232" s="237">
        <v>10.0</v>
      </c>
      <c r="N232" s="237">
        <v>10.0</v>
      </c>
      <c r="O232" s="1"/>
    </row>
    <row r="233">
      <c r="A233" s="260" t="str">
        <f t="shared" si="1"/>
        <v>Davis K.</v>
      </c>
      <c r="B233" s="237">
        <v>5637.0</v>
      </c>
      <c r="C233" s="236" t="s">
        <v>507</v>
      </c>
      <c r="D233" s="236" t="s">
        <v>512</v>
      </c>
      <c r="E233" s="236" t="s">
        <v>1040</v>
      </c>
      <c r="F233" s="236" t="s">
        <v>993</v>
      </c>
      <c r="G233" s="237">
        <v>24.0</v>
      </c>
      <c r="H233" s="237">
        <v>12.0</v>
      </c>
      <c r="I233" s="237">
        <v>12.0</v>
      </c>
      <c r="J233" s="237">
        <v>25.0</v>
      </c>
      <c r="K233" s="237">
        <v>11.0</v>
      </c>
      <c r="L233" s="237">
        <v>14.0</v>
      </c>
      <c r="M233" s="237">
        <v>84.0</v>
      </c>
      <c r="N233" s="237">
        <v>81.0</v>
      </c>
      <c r="O233" s="1"/>
    </row>
    <row r="234">
      <c r="A234" s="260" t="str">
        <f t="shared" si="1"/>
        <v>Harrison</v>
      </c>
      <c r="B234" s="237">
        <v>5651.0</v>
      </c>
      <c r="C234" s="236" t="s">
        <v>492</v>
      </c>
      <c r="D234" s="236" t="s">
        <v>563</v>
      </c>
      <c r="E234" s="236" t="s">
        <v>1559</v>
      </c>
      <c r="F234" s="236" t="s">
        <v>1033</v>
      </c>
      <c r="G234" s="237">
        <v>9.0</v>
      </c>
      <c r="H234" s="237">
        <v>10.0</v>
      </c>
      <c r="I234" s="237">
        <v>-1.0</v>
      </c>
      <c r="J234" s="237">
        <v>9.0</v>
      </c>
      <c r="K234" s="237">
        <v>10.0</v>
      </c>
      <c r="L234" s="237">
        <v>-1.0</v>
      </c>
      <c r="M234" s="237">
        <v>20.0</v>
      </c>
      <c r="N234" s="237">
        <v>20.0</v>
      </c>
      <c r="O234" s="1"/>
    </row>
    <row r="235">
      <c r="A235" s="260" t="str">
        <f t="shared" si="1"/>
        <v>Dia</v>
      </c>
      <c r="B235" s="237">
        <v>5672.0</v>
      </c>
      <c r="C235" s="236" t="s">
        <v>507</v>
      </c>
      <c r="D235" s="236" t="s">
        <v>512</v>
      </c>
      <c r="E235" s="236" t="s">
        <v>777</v>
      </c>
      <c r="F235" s="236" t="s">
        <v>1000</v>
      </c>
      <c r="G235" s="237">
        <v>5.0</v>
      </c>
      <c r="H235" s="237">
        <v>20.0</v>
      </c>
      <c r="I235" s="237">
        <v>-15.0</v>
      </c>
      <c r="J235" s="237">
        <v>5.0</v>
      </c>
      <c r="K235" s="237">
        <v>20.0</v>
      </c>
      <c r="L235" s="237">
        <v>-15.0</v>
      </c>
      <c r="M235" s="237">
        <v>12.0</v>
      </c>
      <c r="N235" s="237">
        <v>10.0</v>
      </c>
      <c r="O235" s="1"/>
    </row>
    <row r="236">
      <c r="A236" s="260" t="str">
        <f t="shared" si="1"/>
        <v>Basic</v>
      </c>
      <c r="B236" s="237">
        <v>5674.0</v>
      </c>
      <c r="C236" s="236" t="s">
        <v>492</v>
      </c>
      <c r="D236" s="236" t="s">
        <v>492</v>
      </c>
      <c r="E236" s="236" t="s">
        <v>185</v>
      </c>
      <c r="F236" s="236" t="s">
        <v>1000</v>
      </c>
      <c r="G236" s="237">
        <v>13.0</v>
      </c>
      <c r="H236" s="237">
        <v>1.0</v>
      </c>
      <c r="I236" s="237">
        <v>12.0</v>
      </c>
      <c r="J236" s="237">
        <v>13.0</v>
      </c>
      <c r="K236" s="237">
        <v>1.0</v>
      </c>
      <c r="L236" s="237">
        <v>12.0</v>
      </c>
      <c r="M236" s="237">
        <v>24.0</v>
      </c>
      <c r="N236" s="237">
        <v>24.0</v>
      </c>
      <c r="O236" s="1"/>
    </row>
    <row r="237">
      <c r="A237" s="260" t="str">
        <f t="shared" si="1"/>
        <v>Holm</v>
      </c>
      <c r="B237" s="237">
        <v>5678.0</v>
      </c>
      <c r="C237" s="236" t="s">
        <v>480</v>
      </c>
      <c r="D237" s="236" t="s">
        <v>938</v>
      </c>
      <c r="E237" s="236" t="s">
        <v>641</v>
      </c>
      <c r="F237" s="236" t="s">
        <v>976</v>
      </c>
      <c r="G237" s="237">
        <v>12.0</v>
      </c>
      <c r="H237" s="237">
        <v>8.0</v>
      </c>
      <c r="I237" s="237">
        <v>4.0</v>
      </c>
      <c r="J237" s="237">
        <v>12.0</v>
      </c>
      <c r="K237" s="237">
        <v>8.0</v>
      </c>
      <c r="L237" s="237">
        <v>4.0</v>
      </c>
      <c r="M237" s="237">
        <v>18.0</v>
      </c>
      <c r="N237" s="237">
        <v>18.0</v>
      </c>
      <c r="O237" s="1"/>
    </row>
    <row r="238">
      <c r="A238" s="260" t="str">
        <f t="shared" si="1"/>
        <v>Koopmeiners</v>
      </c>
      <c r="B238" s="237">
        <v>5685.0</v>
      </c>
      <c r="C238" s="236" t="s">
        <v>492</v>
      </c>
      <c r="D238" s="236" t="s">
        <v>934</v>
      </c>
      <c r="E238" s="236" t="s">
        <v>305</v>
      </c>
      <c r="F238" s="236" t="s">
        <v>976</v>
      </c>
      <c r="G238" s="237">
        <v>4.0</v>
      </c>
      <c r="H238" s="237">
        <v>14.0</v>
      </c>
      <c r="I238" s="237">
        <v>-10.0</v>
      </c>
      <c r="J238" s="237">
        <v>4.0</v>
      </c>
      <c r="K238" s="237">
        <v>14.0</v>
      </c>
      <c r="L238" s="237">
        <v>-10.0</v>
      </c>
      <c r="M238" s="237">
        <v>12.0</v>
      </c>
      <c r="N238" s="237">
        <v>12.0</v>
      </c>
      <c r="O238" s="1"/>
    </row>
    <row r="239">
      <c r="A239" s="260" t="str">
        <f t="shared" si="1"/>
        <v>Vlasic</v>
      </c>
      <c r="B239" s="237">
        <v>5687.0</v>
      </c>
      <c r="C239" s="236" t="s">
        <v>492</v>
      </c>
      <c r="D239" s="236" t="s">
        <v>543</v>
      </c>
      <c r="E239" s="236" t="s">
        <v>905</v>
      </c>
      <c r="F239" s="236" t="s">
        <v>972</v>
      </c>
      <c r="G239" s="237">
        <v>18.0</v>
      </c>
      <c r="H239" s="237">
        <v>15.0</v>
      </c>
      <c r="I239" s="237">
        <v>3.0</v>
      </c>
      <c r="J239" s="237">
        <v>17.0</v>
      </c>
      <c r="K239" s="237">
        <v>14.0</v>
      </c>
      <c r="L239" s="237">
        <v>3.0</v>
      </c>
      <c r="M239" s="237">
        <v>77.0</v>
      </c>
      <c r="N239" s="237">
        <v>77.0</v>
      </c>
      <c r="O239" s="1"/>
    </row>
    <row r="240">
      <c r="A240" s="260" t="str">
        <f t="shared" si="1"/>
        <v>Harroui</v>
      </c>
      <c r="B240" s="237">
        <v>5688.0</v>
      </c>
      <c r="C240" s="236" t="s">
        <v>492</v>
      </c>
      <c r="D240" s="236" t="s">
        <v>1057</v>
      </c>
      <c r="E240" s="236" t="s">
        <v>729</v>
      </c>
      <c r="F240" s="236" t="s">
        <v>983</v>
      </c>
      <c r="G240" s="237">
        <v>3.0</v>
      </c>
      <c r="H240" s="237">
        <v>7.0</v>
      </c>
      <c r="I240" s="237">
        <v>-4.0</v>
      </c>
      <c r="J240" s="237">
        <v>3.0</v>
      </c>
      <c r="K240" s="237">
        <v>7.0</v>
      </c>
      <c r="L240" s="237">
        <v>-4.0</v>
      </c>
      <c r="M240" s="237">
        <v>12.0</v>
      </c>
      <c r="N240" s="237">
        <v>14.0</v>
      </c>
      <c r="O240" s="1"/>
    </row>
    <row r="241">
      <c r="A241" s="260" t="str">
        <f t="shared" si="1"/>
        <v>Obert</v>
      </c>
      <c r="B241" s="237">
        <v>5701.0</v>
      </c>
      <c r="C241" s="236" t="s">
        <v>480</v>
      </c>
      <c r="D241" s="236" t="s">
        <v>1022</v>
      </c>
      <c r="E241" s="236" t="s">
        <v>1129</v>
      </c>
      <c r="F241" s="236" t="s">
        <v>975</v>
      </c>
      <c r="G241" s="237">
        <v>6.0</v>
      </c>
      <c r="H241" s="237">
        <v>4.0</v>
      </c>
      <c r="I241" s="237">
        <v>2.0</v>
      </c>
      <c r="J241" s="237">
        <v>6.0</v>
      </c>
      <c r="K241" s="237">
        <v>4.0</v>
      </c>
      <c r="L241" s="237">
        <v>2.0</v>
      </c>
      <c r="M241" s="237">
        <v>15.0</v>
      </c>
      <c r="N241" s="237">
        <v>17.0</v>
      </c>
      <c r="O241" s="1"/>
    </row>
    <row r="242">
      <c r="A242" s="260" t="str">
        <f t="shared" si="1"/>
        <v>Soulè</v>
      </c>
      <c r="B242" s="237">
        <v>5734.0</v>
      </c>
      <c r="C242" s="236" t="s">
        <v>507</v>
      </c>
      <c r="D242" s="236" t="s">
        <v>507</v>
      </c>
      <c r="E242" s="236" t="s">
        <v>1186</v>
      </c>
      <c r="F242" s="236" t="s">
        <v>988</v>
      </c>
      <c r="G242" s="237">
        <v>24.0</v>
      </c>
      <c r="H242" s="237">
        <v>20.0</v>
      </c>
      <c r="I242" s="237">
        <v>4.0</v>
      </c>
      <c r="J242" s="237">
        <v>25.0</v>
      </c>
      <c r="K242" s="237">
        <v>21.0</v>
      </c>
      <c r="L242" s="237">
        <v>4.0</v>
      </c>
      <c r="M242" s="237">
        <v>175.0</v>
      </c>
      <c r="N242" s="237">
        <v>175.0</v>
      </c>
      <c r="O242" s="1"/>
    </row>
    <row r="243">
      <c r="A243" s="260" t="str">
        <f t="shared" si="1"/>
        <v>Volpato</v>
      </c>
      <c r="B243" s="237">
        <v>5735.0</v>
      </c>
      <c r="C243" s="236" t="s">
        <v>492</v>
      </c>
      <c r="D243" s="236" t="s">
        <v>1057</v>
      </c>
      <c r="E243" s="236" t="s">
        <v>421</v>
      </c>
      <c r="F243" s="236" t="s">
        <v>1005</v>
      </c>
      <c r="G243" s="237">
        <v>12.0</v>
      </c>
      <c r="H243" s="237">
        <v>5.0</v>
      </c>
      <c r="I243" s="237">
        <v>7.0</v>
      </c>
      <c r="J243" s="237">
        <v>12.0</v>
      </c>
      <c r="K243" s="237">
        <v>5.0</v>
      </c>
      <c r="L243" s="237">
        <v>7.0</v>
      </c>
      <c r="M243" s="237">
        <v>16.0</v>
      </c>
      <c r="N243" s="237">
        <v>19.0</v>
      </c>
      <c r="O243" s="1"/>
    </row>
    <row r="244">
      <c r="A244" s="260" t="str">
        <f t="shared" si="1"/>
        <v>De Winter</v>
      </c>
      <c r="B244" s="237">
        <v>5739.0</v>
      </c>
      <c r="C244" s="236" t="s">
        <v>480</v>
      </c>
      <c r="D244" s="236" t="s">
        <v>937</v>
      </c>
      <c r="E244" s="236" t="s">
        <v>618</v>
      </c>
      <c r="F244" s="236" t="s">
        <v>991</v>
      </c>
      <c r="G244" s="237">
        <v>8.0</v>
      </c>
      <c r="H244" s="237">
        <v>8.0</v>
      </c>
      <c r="I244" s="237">
        <v>0.0</v>
      </c>
      <c r="J244" s="237">
        <v>8.0</v>
      </c>
      <c r="K244" s="237">
        <v>9.0</v>
      </c>
      <c r="L244" s="237">
        <v>-1.0</v>
      </c>
      <c r="M244" s="237">
        <v>12.0</v>
      </c>
      <c r="N244" s="237">
        <v>13.0</v>
      </c>
      <c r="O244" s="1"/>
    </row>
    <row r="245">
      <c r="A245" s="260" t="str">
        <f t="shared" si="1"/>
        <v>Ostigard</v>
      </c>
      <c r="B245" s="237">
        <v>5750.0</v>
      </c>
      <c r="C245" s="236" t="s">
        <v>480</v>
      </c>
      <c r="D245" s="236" t="s">
        <v>481</v>
      </c>
      <c r="E245" s="236" t="s">
        <v>457</v>
      </c>
      <c r="F245" s="236" t="s">
        <v>1026</v>
      </c>
      <c r="G245" s="237">
        <v>14.0</v>
      </c>
      <c r="H245" s="237">
        <v>5.0</v>
      </c>
      <c r="I245" s="237">
        <v>9.0</v>
      </c>
      <c r="J245" s="237">
        <v>14.0</v>
      </c>
      <c r="K245" s="237">
        <v>5.0</v>
      </c>
      <c r="L245" s="237">
        <v>9.0</v>
      </c>
      <c r="M245" s="237">
        <v>25.0</v>
      </c>
      <c r="N245" s="237">
        <v>25.0</v>
      </c>
      <c r="O245" s="1"/>
    </row>
    <row r="246">
      <c r="A246" s="260" t="str">
        <f t="shared" si="1"/>
        <v>Zhegrova</v>
      </c>
      <c r="B246" s="237">
        <v>5761.0</v>
      </c>
      <c r="C246" s="236" t="s">
        <v>492</v>
      </c>
      <c r="D246" s="236" t="s">
        <v>563</v>
      </c>
      <c r="E246" s="236" t="s">
        <v>1218</v>
      </c>
      <c r="F246" s="236" t="s">
        <v>976</v>
      </c>
      <c r="G246" s="237">
        <v>9.0</v>
      </c>
      <c r="H246" s="237">
        <v>19.0</v>
      </c>
      <c r="I246" s="237">
        <v>-10.0</v>
      </c>
      <c r="J246" s="237">
        <v>9.0</v>
      </c>
      <c r="K246" s="237">
        <v>19.0</v>
      </c>
      <c r="L246" s="237">
        <v>-10.0</v>
      </c>
      <c r="M246" s="237">
        <v>15.0</v>
      </c>
      <c r="N246" s="237">
        <v>15.0</v>
      </c>
      <c r="O246" s="1"/>
    </row>
    <row r="247">
      <c r="A247" s="260" t="str">
        <f t="shared" si="1"/>
        <v>Aebischer</v>
      </c>
      <c r="B247" s="237">
        <v>5784.0</v>
      </c>
      <c r="C247" s="236" t="s">
        <v>492</v>
      </c>
      <c r="D247" s="236" t="s">
        <v>492</v>
      </c>
      <c r="E247" s="236" t="s">
        <v>712</v>
      </c>
      <c r="F247" s="236" t="s">
        <v>977</v>
      </c>
      <c r="G247" s="237">
        <v>7.0</v>
      </c>
      <c r="H247" s="237">
        <v>4.0</v>
      </c>
      <c r="I247" s="237">
        <v>3.0</v>
      </c>
      <c r="J247" s="237">
        <v>7.0</v>
      </c>
      <c r="K247" s="237">
        <v>4.0</v>
      </c>
      <c r="L247" s="237">
        <v>3.0</v>
      </c>
      <c r="M247" s="237">
        <v>12.0</v>
      </c>
      <c r="N247" s="237">
        <v>12.0</v>
      </c>
      <c r="O247" s="1"/>
    </row>
    <row r="248">
      <c r="A248" s="260" t="str">
        <f t="shared" si="1"/>
        <v>Sabiri</v>
      </c>
      <c r="B248" s="237">
        <v>5788.0</v>
      </c>
      <c r="C248" s="236" t="s">
        <v>492</v>
      </c>
      <c r="D248" s="236" t="s">
        <v>543</v>
      </c>
      <c r="E248" s="236" t="s">
        <v>1168</v>
      </c>
      <c r="F248" s="236" t="s">
        <v>1033</v>
      </c>
      <c r="G248" s="237">
        <v>2.0</v>
      </c>
      <c r="H248" s="237">
        <v>2.0</v>
      </c>
      <c r="I248" s="237">
        <v>0.0</v>
      </c>
      <c r="J248" s="237">
        <v>2.0</v>
      </c>
      <c r="K248" s="237">
        <v>2.0</v>
      </c>
      <c r="L248" s="237">
        <v>0.0</v>
      </c>
      <c r="M248" s="237">
        <v>4.0</v>
      </c>
      <c r="N248" s="237">
        <v>4.0</v>
      </c>
      <c r="O248" s="1"/>
    </row>
    <row r="249">
      <c r="A249" s="260" t="str">
        <f t="shared" si="1"/>
        <v>Frendrup</v>
      </c>
      <c r="B249" s="237">
        <v>5791.0</v>
      </c>
      <c r="C249" s="236" t="s">
        <v>492</v>
      </c>
      <c r="D249" s="236" t="s">
        <v>930</v>
      </c>
      <c r="E249" s="236" t="s">
        <v>691</v>
      </c>
      <c r="F249" s="236" t="s">
        <v>1026</v>
      </c>
      <c r="G249" s="237">
        <v>10.0</v>
      </c>
      <c r="H249" s="237">
        <v>9.0</v>
      </c>
      <c r="I249" s="237">
        <v>1.0</v>
      </c>
      <c r="J249" s="237">
        <v>10.0</v>
      </c>
      <c r="K249" s="237">
        <v>10.0</v>
      </c>
      <c r="L249" s="237">
        <v>0.0</v>
      </c>
      <c r="M249" s="237">
        <v>23.0</v>
      </c>
      <c r="N249" s="237">
        <v>28.0</v>
      </c>
      <c r="O249" s="1"/>
    </row>
    <row r="250">
      <c r="A250" s="260" t="str">
        <f t="shared" si="1"/>
        <v>Ederson D.S.</v>
      </c>
      <c r="B250" s="237">
        <v>5792.0</v>
      </c>
      <c r="C250" s="236" t="s">
        <v>492</v>
      </c>
      <c r="D250" s="236" t="s">
        <v>930</v>
      </c>
      <c r="E250" s="236" t="s">
        <v>1052</v>
      </c>
      <c r="F250" s="236" t="s">
        <v>980</v>
      </c>
      <c r="G250" s="237">
        <v>11.0</v>
      </c>
      <c r="H250" s="237">
        <v>15.0</v>
      </c>
      <c r="I250" s="237">
        <v>-4.0</v>
      </c>
      <c r="J250" s="237">
        <v>11.0</v>
      </c>
      <c r="K250" s="237">
        <v>16.0</v>
      </c>
      <c r="L250" s="237">
        <v>-5.0</v>
      </c>
      <c r="M250" s="237">
        <v>34.0</v>
      </c>
      <c r="N250" s="237">
        <v>39.0</v>
      </c>
      <c r="O250" s="1"/>
    </row>
    <row r="251">
      <c r="A251" s="260" t="str">
        <f t="shared" si="1"/>
        <v>Gudmundsson A.</v>
      </c>
      <c r="B251" s="237">
        <v>5800.0</v>
      </c>
      <c r="C251" s="236" t="s">
        <v>492</v>
      </c>
      <c r="D251" s="236" t="s">
        <v>947</v>
      </c>
      <c r="E251" s="236" t="s">
        <v>611</v>
      </c>
      <c r="F251" s="236" t="s">
        <v>1033</v>
      </c>
      <c r="G251" s="237">
        <v>17.0</v>
      </c>
      <c r="H251" s="237">
        <v>24.0</v>
      </c>
      <c r="I251" s="237">
        <v>-7.0</v>
      </c>
      <c r="J251" s="237">
        <v>17.0</v>
      </c>
      <c r="K251" s="237">
        <v>23.0</v>
      </c>
      <c r="L251" s="237">
        <v>-6.0</v>
      </c>
      <c r="M251" s="237">
        <v>74.0</v>
      </c>
      <c r="N251" s="237">
        <v>74.0</v>
      </c>
      <c r="O251" s="1"/>
    </row>
    <row r="252">
      <c r="A252" s="260" t="str">
        <f t="shared" si="1"/>
        <v>Terracciano F.</v>
      </c>
      <c r="B252" s="237">
        <v>5812.0</v>
      </c>
      <c r="C252" s="236" t="s">
        <v>480</v>
      </c>
      <c r="D252" s="236" t="s">
        <v>944</v>
      </c>
      <c r="E252" s="236" t="s">
        <v>649</v>
      </c>
      <c r="F252" s="236" t="s">
        <v>995</v>
      </c>
      <c r="G252" s="237">
        <v>11.0</v>
      </c>
      <c r="H252" s="237">
        <v>2.0</v>
      </c>
      <c r="I252" s="237">
        <v>9.0</v>
      </c>
      <c r="J252" s="237">
        <v>11.0</v>
      </c>
      <c r="K252" s="237">
        <v>2.0</v>
      </c>
      <c r="L252" s="237">
        <v>9.0</v>
      </c>
      <c r="M252" s="237">
        <v>14.0</v>
      </c>
      <c r="N252" s="237">
        <v>17.0</v>
      </c>
      <c r="O252" s="1"/>
    </row>
    <row r="253">
      <c r="A253" s="260" t="str">
        <f t="shared" si="1"/>
        <v>Miretti</v>
      </c>
      <c r="B253" s="237">
        <v>5813.0</v>
      </c>
      <c r="C253" s="236" t="s">
        <v>492</v>
      </c>
      <c r="D253" s="236" t="s">
        <v>934</v>
      </c>
      <c r="E253" s="236" t="s">
        <v>886</v>
      </c>
      <c r="F253" s="236" t="s">
        <v>976</v>
      </c>
      <c r="G253" s="237">
        <v>11.0</v>
      </c>
      <c r="H253" s="237">
        <v>5.0</v>
      </c>
      <c r="I253" s="237">
        <v>6.0</v>
      </c>
      <c r="J253" s="237">
        <v>11.0</v>
      </c>
      <c r="K253" s="237">
        <v>5.0</v>
      </c>
      <c r="L253" s="237">
        <v>6.0</v>
      </c>
      <c r="M253" s="237">
        <v>26.0</v>
      </c>
      <c r="N253" s="237">
        <v>26.0</v>
      </c>
      <c r="O253" s="1"/>
    </row>
    <row r="254">
      <c r="A254" s="260" t="str">
        <f t="shared" si="1"/>
        <v>Bertola</v>
      </c>
      <c r="B254" s="237">
        <v>5820.0</v>
      </c>
      <c r="C254" s="236" t="s">
        <v>480</v>
      </c>
      <c r="D254" s="236" t="s">
        <v>481</v>
      </c>
      <c r="E254" s="236" t="s">
        <v>91</v>
      </c>
      <c r="F254" s="236" t="s">
        <v>993</v>
      </c>
      <c r="G254" s="237">
        <v>7.0</v>
      </c>
      <c r="H254" s="237">
        <v>6.0</v>
      </c>
      <c r="I254" s="237">
        <v>1.0</v>
      </c>
      <c r="J254" s="237">
        <v>7.0</v>
      </c>
      <c r="K254" s="237">
        <v>6.0</v>
      </c>
      <c r="L254" s="237">
        <v>1.0</v>
      </c>
      <c r="M254" s="237">
        <v>13.0</v>
      </c>
      <c r="N254" s="237">
        <v>13.0</v>
      </c>
      <c r="O254" s="1"/>
    </row>
    <row r="255">
      <c r="A255" s="260" t="str">
        <f t="shared" si="1"/>
        <v>Baldanzi</v>
      </c>
      <c r="B255" s="237">
        <v>5823.0</v>
      </c>
      <c r="C255" s="236" t="s">
        <v>492</v>
      </c>
      <c r="D255" s="236" t="s">
        <v>947</v>
      </c>
      <c r="E255" s="236" t="s">
        <v>324</v>
      </c>
      <c r="F255" s="236" t="s">
        <v>1026</v>
      </c>
      <c r="G255" s="237">
        <v>5.0</v>
      </c>
      <c r="H255" s="237">
        <v>8.0</v>
      </c>
      <c r="I255" s="237">
        <v>-3.0</v>
      </c>
      <c r="J255" s="237">
        <v>5.0</v>
      </c>
      <c r="K255" s="237">
        <v>8.0</v>
      </c>
      <c r="L255" s="237">
        <v>-3.0</v>
      </c>
      <c r="M255" s="237">
        <v>24.0</v>
      </c>
      <c r="N255" s="237">
        <v>24.0</v>
      </c>
      <c r="O255" s="1"/>
    </row>
    <row r="256">
      <c r="A256" s="260" t="str">
        <f t="shared" si="1"/>
        <v>Gatti</v>
      </c>
      <c r="B256" s="237">
        <v>5831.0</v>
      </c>
      <c r="C256" s="236" t="s">
        <v>480</v>
      </c>
      <c r="D256" s="236" t="s">
        <v>481</v>
      </c>
      <c r="E256" s="236" t="s">
        <v>780</v>
      </c>
      <c r="F256" s="236" t="s">
        <v>976</v>
      </c>
      <c r="G256" s="237">
        <v>5.0</v>
      </c>
      <c r="H256" s="237">
        <v>8.0</v>
      </c>
      <c r="I256" s="237">
        <v>-3.0</v>
      </c>
      <c r="J256" s="237">
        <v>5.0</v>
      </c>
      <c r="K256" s="237">
        <v>8.0</v>
      </c>
      <c r="L256" s="237">
        <v>-3.0</v>
      </c>
      <c r="M256" s="237">
        <v>8.0</v>
      </c>
      <c r="N256" s="237">
        <v>8.0</v>
      </c>
      <c r="O256" s="1"/>
    </row>
    <row r="257">
      <c r="A257" s="260" t="str">
        <f t="shared" si="1"/>
        <v>Gila</v>
      </c>
      <c r="B257" s="237">
        <v>5833.0</v>
      </c>
      <c r="C257" s="236" t="s">
        <v>480</v>
      </c>
      <c r="D257" s="236" t="s">
        <v>481</v>
      </c>
      <c r="E257" s="236" t="s">
        <v>620</v>
      </c>
      <c r="F257" s="236" t="s">
        <v>1000</v>
      </c>
      <c r="G257" s="237">
        <v>8.0</v>
      </c>
      <c r="H257" s="237">
        <v>9.0</v>
      </c>
      <c r="I257" s="237">
        <v>-1.0</v>
      </c>
      <c r="J257" s="237">
        <v>8.0</v>
      </c>
      <c r="K257" s="237">
        <v>9.0</v>
      </c>
      <c r="L257" s="237">
        <v>-1.0</v>
      </c>
      <c r="M257" s="237">
        <v>22.0</v>
      </c>
      <c r="N257" s="237">
        <v>22.0</v>
      </c>
      <c r="O257" s="1"/>
    </row>
    <row r="258">
      <c r="A258" s="260" t="str">
        <f t="shared" si="1"/>
        <v>Baschirotto</v>
      </c>
      <c r="B258" s="237">
        <v>5835.0</v>
      </c>
      <c r="C258" s="236" t="s">
        <v>480</v>
      </c>
      <c r="D258" s="236" t="s">
        <v>481</v>
      </c>
      <c r="E258" s="236" t="s">
        <v>632</v>
      </c>
      <c r="F258" s="236" t="s">
        <v>995</v>
      </c>
      <c r="G258" s="237">
        <v>12.0</v>
      </c>
      <c r="H258" s="237">
        <v>8.0</v>
      </c>
      <c r="I258" s="237">
        <v>4.0</v>
      </c>
      <c r="J258" s="237">
        <v>12.0</v>
      </c>
      <c r="K258" s="237">
        <v>8.0</v>
      </c>
      <c r="L258" s="237">
        <v>4.0</v>
      </c>
      <c r="M258" s="237">
        <v>20.0</v>
      </c>
      <c r="N258" s="237">
        <v>20.0</v>
      </c>
      <c r="O258" s="1"/>
    </row>
    <row r="259">
      <c r="A259" s="260" t="str">
        <f t="shared" si="1"/>
        <v>Olivera</v>
      </c>
      <c r="B259" s="237">
        <v>5840.0</v>
      </c>
      <c r="C259" s="236" t="s">
        <v>480</v>
      </c>
      <c r="D259" s="236" t="s">
        <v>931</v>
      </c>
      <c r="E259" s="236" t="s">
        <v>802</v>
      </c>
      <c r="F259" s="236" t="s">
        <v>987</v>
      </c>
      <c r="G259" s="237">
        <v>3.0</v>
      </c>
      <c r="H259" s="237">
        <v>10.0</v>
      </c>
      <c r="I259" s="237">
        <v>-7.0</v>
      </c>
      <c r="J259" s="237">
        <v>3.0</v>
      </c>
      <c r="K259" s="237">
        <v>10.0</v>
      </c>
      <c r="L259" s="237">
        <v>-7.0</v>
      </c>
      <c r="M259" s="237">
        <v>9.0</v>
      </c>
      <c r="N259" s="237">
        <v>9.0</v>
      </c>
      <c r="O259" s="1"/>
    </row>
    <row r="260">
      <c r="A260" s="260" t="str">
        <f t="shared" si="1"/>
        <v>Svilar</v>
      </c>
      <c r="B260" s="237">
        <v>5841.0</v>
      </c>
      <c r="C260" s="236" t="s">
        <v>477</v>
      </c>
      <c r="D260" s="236" t="s">
        <v>478</v>
      </c>
      <c r="E260" s="236" t="s">
        <v>890</v>
      </c>
      <c r="F260" s="236" t="s">
        <v>988</v>
      </c>
      <c r="G260" s="237">
        <v>19.0</v>
      </c>
      <c r="H260" s="237">
        <v>15.0</v>
      </c>
      <c r="I260" s="237">
        <v>4.0</v>
      </c>
      <c r="J260" s="237">
        <v>19.0</v>
      </c>
      <c r="K260" s="237">
        <v>15.0</v>
      </c>
      <c r="L260" s="237">
        <v>4.0</v>
      </c>
      <c r="M260" s="237">
        <v>100.0</v>
      </c>
      <c r="N260" s="237">
        <v>101.0</v>
      </c>
      <c r="O260" s="1"/>
    </row>
    <row r="261">
      <c r="A261" s="260" t="str">
        <f t="shared" si="1"/>
        <v>Thorstvedt</v>
      </c>
      <c r="B261" s="237">
        <v>5844.0</v>
      </c>
      <c r="C261" s="236" t="s">
        <v>492</v>
      </c>
      <c r="D261" s="236" t="s">
        <v>934</v>
      </c>
      <c r="E261" s="236" t="s">
        <v>1195</v>
      </c>
      <c r="F261" s="236" t="s">
        <v>1005</v>
      </c>
      <c r="G261" s="237">
        <v>12.0</v>
      </c>
      <c r="H261" s="237">
        <v>8.0</v>
      </c>
      <c r="I261" s="237">
        <v>4.0</v>
      </c>
      <c r="J261" s="237">
        <v>12.0</v>
      </c>
      <c r="K261" s="237">
        <v>8.0</v>
      </c>
      <c r="L261" s="237">
        <v>4.0</v>
      </c>
      <c r="M261" s="237">
        <v>25.0</v>
      </c>
      <c r="N261" s="237">
        <v>25.0</v>
      </c>
      <c r="O261" s="1"/>
    </row>
    <row r="262">
      <c r="A262" s="260" t="str">
        <f t="shared" si="1"/>
        <v>Lovric</v>
      </c>
      <c r="B262" s="237">
        <v>5850.0</v>
      </c>
      <c r="C262" s="236" t="s">
        <v>492</v>
      </c>
      <c r="D262" s="236" t="s">
        <v>492</v>
      </c>
      <c r="E262" s="236" t="s">
        <v>64</v>
      </c>
      <c r="F262" s="236" t="s">
        <v>983</v>
      </c>
      <c r="G262" s="237">
        <v>3.0</v>
      </c>
      <c r="H262" s="237">
        <v>9.0</v>
      </c>
      <c r="I262" s="237">
        <v>-6.0</v>
      </c>
      <c r="J262" s="237">
        <v>3.0</v>
      </c>
      <c r="K262" s="237">
        <v>9.0</v>
      </c>
      <c r="L262" s="237">
        <v>-6.0</v>
      </c>
      <c r="M262" s="237">
        <v>12.0</v>
      </c>
      <c r="N262" s="237">
        <v>12.0</v>
      </c>
      <c r="O262" s="1"/>
    </row>
    <row r="263">
      <c r="A263" s="260" t="str">
        <f t="shared" si="1"/>
        <v>Doig</v>
      </c>
      <c r="B263" s="237">
        <v>5851.0</v>
      </c>
      <c r="C263" s="236" t="s">
        <v>480</v>
      </c>
      <c r="D263" s="236" t="s">
        <v>931</v>
      </c>
      <c r="E263" s="236" t="s">
        <v>1049</v>
      </c>
      <c r="F263" s="236" t="s">
        <v>1005</v>
      </c>
      <c r="G263" s="237">
        <v>6.0</v>
      </c>
      <c r="H263" s="237">
        <v>6.0</v>
      </c>
      <c r="I263" s="237">
        <v>0.0</v>
      </c>
      <c r="J263" s="237">
        <v>6.0</v>
      </c>
      <c r="K263" s="237">
        <v>6.0</v>
      </c>
      <c r="L263" s="237">
        <v>0.0</v>
      </c>
      <c r="M263" s="237">
        <v>14.0</v>
      </c>
      <c r="N263" s="237">
        <v>14.0</v>
      </c>
      <c r="O263" s="1"/>
    </row>
    <row r="264">
      <c r="A264" s="260" t="str">
        <f t="shared" si="1"/>
        <v>Ferguson</v>
      </c>
      <c r="B264" s="237">
        <v>5858.0</v>
      </c>
      <c r="C264" s="236" t="s">
        <v>492</v>
      </c>
      <c r="D264" s="236" t="s">
        <v>934</v>
      </c>
      <c r="E264" s="236" t="s">
        <v>757</v>
      </c>
      <c r="F264" s="236" t="s">
        <v>1009</v>
      </c>
      <c r="G264" s="237">
        <v>6.0</v>
      </c>
      <c r="H264" s="237">
        <v>11.0</v>
      </c>
      <c r="I264" s="237">
        <v>-5.0</v>
      </c>
      <c r="J264" s="237">
        <v>6.0</v>
      </c>
      <c r="K264" s="237">
        <v>11.0</v>
      </c>
      <c r="L264" s="237">
        <v>-5.0</v>
      </c>
      <c r="M264" s="237">
        <v>16.0</v>
      </c>
      <c r="N264" s="237">
        <v>16.0</v>
      </c>
      <c r="O264" s="1"/>
    </row>
    <row r="265">
      <c r="A265" s="260" t="str">
        <f t="shared" si="1"/>
        <v>Valeri</v>
      </c>
      <c r="B265" s="237">
        <v>5862.0</v>
      </c>
      <c r="C265" s="236" t="s">
        <v>480</v>
      </c>
      <c r="D265" s="236" t="s">
        <v>931</v>
      </c>
      <c r="E265" s="236" t="s">
        <v>742</v>
      </c>
      <c r="F265" s="236" t="s">
        <v>985</v>
      </c>
      <c r="G265" s="237">
        <v>9.0</v>
      </c>
      <c r="H265" s="237">
        <v>10.0</v>
      </c>
      <c r="I265" s="237">
        <v>-1.0</v>
      </c>
      <c r="J265" s="237">
        <v>9.0</v>
      </c>
      <c r="K265" s="237">
        <v>10.0</v>
      </c>
      <c r="L265" s="237">
        <v>-1.0</v>
      </c>
      <c r="M265" s="237">
        <v>21.0</v>
      </c>
      <c r="N265" s="237">
        <v>21.0</v>
      </c>
      <c r="O265" s="1"/>
    </row>
    <row r="266">
      <c r="A266" s="260" t="str">
        <f t="shared" si="1"/>
        <v>Helgason</v>
      </c>
      <c r="B266" s="237">
        <v>5872.0</v>
      </c>
      <c r="C266" s="236" t="s">
        <v>492</v>
      </c>
      <c r="D266" s="236" t="s">
        <v>934</v>
      </c>
      <c r="E266" s="236" t="s">
        <v>726</v>
      </c>
      <c r="F266" s="236" t="s">
        <v>998</v>
      </c>
      <c r="G266" s="237">
        <v>2.0</v>
      </c>
      <c r="H266" s="237">
        <v>8.0</v>
      </c>
      <c r="I266" s="237">
        <v>-6.0</v>
      </c>
      <c r="J266" s="237">
        <v>2.0</v>
      </c>
      <c r="K266" s="237">
        <v>8.0</v>
      </c>
      <c r="L266" s="237">
        <v>-6.0</v>
      </c>
      <c r="M266" s="237">
        <v>7.0</v>
      </c>
      <c r="N266" s="237">
        <v>7.0</v>
      </c>
      <c r="O266" s="1"/>
    </row>
    <row r="267">
      <c r="A267" s="260" t="str">
        <f t="shared" si="1"/>
        <v>Di Gregorio</v>
      </c>
      <c r="B267" s="237">
        <v>5876.0</v>
      </c>
      <c r="C267" s="236" t="s">
        <v>477</v>
      </c>
      <c r="D267" s="236" t="s">
        <v>478</v>
      </c>
      <c r="E267" s="236" t="s">
        <v>295</v>
      </c>
      <c r="F267" s="236" t="s">
        <v>976</v>
      </c>
      <c r="G267" s="237">
        <v>16.0</v>
      </c>
      <c r="H267" s="237">
        <v>16.0</v>
      </c>
      <c r="I267" s="237">
        <v>0.0</v>
      </c>
      <c r="J267" s="237">
        <v>16.0</v>
      </c>
      <c r="K267" s="237">
        <v>16.0</v>
      </c>
      <c r="L267" s="237">
        <v>0.0</v>
      </c>
      <c r="M267" s="237">
        <v>67.0</v>
      </c>
      <c r="N267" s="237">
        <v>67.0</v>
      </c>
      <c r="O267" s="1"/>
    </row>
    <row r="268">
      <c r="A268" s="260" t="str">
        <f t="shared" si="1"/>
        <v>Carlos Augusto</v>
      </c>
      <c r="B268" s="237">
        <v>5877.0</v>
      </c>
      <c r="C268" s="236" t="s">
        <v>480</v>
      </c>
      <c r="D268" s="236" t="s">
        <v>979</v>
      </c>
      <c r="E268" s="236" t="s">
        <v>330</v>
      </c>
      <c r="F268" s="236" t="s">
        <v>973</v>
      </c>
      <c r="G268" s="237">
        <v>13.0</v>
      </c>
      <c r="H268" s="237">
        <v>10.0</v>
      </c>
      <c r="I268" s="237">
        <v>3.0</v>
      </c>
      <c r="J268" s="237">
        <v>13.0</v>
      </c>
      <c r="K268" s="237">
        <v>11.0</v>
      </c>
      <c r="L268" s="237">
        <v>2.0</v>
      </c>
      <c r="M268" s="237">
        <v>17.0</v>
      </c>
      <c r="N268" s="237">
        <v>20.0</v>
      </c>
      <c r="O268" s="1"/>
    </row>
    <row r="269">
      <c r="A269" s="260" t="str">
        <f t="shared" si="1"/>
        <v>Dodò</v>
      </c>
      <c r="B269" s="237">
        <v>5885.0</v>
      </c>
      <c r="C269" s="236" t="s">
        <v>480</v>
      </c>
      <c r="D269" s="236" t="s">
        <v>521</v>
      </c>
      <c r="E269" s="236" t="s">
        <v>1048</v>
      </c>
      <c r="F269" s="236" t="s">
        <v>1033</v>
      </c>
      <c r="G269" s="237">
        <v>8.0</v>
      </c>
      <c r="H269" s="237">
        <v>11.0</v>
      </c>
      <c r="I269" s="237">
        <v>-3.0</v>
      </c>
      <c r="J269" s="237">
        <v>8.0</v>
      </c>
      <c r="K269" s="237">
        <v>10.0</v>
      </c>
      <c r="L269" s="237">
        <v>-2.0</v>
      </c>
      <c r="M269" s="237">
        <v>33.0</v>
      </c>
      <c r="N269" s="237">
        <v>33.0</v>
      </c>
      <c r="O269" s="1"/>
    </row>
    <row r="270">
      <c r="A270" s="260" t="str">
        <f t="shared" si="1"/>
        <v>Casadei</v>
      </c>
      <c r="B270" s="237">
        <v>5888.0</v>
      </c>
      <c r="C270" s="236" t="s">
        <v>492</v>
      </c>
      <c r="D270" s="236" t="s">
        <v>934</v>
      </c>
      <c r="E270" s="236" t="s">
        <v>150</v>
      </c>
      <c r="F270" s="236" t="s">
        <v>972</v>
      </c>
      <c r="G270" s="237">
        <v>8.0</v>
      </c>
      <c r="H270" s="237">
        <v>12.0</v>
      </c>
      <c r="I270" s="237">
        <v>-4.0</v>
      </c>
      <c r="J270" s="237">
        <v>8.0</v>
      </c>
      <c r="K270" s="237">
        <v>12.0</v>
      </c>
      <c r="L270" s="237">
        <v>-4.0</v>
      </c>
      <c r="M270" s="237">
        <v>21.0</v>
      </c>
      <c r="N270" s="237">
        <v>21.0</v>
      </c>
      <c r="O270" s="1"/>
    </row>
    <row r="271">
      <c r="A271" s="260" t="str">
        <f t="shared" si="1"/>
        <v>Gigot</v>
      </c>
      <c r="B271" s="237">
        <v>5899.0</v>
      </c>
      <c r="C271" s="236" t="s">
        <v>480</v>
      </c>
      <c r="D271" s="236" t="s">
        <v>481</v>
      </c>
      <c r="E271" s="236" t="s">
        <v>661</v>
      </c>
      <c r="F271" s="236" t="s">
        <v>1000</v>
      </c>
      <c r="G271" s="237">
        <v>1.0</v>
      </c>
      <c r="H271" s="237">
        <v>4.0</v>
      </c>
      <c r="I271" s="237">
        <v>-3.0</v>
      </c>
      <c r="J271" s="237">
        <v>1.0</v>
      </c>
      <c r="K271" s="237">
        <v>4.0</v>
      </c>
      <c r="L271" s="237">
        <v>-3.0</v>
      </c>
      <c r="M271" s="237">
        <v>3.0</v>
      </c>
      <c r="N271" s="237">
        <v>3.0</v>
      </c>
      <c r="O271" s="1"/>
    </row>
    <row r="272">
      <c r="A272" s="260" t="str">
        <f t="shared" si="1"/>
        <v>Sulemana K.</v>
      </c>
      <c r="B272" s="237">
        <v>5918.0</v>
      </c>
      <c r="C272" s="236" t="s">
        <v>507</v>
      </c>
      <c r="D272" s="236" t="s">
        <v>507</v>
      </c>
      <c r="E272" s="236" t="s">
        <v>1192</v>
      </c>
      <c r="F272" s="236" t="s">
        <v>980</v>
      </c>
      <c r="G272" s="237">
        <v>11.0</v>
      </c>
      <c r="H272" s="237">
        <v>9.0</v>
      </c>
      <c r="I272" s="237">
        <v>2.0</v>
      </c>
      <c r="J272" s="237">
        <v>11.0</v>
      </c>
      <c r="K272" s="237">
        <v>9.0</v>
      </c>
      <c r="L272" s="237">
        <v>2.0</v>
      </c>
      <c r="M272" s="237">
        <v>11.0</v>
      </c>
      <c r="N272" s="237">
        <v>11.0</v>
      </c>
      <c r="O272" s="1"/>
    </row>
    <row r="273">
      <c r="A273" s="260" t="str">
        <f t="shared" si="1"/>
        <v>Bondo</v>
      </c>
      <c r="B273" s="237">
        <v>5992.0</v>
      </c>
      <c r="C273" s="236" t="s">
        <v>492</v>
      </c>
      <c r="D273" s="236" t="s">
        <v>930</v>
      </c>
      <c r="E273" s="236" t="s">
        <v>1013</v>
      </c>
      <c r="F273" s="236" t="s">
        <v>995</v>
      </c>
      <c r="G273" s="237">
        <v>6.0</v>
      </c>
      <c r="H273" s="237">
        <v>3.0</v>
      </c>
      <c r="I273" s="237">
        <v>3.0</v>
      </c>
      <c r="J273" s="237">
        <v>6.0</v>
      </c>
      <c r="K273" s="237">
        <v>3.0</v>
      </c>
      <c r="L273" s="237">
        <v>3.0</v>
      </c>
      <c r="M273" s="237">
        <v>13.0</v>
      </c>
      <c r="N273" s="237">
        <v>18.0</v>
      </c>
      <c r="O273" s="1"/>
    </row>
    <row r="274">
      <c r="A274" s="260" t="str">
        <f t="shared" si="1"/>
        <v>Ebosse</v>
      </c>
      <c r="B274" s="237">
        <v>5994.0</v>
      </c>
      <c r="C274" s="236" t="s">
        <v>480</v>
      </c>
      <c r="D274" s="236" t="s">
        <v>1022</v>
      </c>
      <c r="E274" s="236" t="s">
        <v>1051</v>
      </c>
      <c r="F274" s="236" t="s">
        <v>972</v>
      </c>
      <c r="G274" s="237">
        <v>2.0</v>
      </c>
      <c r="H274" s="237">
        <v>4.0</v>
      </c>
      <c r="I274" s="237">
        <v>-2.0</v>
      </c>
      <c r="J274" s="237">
        <v>2.0</v>
      </c>
      <c r="K274" s="237">
        <v>5.0</v>
      </c>
      <c r="L274" s="237">
        <v>-3.0</v>
      </c>
      <c r="M274" s="237">
        <v>7.0</v>
      </c>
      <c r="N274" s="237">
        <v>9.0</v>
      </c>
      <c r="O274" s="1"/>
    </row>
    <row r="275">
      <c r="A275" s="260" t="str">
        <f t="shared" si="1"/>
        <v>De Ketelaere</v>
      </c>
      <c r="B275" s="237">
        <v>5995.0</v>
      </c>
      <c r="C275" s="236" t="s">
        <v>507</v>
      </c>
      <c r="D275" s="236" t="s">
        <v>507</v>
      </c>
      <c r="E275" s="236" t="s">
        <v>785</v>
      </c>
      <c r="F275" s="236" t="s">
        <v>980</v>
      </c>
      <c r="G275" s="237">
        <v>17.0</v>
      </c>
      <c r="H275" s="237">
        <v>22.0</v>
      </c>
      <c r="I275" s="237">
        <v>-5.0</v>
      </c>
      <c r="J275" s="237">
        <v>18.0</v>
      </c>
      <c r="K275" s="237">
        <v>23.0</v>
      </c>
      <c r="L275" s="237">
        <v>-5.0</v>
      </c>
      <c r="M275" s="237">
        <v>86.0</v>
      </c>
      <c r="N275" s="237">
        <v>86.0</v>
      </c>
      <c r="O275" s="1"/>
    </row>
    <row r="276">
      <c r="A276" s="260" t="str">
        <f t="shared" si="1"/>
        <v>Zerbin</v>
      </c>
      <c r="B276" s="237">
        <v>5998.0</v>
      </c>
      <c r="C276" s="236" t="s">
        <v>492</v>
      </c>
      <c r="D276" s="236" t="s">
        <v>1089</v>
      </c>
      <c r="E276" s="236" t="s">
        <v>460</v>
      </c>
      <c r="F276" s="236" t="s">
        <v>995</v>
      </c>
      <c r="G276" s="237">
        <v>6.0</v>
      </c>
      <c r="H276" s="237">
        <v>3.0</v>
      </c>
      <c r="I276" s="237">
        <v>3.0</v>
      </c>
      <c r="J276" s="237">
        <v>6.0</v>
      </c>
      <c r="K276" s="237">
        <v>3.0</v>
      </c>
      <c r="L276" s="237">
        <v>3.0</v>
      </c>
      <c r="M276" s="237">
        <v>10.0</v>
      </c>
      <c r="N276" s="237">
        <v>13.0</v>
      </c>
      <c r="O276" s="1"/>
    </row>
    <row r="277">
      <c r="A277" s="260" t="str">
        <f t="shared" si="1"/>
        <v>Banda</v>
      </c>
      <c r="B277" s="237">
        <v>6001.0</v>
      </c>
      <c r="C277" s="236" t="s">
        <v>507</v>
      </c>
      <c r="D277" s="236" t="s">
        <v>935</v>
      </c>
      <c r="E277" s="236" t="s">
        <v>997</v>
      </c>
      <c r="F277" s="236" t="s">
        <v>998</v>
      </c>
      <c r="G277" s="237">
        <v>12.0</v>
      </c>
      <c r="H277" s="237">
        <v>5.0</v>
      </c>
      <c r="I277" s="237">
        <v>7.0</v>
      </c>
      <c r="J277" s="237">
        <v>12.0</v>
      </c>
      <c r="K277" s="237">
        <v>5.0</v>
      </c>
      <c r="L277" s="237">
        <v>7.0</v>
      </c>
      <c r="M277" s="237">
        <v>12.0</v>
      </c>
      <c r="N277" s="237">
        <v>14.0</v>
      </c>
      <c r="O277" s="1"/>
    </row>
    <row r="278">
      <c r="A278" s="260" t="str">
        <f t="shared" si="1"/>
        <v>Ilkhan</v>
      </c>
      <c r="B278" s="237">
        <v>6005.0</v>
      </c>
      <c r="C278" s="236" t="s">
        <v>492</v>
      </c>
      <c r="D278" s="236" t="s">
        <v>934</v>
      </c>
      <c r="E278" s="236" t="s">
        <v>340</v>
      </c>
      <c r="F278" s="236" t="s">
        <v>972</v>
      </c>
      <c r="G278" s="237">
        <v>3.0</v>
      </c>
      <c r="H278" s="237">
        <v>1.0</v>
      </c>
      <c r="I278" s="237">
        <v>2.0</v>
      </c>
      <c r="J278" s="237">
        <v>3.0</v>
      </c>
      <c r="K278" s="237">
        <v>1.0</v>
      </c>
      <c r="L278" s="237">
        <v>2.0</v>
      </c>
      <c r="M278" s="237">
        <v>10.0</v>
      </c>
      <c r="N278" s="237">
        <v>10.0</v>
      </c>
      <c r="O278" s="1"/>
    </row>
    <row r="279">
      <c r="A279" s="260" t="str">
        <f t="shared" si="1"/>
        <v>Fazzini</v>
      </c>
      <c r="B279" s="237">
        <v>6010.0</v>
      </c>
      <c r="C279" s="236" t="s">
        <v>492</v>
      </c>
      <c r="D279" s="236" t="s">
        <v>934</v>
      </c>
      <c r="E279" s="236" t="s">
        <v>285</v>
      </c>
      <c r="F279" s="236" t="s">
        <v>1033</v>
      </c>
      <c r="G279" s="237">
        <v>2.0</v>
      </c>
      <c r="H279" s="237">
        <v>11.0</v>
      </c>
      <c r="I279" s="237">
        <v>-9.0</v>
      </c>
      <c r="J279" s="237">
        <v>2.0</v>
      </c>
      <c r="K279" s="237">
        <v>11.0</v>
      </c>
      <c r="L279" s="237">
        <v>-9.0</v>
      </c>
      <c r="M279" s="237">
        <v>8.0</v>
      </c>
      <c r="N279" s="237">
        <v>8.0</v>
      </c>
      <c r="O279" s="1"/>
    </row>
    <row r="280">
      <c r="A280" s="260" t="str">
        <f t="shared" si="1"/>
        <v>Barbieri</v>
      </c>
      <c r="B280" s="237">
        <v>6013.0</v>
      </c>
      <c r="C280" s="236" t="s">
        <v>480</v>
      </c>
      <c r="D280" s="236" t="s">
        <v>944</v>
      </c>
      <c r="E280" s="236" t="s">
        <v>999</v>
      </c>
      <c r="F280" s="236" t="s">
        <v>995</v>
      </c>
      <c r="G280" s="237">
        <v>9.0</v>
      </c>
      <c r="H280" s="237">
        <v>3.0</v>
      </c>
      <c r="I280" s="237">
        <v>6.0</v>
      </c>
      <c r="J280" s="237">
        <v>8.0</v>
      </c>
      <c r="K280" s="237">
        <v>4.0</v>
      </c>
      <c r="L280" s="237">
        <v>4.0</v>
      </c>
      <c r="M280" s="237">
        <v>13.0</v>
      </c>
      <c r="N280" s="237">
        <v>16.0</v>
      </c>
      <c r="O280" s="1"/>
    </row>
    <row r="281">
      <c r="A281" s="260" t="str">
        <f t="shared" si="1"/>
        <v>Berisha M.</v>
      </c>
      <c r="B281" s="237">
        <v>6015.0</v>
      </c>
      <c r="C281" s="236" t="s">
        <v>492</v>
      </c>
      <c r="D281" s="236" t="s">
        <v>934</v>
      </c>
      <c r="E281" s="236" t="s">
        <v>1006</v>
      </c>
      <c r="F281" s="236" t="s">
        <v>998</v>
      </c>
      <c r="G281" s="237">
        <v>12.0</v>
      </c>
      <c r="H281" s="237">
        <v>3.0</v>
      </c>
      <c r="I281" s="237">
        <v>9.0</v>
      </c>
      <c r="J281" s="237">
        <v>12.0</v>
      </c>
      <c r="K281" s="237">
        <v>3.0</v>
      </c>
      <c r="L281" s="237">
        <v>9.0</v>
      </c>
      <c r="M281" s="237">
        <v>22.0</v>
      </c>
      <c r="N281" s="237">
        <v>22.0</v>
      </c>
      <c r="O281" s="1"/>
    </row>
    <row r="282">
      <c r="A282" s="260" t="str">
        <f t="shared" si="1"/>
        <v>Ellertsson</v>
      </c>
      <c r="B282" s="237">
        <v>6020.0</v>
      </c>
      <c r="C282" s="236" t="s">
        <v>492</v>
      </c>
      <c r="D282" s="236" t="s">
        <v>1056</v>
      </c>
      <c r="E282" s="236" t="s">
        <v>901</v>
      </c>
      <c r="F282" s="236" t="s">
        <v>1026</v>
      </c>
      <c r="G282" s="237">
        <v>10.0</v>
      </c>
      <c r="H282" s="237">
        <v>5.0</v>
      </c>
      <c r="I282" s="237">
        <v>5.0</v>
      </c>
      <c r="J282" s="237">
        <v>10.0</v>
      </c>
      <c r="K282" s="237">
        <v>5.0</v>
      </c>
      <c r="L282" s="237">
        <v>5.0</v>
      </c>
      <c r="M282" s="237">
        <v>14.0</v>
      </c>
      <c r="N282" s="237">
        <v>16.0</v>
      </c>
      <c r="O282" s="1"/>
    </row>
    <row r="283">
      <c r="A283" s="260" t="str">
        <f t="shared" si="1"/>
        <v>Sulemana I.</v>
      </c>
      <c r="B283" s="237">
        <v>6024.0</v>
      </c>
      <c r="C283" s="236" t="s">
        <v>492</v>
      </c>
      <c r="D283" s="236" t="s">
        <v>930</v>
      </c>
      <c r="E283" s="236" t="s">
        <v>1191</v>
      </c>
      <c r="F283" s="236" t="s">
        <v>975</v>
      </c>
      <c r="G283" s="237">
        <v>5.0</v>
      </c>
      <c r="H283" s="237">
        <v>4.0</v>
      </c>
      <c r="I283" s="237">
        <v>1.0</v>
      </c>
      <c r="J283" s="237">
        <v>5.0</v>
      </c>
      <c r="K283" s="237">
        <v>4.0</v>
      </c>
      <c r="L283" s="237">
        <v>1.0</v>
      </c>
      <c r="M283" s="237">
        <v>10.0</v>
      </c>
      <c r="N283" s="237">
        <v>11.0</v>
      </c>
      <c r="O283" s="1"/>
    </row>
    <row r="284">
      <c r="A284" s="260" t="str">
        <f t="shared" si="1"/>
        <v>Cabal</v>
      </c>
      <c r="B284" s="237">
        <v>6039.0</v>
      </c>
      <c r="C284" s="236" t="s">
        <v>480</v>
      </c>
      <c r="D284" s="236" t="s">
        <v>979</v>
      </c>
      <c r="E284" s="236" t="s">
        <v>746</v>
      </c>
      <c r="F284" s="236" t="s">
        <v>976</v>
      </c>
      <c r="G284" s="237">
        <v>10.0</v>
      </c>
      <c r="H284" s="237">
        <v>5.0</v>
      </c>
      <c r="I284" s="237">
        <v>5.0</v>
      </c>
      <c r="J284" s="237">
        <v>10.0</v>
      </c>
      <c r="K284" s="237">
        <v>5.0</v>
      </c>
      <c r="L284" s="237">
        <v>5.0</v>
      </c>
      <c r="M284" s="237">
        <v>10.0</v>
      </c>
      <c r="N284" s="237">
        <v>12.0</v>
      </c>
      <c r="O284" s="1"/>
    </row>
    <row r="285">
      <c r="A285" s="260" t="str">
        <f t="shared" si="1"/>
        <v>Lucumì</v>
      </c>
      <c r="B285" s="237">
        <v>6042.0</v>
      </c>
      <c r="C285" s="236" t="s">
        <v>480</v>
      </c>
      <c r="D285" s="236" t="s">
        <v>481</v>
      </c>
      <c r="E285" s="236" t="s">
        <v>1100</v>
      </c>
      <c r="F285" s="236" t="s">
        <v>1009</v>
      </c>
      <c r="G285" s="237">
        <v>6.0</v>
      </c>
      <c r="H285" s="237">
        <v>8.0</v>
      </c>
      <c r="I285" s="237">
        <v>-2.0</v>
      </c>
      <c r="J285" s="237">
        <v>6.0</v>
      </c>
      <c r="K285" s="237">
        <v>8.0</v>
      </c>
      <c r="L285" s="237">
        <v>-2.0</v>
      </c>
      <c r="M285" s="237">
        <v>12.0</v>
      </c>
      <c r="N285" s="237">
        <v>12.0</v>
      </c>
      <c r="O285" s="261">
        <v>46049.0</v>
      </c>
    </row>
    <row r="286">
      <c r="A286" s="260" t="str">
        <f t="shared" si="1"/>
        <v>Hien</v>
      </c>
      <c r="B286" s="237">
        <v>6046.0</v>
      </c>
      <c r="C286" s="236" t="s">
        <v>480</v>
      </c>
      <c r="D286" s="236" t="s">
        <v>481</v>
      </c>
      <c r="E286" s="236" t="s">
        <v>781</v>
      </c>
      <c r="F286" s="236" t="s">
        <v>980</v>
      </c>
      <c r="G286" s="237">
        <v>7.0</v>
      </c>
      <c r="H286" s="237">
        <v>11.0</v>
      </c>
      <c r="I286" s="237">
        <v>-4.0</v>
      </c>
      <c r="J286" s="237">
        <v>7.0</v>
      </c>
      <c r="K286" s="237">
        <v>11.0</v>
      </c>
      <c r="L286" s="237">
        <v>-4.0</v>
      </c>
      <c r="M286" s="237">
        <v>21.0</v>
      </c>
      <c r="N286" s="237">
        <v>21.0</v>
      </c>
      <c r="O286" s="1"/>
    </row>
    <row r="287">
      <c r="A287" s="260" t="str">
        <f t="shared" si="1"/>
        <v>Ehizibue</v>
      </c>
      <c r="B287" s="237">
        <v>6047.0</v>
      </c>
      <c r="C287" s="236" t="s">
        <v>480</v>
      </c>
      <c r="D287" s="236" t="s">
        <v>938</v>
      </c>
      <c r="E287" s="236" t="s">
        <v>1053</v>
      </c>
      <c r="F287" s="236" t="s">
        <v>993</v>
      </c>
      <c r="G287" s="237">
        <v>4.0</v>
      </c>
      <c r="H287" s="237">
        <v>5.0</v>
      </c>
      <c r="I287" s="237">
        <v>-1.0</v>
      </c>
      <c r="J287" s="237">
        <v>4.0</v>
      </c>
      <c r="K287" s="237">
        <v>5.0</v>
      </c>
      <c r="L287" s="237">
        <v>-1.0</v>
      </c>
      <c r="M287" s="237">
        <v>8.0</v>
      </c>
      <c r="N287" s="237">
        <v>8.0</v>
      </c>
      <c r="O287" s="1"/>
    </row>
    <row r="288">
      <c r="A288" s="260" t="str">
        <f t="shared" si="1"/>
        <v>Hojlund</v>
      </c>
      <c r="B288" s="237">
        <v>6052.0</v>
      </c>
      <c r="C288" s="236" t="s">
        <v>507</v>
      </c>
      <c r="D288" s="236" t="s">
        <v>512</v>
      </c>
      <c r="E288" s="236" t="s">
        <v>1074</v>
      </c>
      <c r="F288" s="236" t="s">
        <v>987</v>
      </c>
      <c r="G288" s="237">
        <v>24.0</v>
      </c>
      <c r="H288" s="237">
        <v>24.0</v>
      </c>
      <c r="I288" s="237">
        <v>0.0</v>
      </c>
      <c r="J288" s="237">
        <v>24.0</v>
      </c>
      <c r="K288" s="237">
        <v>24.0</v>
      </c>
      <c r="L288" s="237">
        <v>0.0</v>
      </c>
      <c r="M288" s="237">
        <v>181.0</v>
      </c>
      <c r="N288" s="237">
        <v>181.0</v>
      </c>
      <c r="O288" s="1"/>
    </row>
    <row r="289">
      <c r="A289" s="260" t="str">
        <f t="shared" si="1"/>
        <v>Moro N.</v>
      </c>
      <c r="B289" s="237">
        <v>6054.0</v>
      </c>
      <c r="C289" s="236" t="s">
        <v>492</v>
      </c>
      <c r="D289" s="236" t="s">
        <v>930</v>
      </c>
      <c r="E289" s="236" t="s">
        <v>826</v>
      </c>
      <c r="F289" s="236" t="s">
        <v>1009</v>
      </c>
      <c r="G289" s="237">
        <v>8.0</v>
      </c>
      <c r="H289" s="237">
        <v>3.0</v>
      </c>
      <c r="I289" s="237">
        <v>5.0</v>
      </c>
      <c r="J289" s="237">
        <v>8.0</v>
      </c>
      <c r="K289" s="237">
        <v>3.0</v>
      </c>
      <c r="L289" s="237">
        <v>5.0</v>
      </c>
      <c r="M289" s="237">
        <v>11.0</v>
      </c>
      <c r="N289" s="237">
        <v>16.0</v>
      </c>
      <c r="O289" s="1"/>
    </row>
    <row r="290">
      <c r="A290" s="260" t="str">
        <f t="shared" si="1"/>
        <v>Laurientè</v>
      </c>
      <c r="B290" s="237">
        <v>6060.0</v>
      </c>
      <c r="C290" s="236" t="s">
        <v>507</v>
      </c>
      <c r="D290" s="236" t="s">
        <v>507</v>
      </c>
      <c r="E290" s="236" t="s">
        <v>1096</v>
      </c>
      <c r="F290" s="236" t="s">
        <v>1005</v>
      </c>
      <c r="G290" s="237">
        <v>18.0</v>
      </c>
      <c r="H290" s="237">
        <v>15.0</v>
      </c>
      <c r="I290" s="237">
        <v>3.0</v>
      </c>
      <c r="J290" s="237">
        <v>18.0</v>
      </c>
      <c r="K290" s="237">
        <v>15.0</v>
      </c>
      <c r="L290" s="237">
        <v>3.0</v>
      </c>
      <c r="M290" s="237">
        <v>35.0</v>
      </c>
      <c r="N290" s="237">
        <v>35.0</v>
      </c>
      <c r="O290" s="1"/>
    </row>
    <row r="291">
      <c r="A291" s="260" t="str">
        <f t="shared" si="1"/>
        <v>Iling Junior</v>
      </c>
      <c r="B291" s="237">
        <v>6112.0</v>
      </c>
      <c r="C291" s="236" t="s">
        <v>492</v>
      </c>
      <c r="D291" s="236" t="s">
        <v>1089</v>
      </c>
      <c r="E291" s="236" t="s">
        <v>278</v>
      </c>
      <c r="F291" s="236" t="s">
        <v>977</v>
      </c>
      <c r="G291" s="237">
        <v>5.0</v>
      </c>
      <c r="H291" s="237">
        <v>5.0</v>
      </c>
      <c r="I291" s="237">
        <v>0.0</v>
      </c>
      <c r="J291" s="237">
        <v>5.0</v>
      </c>
      <c r="K291" s="237">
        <v>5.0</v>
      </c>
      <c r="L291" s="237">
        <v>0.0</v>
      </c>
      <c r="M291" s="237">
        <v>13.0</v>
      </c>
      <c r="N291" s="237">
        <v>13.0</v>
      </c>
      <c r="O291" s="1"/>
    </row>
    <row r="292">
      <c r="A292" s="260" t="str">
        <f t="shared" si="1"/>
        <v>Carboni F.</v>
      </c>
      <c r="B292" s="237">
        <v>6149.0</v>
      </c>
      <c r="C292" s="236" t="s">
        <v>480</v>
      </c>
      <c r="D292" s="236" t="s">
        <v>931</v>
      </c>
      <c r="E292" s="236" t="s">
        <v>1292</v>
      </c>
      <c r="F292" s="236" t="s">
        <v>985</v>
      </c>
      <c r="G292" s="237">
        <v>2.0</v>
      </c>
      <c r="H292" s="237">
        <v>2.0</v>
      </c>
      <c r="I292" s="237">
        <v>0.0</v>
      </c>
      <c r="J292" s="237">
        <v>2.0</v>
      </c>
      <c r="K292" s="237">
        <v>2.0</v>
      </c>
      <c r="L292" s="237">
        <v>0.0</v>
      </c>
      <c r="M292" s="237">
        <v>4.0</v>
      </c>
      <c r="N292" s="237">
        <v>4.0</v>
      </c>
      <c r="O292" s="1"/>
    </row>
    <row r="293">
      <c r="A293" s="260" t="str">
        <f t="shared" si="1"/>
        <v>Perrone</v>
      </c>
      <c r="B293" s="237">
        <v>6151.0</v>
      </c>
      <c r="C293" s="236" t="s">
        <v>492</v>
      </c>
      <c r="D293" s="236" t="s">
        <v>930</v>
      </c>
      <c r="E293" s="236" t="s">
        <v>1149</v>
      </c>
      <c r="F293" s="236" t="s">
        <v>974</v>
      </c>
      <c r="G293" s="237">
        <v>16.0</v>
      </c>
      <c r="H293" s="237">
        <v>8.0</v>
      </c>
      <c r="I293" s="237">
        <v>8.0</v>
      </c>
      <c r="J293" s="237">
        <v>16.0</v>
      </c>
      <c r="K293" s="237">
        <v>9.0</v>
      </c>
      <c r="L293" s="237">
        <v>7.0</v>
      </c>
      <c r="M293" s="237">
        <v>40.0</v>
      </c>
      <c r="N293" s="237">
        <v>45.0</v>
      </c>
      <c r="O293" s="1"/>
    </row>
    <row r="294">
      <c r="A294" s="260" t="str">
        <f t="shared" si="1"/>
        <v>Sarr A.</v>
      </c>
      <c r="B294" s="237">
        <v>6159.0</v>
      </c>
      <c r="C294" s="236" t="s">
        <v>507</v>
      </c>
      <c r="D294" s="236" t="s">
        <v>507</v>
      </c>
      <c r="E294" s="236" t="s">
        <v>657</v>
      </c>
      <c r="F294" s="236" t="s">
        <v>983</v>
      </c>
      <c r="G294" s="237">
        <v>5.0</v>
      </c>
      <c r="H294" s="237">
        <v>8.0</v>
      </c>
      <c r="I294" s="237">
        <v>-3.0</v>
      </c>
      <c r="J294" s="237">
        <v>5.0</v>
      </c>
      <c r="K294" s="237">
        <v>8.0</v>
      </c>
      <c r="L294" s="237">
        <v>-3.0</v>
      </c>
      <c r="M294" s="237">
        <v>8.0</v>
      </c>
      <c r="N294" s="237">
        <v>8.0</v>
      </c>
      <c r="O294" s="1"/>
    </row>
    <row r="295">
      <c r="A295" s="260" t="str">
        <f t="shared" si="1"/>
        <v>Vitinha O.</v>
      </c>
      <c r="B295" s="237">
        <v>6164.0</v>
      </c>
      <c r="C295" s="236" t="s">
        <v>507</v>
      </c>
      <c r="D295" s="236" t="s">
        <v>512</v>
      </c>
      <c r="E295" s="236" t="s">
        <v>232</v>
      </c>
      <c r="F295" s="236" t="s">
        <v>1026</v>
      </c>
      <c r="G295" s="237">
        <v>13.0</v>
      </c>
      <c r="H295" s="237">
        <v>12.0</v>
      </c>
      <c r="I295" s="237">
        <v>1.0</v>
      </c>
      <c r="J295" s="237">
        <v>13.0</v>
      </c>
      <c r="K295" s="237">
        <v>11.0</v>
      </c>
      <c r="L295" s="237">
        <v>2.0</v>
      </c>
      <c r="M295" s="237">
        <v>30.0</v>
      </c>
      <c r="N295" s="237">
        <v>27.0</v>
      </c>
      <c r="O295" s="1"/>
    </row>
    <row r="296">
      <c r="A296" s="260" t="str">
        <f t="shared" si="1"/>
        <v>Gineitis</v>
      </c>
      <c r="B296" s="237">
        <v>6170.0</v>
      </c>
      <c r="C296" s="236" t="s">
        <v>492</v>
      </c>
      <c r="D296" s="236" t="s">
        <v>492</v>
      </c>
      <c r="E296" s="236" t="s">
        <v>160</v>
      </c>
      <c r="F296" s="236" t="s">
        <v>972</v>
      </c>
      <c r="G296" s="237">
        <v>4.0</v>
      </c>
      <c r="H296" s="237">
        <v>5.0</v>
      </c>
      <c r="I296" s="237">
        <v>-1.0</v>
      </c>
      <c r="J296" s="237">
        <v>4.0</v>
      </c>
      <c r="K296" s="237">
        <v>5.0</v>
      </c>
      <c r="L296" s="237">
        <v>-1.0</v>
      </c>
      <c r="M296" s="237">
        <v>11.0</v>
      </c>
      <c r="N296" s="237">
        <v>11.0</v>
      </c>
      <c r="O296" s="1"/>
    </row>
    <row r="297">
      <c r="A297" s="260" t="str">
        <f t="shared" si="1"/>
        <v>Pisilli</v>
      </c>
      <c r="B297" s="237">
        <v>6190.0</v>
      </c>
      <c r="C297" s="236" t="s">
        <v>492</v>
      </c>
      <c r="D297" s="236" t="s">
        <v>492</v>
      </c>
      <c r="E297" s="236" t="s">
        <v>189</v>
      </c>
      <c r="F297" s="236" t="s">
        <v>988</v>
      </c>
      <c r="G297" s="237">
        <v>6.0</v>
      </c>
      <c r="H297" s="237">
        <v>7.0</v>
      </c>
      <c r="I297" s="237">
        <v>-1.0</v>
      </c>
      <c r="J297" s="237">
        <v>6.0</v>
      </c>
      <c r="K297" s="237">
        <v>7.0</v>
      </c>
      <c r="L297" s="237">
        <v>-1.0</v>
      </c>
      <c r="M297" s="237">
        <v>16.0</v>
      </c>
      <c r="N297" s="237">
        <v>16.0</v>
      </c>
      <c r="O297" s="1"/>
    </row>
    <row r="298">
      <c r="A298" s="260" t="str">
        <f t="shared" si="1"/>
        <v>Belahyane</v>
      </c>
      <c r="B298" s="237">
        <v>6191.0</v>
      </c>
      <c r="C298" s="236" t="s">
        <v>492</v>
      </c>
      <c r="D298" s="236" t="s">
        <v>930</v>
      </c>
      <c r="E298" s="236" t="s">
        <v>288</v>
      </c>
      <c r="F298" s="236" t="s">
        <v>1000</v>
      </c>
      <c r="G298" s="237">
        <v>3.0</v>
      </c>
      <c r="H298" s="237">
        <v>4.0</v>
      </c>
      <c r="I298" s="237">
        <v>-1.0</v>
      </c>
      <c r="J298" s="237">
        <v>3.0</v>
      </c>
      <c r="K298" s="237">
        <v>4.0</v>
      </c>
      <c r="L298" s="237">
        <v>-1.0</v>
      </c>
      <c r="M298" s="237">
        <v>7.0</v>
      </c>
      <c r="N298" s="237">
        <v>10.0</v>
      </c>
      <c r="O298" s="1"/>
    </row>
    <row r="299">
      <c r="A299" s="260" t="str">
        <f t="shared" si="1"/>
        <v>Beukema</v>
      </c>
      <c r="B299" s="237">
        <v>6202.0</v>
      </c>
      <c r="C299" s="236" t="s">
        <v>480</v>
      </c>
      <c r="D299" s="236" t="s">
        <v>481</v>
      </c>
      <c r="E299" s="236" t="s">
        <v>807</v>
      </c>
      <c r="F299" s="236" t="s">
        <v>987</v>
      </c>
      <c r="G299" s="237">
        <v>7.0</v>
      </c>
      <c r="H299" s="237">
        <v>10.0</v>
      </c>
      <c r="I299" s="237">
        <v>-3.0</v>
      </c>
      <c r="J299" s="237">
        <v>7.0</v>
      </c>
      <c r="K299" s="237">
        <v>10.0</v>
      </c>
      <c r="L299" s="237">
        <v>-3.0</v>
      </c>
      <c r="M299" s="237">
        <v>11.0</v>
      </c>
      <c r="N299" s="237">
        <v>11.0</v>
      </c>
      <c r="O299" s="1"/>
    </row>
    <row r="300">
      <c r="A300" s="260" t="str">
        <f t="shared" si="1"/>
        <v>Fabbian</v>
      </c>
      <c r="B300" s="237">
        <v>6206.0</v>
      </c>
      <c r="C300" s="236" t="s">
        <v>492</v>
      </c>
      <c r="D300" s="236" t="s">
        <v>934</v>
      </c>
      <c r="E300" s="236" t="s">
        <v>786</v>
      </c>
      <c r="F300" s="236" t="s">
        <v>1033</v>
      </c>
      <c r="G300" s="237">
        <v>8.0</v>
      </c>
      <c r="H300" s="237">
        <v>10.0</v>
      </c>
      <c r="I300" s="237">
        <v>-2.0</v>
      </c>
      <c r="J300" s="237">
        <v>8.0</v>
      </c>
      <c r="K300" s="237">
        <v>10.0</v>
      </c>
      <c r="L300" s="237">
        <v>-2.0</v>
      </c>
      <c r="M300" s="237">
        <v>16.0</v>
      </c>
      <c r="N300" s="237">
        <v>16.0</v>
      </c>
      <c r="O300" s="1"/>
    </row>
    <row r="301">
      <c r="A301" s="260" t="str">
        <f t="shared" si="1"/>
        <v>Almqvist</v>
      </c>
      <c r="B301" s="237">
        <v>6207.0</v>
      </c>
      <c r="C301" s="236" t="s">
        <v>507</v>
      </c>
      <c r="D301" s="236" t="s">
        <v>935</v>
      </c>
      <c r="E301" s="236" t="s">
        <v>936</v>
      </c>
      <c r="F301" s="236" t="s">
        <v>985</v>
      </c>
      <c r="G301" s="237">
        <v>3.0</v>
      </c>
      <c r="H301" s="237">
        <v>4.0</v>
      </c>
      <c r="I301" s="237">
        <v>-1.0</v>
      </c>
      <c r="J301" s="237">
        <v>3.0</v>
      </c>
      <c r="K301" s="237">
        <v>4.0</v>
      </c>
      <c r="L301" s="237">
        <v>-1.0</v>
      </c>
      <c r="M301" s="237">
        <v>10.0</v>
      </c>
      <c r="N301" s="237">
        <v>13.0</v>
      </c>
      <c r="O301" s="1"/>
    </row>
    <row r="302">
      <c r="A302" s="260" t="str">
        <f t="shared" si="1"/>
        <v>Zemura</v>
      </c>
      <c r="B302" s="237">
        <v>6211.0</v>
      </c>
      <c r="C302" s="236" t="s">
        <v>480</v>
      </c>
      <c r="D302" s="236" t="s">
        <v>931</v>
      </c>
      <c r="E302" s="236" t="s">
        <v>683</v>
      </c>
      <c r="F302" s="236" t="s">
        <v>993</v>
      </c>
      <c r="G302" s="237">
        <v>3.0</v>
      </c>
      <c r="H302" s="237">
        <v>3.0</v>
      </c>
      <c r="I302" s="237">
        <v>0.0</v>
      </c>
      <c r="J302" s="237">
        <v>3.0</v>
      </c>
      <c r="K302" s="237">
        <v>3.0</v>
      </c>
      <c r="L302" s="237">
        <v>0.0</v>
      </c>
      <c r="M302" s="237">
        <v>8.0</v>
      </c>
      <c r="N302" s="237">
        <v>8.0</v>
      </c>
      <c r="O302" s="1"/>
    </row>
    <row r="303">
      <c r="A303" s="260" t="str">
        <f t="shared" si="1"/>
        <v>Zarraga</v>
      </c>
      <c r="B303" s="237">
        <v>6212.0</v>
      </c>
      <c r="C303" s="236" t="s">
        <v>492</v>
      </c>
      <c r="D303" s="236" t="s">
        <v>930</v>
      </c>
      <c r="E303" s="236" t="s">
        <v>1216</v>
      </c>
      <c r="F303" s="236" t="s">
        <v>993</v>
      </c>
      <c r="G303" s="237">
        <v>2.0</v>
      </c>
      <c r="H303" s="237">
        <v>2.0</v>
      </c>
      <c r="I303" s="237">
        <v>0.0</v>
      </c>
      <c r="J303" s="237">
        <v>2.0</v>
      </c>
      <c r="K303" s="237">
        <v>2.0</v>
      </c>
      <c r="L303" s="237">
        <v>0.0</v>
      </c>
      <c r="M303" s="237">
        <v>6.0</v>
      </c>
      <c r="N303" s="237">
        <v>7.0</v>
      </c>
      <c r="O303" s="1"/>
    </row>
    <row r="304">
      <c r="A304" s="260" t="str">
        <f t="shared" si="1"/>
        <v>Bisseck</v>
      </c>
      <c r="B304" s="237">
        <v>6217.0</v>
      </c>
      <c r="C304" s="236" t="s">
        <v>480</v>
      </c>
      <c r="D304" s="236" t="s">
        <v>481</v>
      </c>
      <c r="E304" s="236" t="s">
        <v>194</v>
      </c>
      <c r="F304" s="236" t="s">
        <v>973</v>
      </c>
      <c r="G304" s="237">
        <v>13.0</v>
      </c>
      <c r="H304" s="237">
        <v>9.0</v>
      </c>
      <c r="I304" s="237">
        <v>4.0</v>
      </c>
      <c r="J304" s="237">
        <v>13.0</v>
      </c>
      <c r="K304" s="237">
        <v>9.0</v>
      </c>
      <c r="L304" s="237">
        <v>4.0</v>
      </c>
      <c r="M304" s="237">
        <v>30.0</v>
      </c>
      <c r="N304" s="237">
        <v>30.0</v>
      </c>
      <c r="O304" s="1"/>
    </row>
    <row r="305">
      <c r="A305" s="260" t="str">
        <f t="shared" si="1"/>
        <v>Oristanio</v>
      </c>
      <c r="B305" s="237">
        <v>6218.0</v>
      </c>
      <c r="C305" s="236" t="s">
        <v>492</v>
      </c>
      <c r="D305" s="236" t="s">
        <v>1137</v>
      </c>
      <c r="E305" s="236" t="s">
        <v>705</v>
      </c>
      <c r="F305" s="236" t="s">
        <v>985</v>
      </c>
      <c r="G305" s="237">
        <v>4.0</v>
      </c>
      <c r="H305" s="237">
        <v>12.0</v>
      </c>
      <c r="I305" s="237">
        <v>-8.0</v>
      </c>
      <c r="J305" s="237">
        <v>4.0</v>
      </c>
      <c r="K305" s="237">
        <v>12.0</v>
      </c>
      <c r="L305" s="237">
        <v>-8.0</v>
      </c>
      <c r="M305" s="237">
        <v>12.0</v>
      </c>
      <c r="N305" s="237">
        <v>15.0</v>
      </c>
      <c r="O305" s="1"/>
    </row>
    <row r="306">
      <c r="A306" s="260" t="str">
        <f t="shared" si="1"/>
        <v>Boloca</v>
      </c>
      <c r="B306" s="237">
        <v>6219.0</v>
      </c>
      <c r="C306" s="236" t="s">
        <v>492</v>
      </c>
      <c r="D306" s="236" t="s">
        <v>930</v>
      </c>
      <c r="E306" s="236" t="s">
        <v>1011</v>
      </c>
      <c r="F306" s="236" t="s">
        <v>1005</v>
      </c>
      <c r="G306" s="237">
        <v>2.0</v>
      </c>
      <c r="H306" s="237">
        <v>6.0</v>
      </c>
      <c r="I306" s="237">
        <v>-4.0</v>
      </c>
      <c r="J306" s="237">
        <v>2.0</v>
      </c>
      <c r="K306" s="237">
        <v>6.0</v>
      </c>
      <c r="L306" s="237">
        <v>-4.0</v>
      </c>
      <c r="M306" s="237">
        <v>4.0</v>
      </c>
      <c r="N306" s="237">
        <v>6.0</v>
      </c>
      <c r="O306" s="1"/>
    </row>
    <row r="307">
      <c r="A307" s="260" t="str">
        <f t="shared" si="1"/>
        <v>Dossena</v>
      </c>
      <c r="B307" s="237">
        <v>6230.0</v>
      </c>
      <c r="C307" s="236" t="s">
        <v>480</v>
      </c>
      <c r="D307" s="236" t="s">
        <v>481</v>
      </c>
      <c r="E307" s="236" t="s">
        <v>882</v>
      </c>
      <c r="F307" s="236" t="s">
        <v>975</v>
      </c>
      <c r="G307" s="237">
        <v>1.0</v>
      </c>
      <c r="H307" s="237">
        <v>4.0</v>
      </c>
      <c r="I307" s="237">
        <v>-3.0</v>
      </c>
      <c r="J307" s="237">
        <v>1.0</v>
      </c>
      <c r="K307" s="237">
        <v>4.0</v>
      </c>
      <c r="L307" s="237">
        <v>-3.0</v>
      </c>
      <c r="M307" s="237">
        <v>5.0</v>
      </c>
      <c r="N307" s="237">
        <v>5.0</v>
      </c>
      <c r="O307" s="1"/>
    </row>
    <row r="308">
      <c r="A308" s="260" t="str">
        <f t="shared" si="1"/>
        <v>Borrelli</v>
      </c>
      <c r="B308" s="237">
        <v>6243.0</v>
      </c>
      <c r="C308" s="236" t="s">
        <v>507</v>
      </c>
      <c r="D308" s="236" t="s">
        <v>512</v>
      </c>
      <c r="E308" s="236" t="s">
        <v>1015</v>
      </c>
      <c r="F308" s="236" t="s">
        <v>975</v>
      </c>
      <c r="G308" s="237">
        <v>13.0</v>
      </c>
      <c r="H308" s="237">
        <v>5.0</v>
      </c>
      <c r="I308" s="237">
        <v>8.0</v>
      </c>
      <c r="J308" s="237">
        <v>13.0</v>
      </c>
      <c r="K308" s="237">
        <v>4.0</v>
      </c>
      <c r="L308" s="237">
        <v>9.0</v>
      </c>
      <c r="M308" s="237">
        <v>12.0</v>
      </c>
      <c r="N308" s="237">
        <v>10.0</v>
      </c>
      <c r="O308" s="1"/>
    </row>
    <row r="309">
      <c r="A309" s="260" t="str">
        <f t="shared" si="1"/>
        <v>Lipani</v>
      </c>
      <c r="B309" s="237">
        <v>6246.0</v>
      </c>
      <c r="C309" s="236" t="s">
        <v>492</v>
      </c>
      <c r="D309" s="236" t="s">
        <v>930</v>
      </c>
      <c r="E309" s="236" t="s">
        <v>342</v>
      </c>
      <c r="F309" s="236" t="s">
        <v>1005</v>
      </c>
      <c r="G309" s="237">
        <v>4.0</v>
      </c>
      <c r="H309" s="237">
        <v>4.0</v>
      </c>
      <c r="I309" s="237">
        <v>0.0</v>
      </c>
      <c r="J309" s="237">
        <v>4.0</v>
      </c>
      <c r="K309" s="237">
        <v>4.0</v>
      </c>
      <c r="L309" s="237">
        <v>0.0</v>
      </c>
      <c r="M309" s="237">
        <v>8.0</v>
      </c>
      <c r="N309" s="237">
        <v>11.0</v>
      </c>
      <c r="O309" s="1"/>
    </row>
    <row r="310">
      <c r="A310" s="260" t="str">
        <f t="shared" si="1"/>
        <v>Folorunsho</v>
      </c>
      <c r="B310" s="237">
        <v>6252.0</v>
      </c>
      <c r="C310" s="236" t="s">
        <v>492</v>
      </c>
      <c r="D310" s="236" t="s">
        <v>934</v>
      </c>
      <c r="E310" s="236" t="s">
        <v>366</v>
      </c>
      <c r="F310" s="236" t="s">
        <v>975</v>
      </c>
      <c r="G310" s="237">
        <v>8.0</v>
      </c>
      <c r="H310" s="237">
        <v>9.0</v>
      </c>
      <c r="I310" s="237">
        <v>-1.0</v>
      </c>
      <c r="J310" s="237">
        <v>8.0</v>
      </c>
      <c r="K310" s="237">
        <v>9.0</v>
      </c>
      <c r="L310" s="237">
        <v>-1.0</v>
      </c>
      <c r="M310" s="237">
        <v>14.0</v>
      </c>
      <c r="N310" s="237">
        <v>14.0</v>
      </c>
      <c r="O310" s="1"/>
    </row>
    <row r="311">
      <c r="A311" s="260" t="str">
        <f t="shared" si="1"/>
        <v>El Aynaoui</v>
      </c>
      <c r="B311" s="237">
        <v>6271.0</v>
      </c>
      <c r="C311" s="236" t="s">
        <v>492</v>
      </c>
      <c r="D311" s="236" t="s">
        <v>930</v>
      </c>
      <c r="E311" s="236" t="s">
        <v>1055</v>
      </c>
      <c r="F311" s="236" t="s">
        <v>988</v>
      </c>
      <c r="G311" s="237">
        <v>4.0</v>
      </c>
      <c r="H311" s="237">
        <v>9.0</v>
      </c>
      <c r="I311" s="237">
        <v>-5.0</v>
      </c>
      <c r="J311" s="237">
        <v>4.0</v>
      </c>
      <c r="K311" s="237">
        <v>9.0</v>
      </c>
      <c r="L311" s="237">
        <v>-5.0</v>
      </c>
      <c r="M311" s="237">
        <v>13.0</v>
      </c>
      <c r="N311" s="237">
        <v>16.0</v>
      </c>
      <c r="O311" s="1"/>
    </row>
    <row r="312">
      <c r="A312" s="260" t="str">
        <f t="shared" si="1"/>
        <v>Diouf</v>
      </c>
      <c r="B312" s="237">
        <v>6274.0</v>
      </c>
      <c r="C312" s="236" t="s">
        <v>492</v>
      </c>
      <c r="D312" s="236" t="s">
        <v>492</v>
      </c>
      <c r="E312" s="236" t="s">
        <v>186</v>
      </c>
      <c r="F312" s="236" t="s">
        <v>973</v>
      </c>
      <c r="G312" s="237">
        <v>1.0</v>
      </c>
      <c r="H312" s="237">
        <v>7.0</v>
      </c>
      <c r="I312" s="237">
        <v>-6.0</v>
      </c>
      <c r="J312" s="237">
        <v>1.0</v>
      </c>
      <c r="K312" s="237">
        <v>7.0</v>
      </c>
      <c r="L312" s="237">
        <v>-6.0</v>
      </c>
      <c r="M312" s="237">
        <v>10.0</v>
      </c>
      <c r="N312" s="237">
        <v>10.0</v>
      </c>
      <c r="O312" s="1"/>
    </row>
    <row r="313">
      <c r="A313" s="260" t="str">
        <f t="shared" si="1"/>
        <v>Ndour</v>
      </c>
      <c r="B313" s="237">
        <v>6294.0</v>
      </c>
      <c r="C313" s="236" t="s">
        <v>492</v>
      </c>
      <c r="D313" s="236" t="s">
        <v>930</v>
      </c>
      <c r="E313" s="236" t="s">
        <v>1120</v>
      </c>
      <c r="F313" s="236" t="s">
        <v>1033</v>
      </c>
      <c r="G313" s="237">
        <v>6.0</v>
      </c>
      <c r="H313" s="237">
        <v>2.0</v>
      </c>
      <c r="I313" s="237">
        <v>4.0</v>
      </c>
      <c r="J313" s="237">
        <v>6.0</v>
      </c>
      <c r="K313" s="237">
        <v>2.0</v>
      </c>
      <c r="L313" s="237">
        <v>4.0</v>
      </c>
      <c r="M313" s="237">
        <v>14.0</v>
      </c>
      <c r="N313" s="237">
        <v>17.0</v>
      </c>
      <c r="O313" s="1"/>
    </row>
    <row r="314">
      <c r="A314" s="260" t="str">
        <f t="shared" si="1"/>
        <v>Openda</v>
      </c>
      <c r="B314" s="237">
        <v>6314.0</v>
      </c>
      <c r="C314" s="236" t="s">
        <v>507</v>
      </c>
      <c r="D314" s="236" t="s">
        <v>512</v>
      </c>
      <c r="E314" s="236" t="s">
        <v>425</v>
      </c>
      <c r="F314" s="236" t="s">
        <v>976</v>
      </c>
      <c r="G314" s="237">
        <v>9.0</v>
      </c>
      <c r="H314" s="237">
        <v>22.0</v>
      </c>
      <c r="I314" s="237">
        <v>-13.0</v>
      </c>
      <c r="J314" s="237">
        <v>9.0</v>
      </c>
      <c r="K314" s="237">
        <v>22.0</v>
      </c>
      <c r="L314" s="237">
        <v>-13.0</v>
      </c>
      <c r="M314" s="237">
        <v>18.0</v>
      </c>
      <c r="N314" s="237">
        <v>15.0</v>
      </c>
      <c r="O314" s="1"/>
    </row>
    <row r="315">
      <c r="A315" s="260" t="str">
        <f t="shared" si="1"/>
        <v>Lamptey</v>
      </c>
      <c r="B315" s="237">
        <v>6351.0</v>
      </c>
      <c r="C315" s="236" t="s">
        <v>480</v>
      </c>
      <c r="D315" s="236" t="s">
        <v>944</v>
      </c>
      <c r="E315" s="236" t="s">
        <v>1094</v>
      </c>
      <c r="F315" s="236" t="s">
        <v>1033</v>
      </c>
      <c r="G315" s="237">
        <v>1.0</v>
      </c>
      <c r="H315" s="237">
        <v>4.0</v>
      </c>
      <c r="I315" s="237">
        <v>-3.0</v>
      </c>
      <c r="J315" s="237">
        <v>1.0</v>
      </c>
      <c r="K315" s="237">
        <v>5.0</v>
      </c>
      <c r="L315" s="237">
        <v>-4.0</v>
      </c>
      <c r="M315" s="237">
        <v>5.0</v>
      </c>
      <c r="N315" s="237">
        <v>5.0</v>
      </c>
      <c r="O315" s="1"/>
    </row>
    <row r="316">
      <c r="A316" s="260" t="str">
        <f t="shared" si="1"/>
        <v>Ferguson E.</v>
      </c>
      <c r="B316" s="237">
        <v>6365.0</v>
      </c>
      <c r="C316" s="236" t="s">
        <v>507</v>
      </c>
      <c r="D316" s="236" t="s">
        <v>512</v>
      </c>
      <c r="E316" s="236" t="s">
        <v>1062</v>
      </c>
      <c r="F316" s="236" t="s">
        <v>988</v>
      </c>
      <c r="G316" s="237">
        <v>15.0</v>
      </c>
      <c r="H316" s="237">
        <v>19.0</v>
      </c>
      <c r="I316" s="237">
        <v>-4.0</v>
      </c>
      <c r="J316" s="237">
        <v>15.0</v>
      </c>
      <c r="K316" s="237">
        <v>19.0</v>
      </c>
      <c r="L316" s="237">
        <v>-4.0</v>
      </c>
      <c r="M316" s="237">
        <v>24.0</v>
      </c>
      <c r="N316" s="237">
        <v>21.0</v>
      </c>
      <c r="O316" s="1"/>
    </row>
    <row r="317">
      <c r="A317" s="260" t="str">
        <f t="shared" si="1"/>
        <v>Solomon</v>
      </c>
      <c r="B317" s="237">
        <v>6380.0</v>
      </c>
      <c r="C317" s="236" t="s">
        <v>507</v>
      </c>
      <c r="D317" s="236" t="s">
        <v>935</v>
      </c>
      <c r="E317" s="236" t="s">
        <v>143</v>
      </c>
      <c r="F317" s="236" t="s">
        <v>1033</v>
      </c>
      <c r="G317" s="237">
        <v>8.0</v>
      </c>
      <c r="H317" s="237">
        <v>7.0</v>
      </c>
      <c r="I317" s="237">
        <v>1.0</v>
      </c>
      <c r="J317" s="237">
        <v>9.0</v>
      </c>
      <c r="K317" s="237">
        <v>8.0</v>
      </c>
      <c r="L317" s="237">
        <v>1.0</v>
      </c>
      <c r="M317" s="237">
        <v>18.0</v>
      </c>
      <c r="N317" s="237">
        <v>20.0</v>
      </c>
      <c r="O317" s="1"/>
    </row>
    <row r="318">
      <c r="A318" s="260" t="str">
        <f t="shared" si="1"/>
        <v>Ramadani</v>
      </c>
      <c r="B318" s="237">
        <v>6394.0</v>
      </c>
      <c r="C318" s="236" t="s">
        <v>492</v>
      </c>
      <c r="D318" s="236" t="s">
        <v>930</v>
      </c>
      <c r="E318" s="236" t="s">
        <v>673</v>
      </c>
      <c r="F318" s="236" t="s">
        <v>998</v>
      </c>
      <c r="G318" s="237">
        <v>5.0</v>
      </c>
      <c r="H318" s="237">
        <v>6.0</v>
      </c>
      <c r="I318" s="237">
        <v>-1.0</v>
      </c>
      <c r="J318" s="237">
        <v>5.0</v>
      </c>
      <c r="K318" s="237">
        <v>7.0</v>
      </c>
      <c r="L318" s="237">
        <v>-2.0</v>
      </c>
      <c r="M318" s="237">
        <v>13.0</v>
      </c>
      <c r="N318" s="237">
        <v>16.0</v>
      </c>
      <c r="O318" s="1"/>
    </row>
    <row r="319">
      <c r="A319" s="260" t="str">
        <f t="shared" si="1"/>
        <v>Isaksen</v>
      </c>
      <c r="B319" s="237">
        <v>6398.0</v>
      </c>
      <c r="C319" s="236" t="s">
        <v>492</v>
      </c>
      <c r="D319" s="236" t="s">
        <v>935</v>
      </c>
      <c r="E319" s="236" t="s">
        <v>663</v>
      </c>
      <c r="F319" s="236" t="s">
        <v>1000</v>
      </c>
      <c r="G319" s="237">
        <v>14.0</v>
      </c>
      <c r="H319" s="237">
        <v>14.0</v>
      </c>
      <c r="I319" s="237">
        <v>0.0</v>
      </c>
      <c r="J319" s="237">
        <v>14.0</v>
      </c>
      <c r="K319" s="237">
        <v>14.0</v>
      </c>
      <c r="L319" s="237">
        <v>0.0</v>
      </c>
      <c r="M319" s="237">
        <v>33.0</v>
      </c>
      <c r="N319" s="237">
        <v>33.0</v>
      </c>
      <c r="O319" s="1"/>
    </row>
    <row r="320">
      <c r="A320" s="260" t="str">
        <f t="shared" si="1"/>
        <v>Christensen O.</v>
      </c>
      <c r="B320" s="237">
        <v>6403.0</v>
      </c>
      <c r="C320" s="236" t="s">
        <v>477</v>
      </c>
      <c r="D320" s="236" t="s">
        <v>478</v>
      </c>
      <c r="E320" s="236" t="s">
        <v>1297</v>
      </c>
      <c r="F320" s="236" t="s">
        <v>1033</v>
      </c>
      <c r="G320" s="237">
        <v>1.0</v>
      </c>
      <c r="H320" s="237">
        <v>1.0</v>
      </c>
      <c r="I320" s="237">
        <v>0.0</v>
      </c>
      <c r="J320" s="237">
        <v>1.0</v>
      </c>
      <c r="K320" s="237">
        <v>1.0</v>
      </c>
      <c r="L320" s="237">
        <v>0.0</v>
      </c>
      <c r="M320" s="237">
        <v>1.0</v>
      </c>
      <c r="N320" s="237">
        <v>1.0</v>
      </c>
      <c r="O320" s="1"/>
    </row>
    <row r="321">
      <c r="A321" s="260" t="str">
        <f t="shared" si="1"/>
        <v>Furlanetto</v>
      </c>
      <c r="B321" s="237">
        <v>6417.0</v>
      </c>
      <c r="C321" s="236" t="s">
        <v>477</v>
      </c>
      <c r="D321" s="236" t="s">
        <v>478</v>
      </c>
      <c r="E321" s="236" t="s">
        <v>355</v>
      </c>
      <c r="F321" s="236" t="s">
        <v>1000</v>
      </c>
      <c r="G321" s="237">
        <v>1.0</v>
      </c>
      <c r="H321" s="237">
        <v>1.0</v>
      </c>
      <c r="I321" s="237">
        <v>0.0</v>
      </c>
      <c r="J321" s="237">
        <v>1.0</v>
      </c>
      <c r="K321" s="237">
        <v>1.0</v>
      </c>
      <c r="L321" s="237">
        <v>0.0</v>
      </c>
      <c r="M321" s="237">
        <v>1.0</v>
      </c>
      <c r="N321" s="237">
        <v>1.0</v>
      </c>
      <c r="O321" s="1"/>
    </row>
    <row r="322">
      <c r="A322" s="260" t="str">
        <f t="shared" si="1"/>
        <v>Prati</v>
      </c>
      <c r="B322" s="237">
        <v>6424.0</v>
      </c>
      <c r="C322" s="236" t="s">
        <v>492</v>
      </c>
      <c r="D322" s="236" t="s">
        <v>930</v>
      </c>
      <c r="E322" s="236" t="s">
        <v>643</v>
      </c>
      <c r="F322" s="236" t="s">
        <v>972</v>
      </c>
      <c r="G322" s="237">
        <v>6.0</v>
      </c>
      <c r="H322" s="237">
        <v>3.0</v>
      </c>
      <c r="I322" s="237">
        <v>3.0</v>
      </c>
      <c r="J322" s="237">
        <v>6.0</v>
      </c>
      <c r="K322" s="237">
        <v>3.0</v>
      </c>
      <c r="L322" s="237">
        <v>3.0</v>
      </c>
      <c r="M322" s="237">
        <v>12.0</v>
      </c>
      <c r="N322" s="237">
        <v>15.0</v>
      </c>
      <c r="O322" s="1"/>
    </row>
    <row r="323">
      <c r="A323" s="260" t="str">
        <f t="shared" si="1"/>
        <v>Pedersen</v>
      </c>
      <c r="B323" s="237">
        <v>6426.0</v>
      </c>
      <c r="C323" s="236" t="s">
        <v>480</v>
      </c>
      <c r="D323" s="236" t="s">
        <v>938</v>
      </c>
      <c r="E323" s="236" t="s">
        <v>1144</v>
      </c>
      <c r="F323" s="236" t="s">
        <v>972</v>
      </c>
      <c r="G323" s="237">
        <v>5.0</v>
      </c>
      <c r="H323" s="237">
        <v>4.0</v>
      </c>
      <c r="I323" s="237">
        <v>1.0</v>
      </c>
      <c r="J323" s="237">
        <v>5.0</v>
      </c>
      <c r="K323" s="237">
        <v>4.0</v>
      </c>
      <c r="L323" s="237">
        <v>1.0</v>
      </c>
      <c r="M323" s="237">
        <v>11.0</v>
      </c>
      <c r="N323" s="237">
        <v>11.0</v>
      </c>
      <c r="O323" s="1"/>
    </row>
    <row r="324">
      <c r="A324" s="260" t="str">
        <f t="shared" si="1"/>
        <v>Yildiz</v>
      </c>
      <c r="B324" s="237">
        <v>6434.0</v>
      </c>
      <c r="C324" s="236" t="s">
        <v>507</v>
      </c>
      <c r="D324" s="236" t="s">
        <v>507</v>
      </c>
      <c r="E324" s="236" t="s">
        <v>453</v>
      </c>
      <c r="F324" s="236" t="s">
        <v>976</v>
      </c>
      <c r="G324" s="237">
        <v>30.0</v>
      </c>
      <c r="H324" s="237">
        <v>24.0</v>
      </c>
      <c r="I324" s="237">
        <v>6.0</v>
      </c>
      <c r="J324" s="237">
        <v>30.0</v>
      </c>
      <c r="K324" s="237">
        <v>25.0</v>
      </c>
      <c r="L324" s="237">
        <v>5.0</v>
      </c>
      <c r="M324" s="237">
        <v>236.0</v>
      </c>
      <c r="N324" s="237">
        <v>236.0</v>
      </c>
      <c r="O324" s="1"/>
    </row>
    <row r="325">
      <c r="A325" s="260" t="str">
        <f t="shared" si="1"/>
        <v>Krstovic</v>
      </c>
      <c r="B325" s="237">
        <v>6435.0</v>
      </c>
      <c r="C325" s="236" t="s">
        <v>507</v>
      </c>
      <c r="D325" s="236" t="s">
        <v>512</v>
      </c>
      <c r="E325" s="236" t="s">
        <v>341</v>
      </c>
      <c r="F325" s="236" t="s">
        <v>980</v>
      </c>
      <c r="G325" s="237">
        <v>22.0</v>
      </c>
      <c r="H325" s="237">
        <v>20.0</v>
      </c>
      <c r="I325" s="237">
        <v>2.0</v>
      </c>
      <c r="J325" s="237">
        <v>22.0</v>
      </c>
      <c r="K325" s="237">
        <v>20.0</v>
      </c>
      <c r="L325" s="237">
        <v>2.0</v>
      </c>
      <c r="M325" s="237">
        <v>40.0</v>
      </c>
      <c r="N325" s="237">
        <v>37.0</v>
      </c>
      <c r="O325" s="1"/>
    </row>
    <row r="326">
      <c r="A326" s="260" t="str">
        <f t="shared" si="1"/>
        <v>Cheddira</v>
      </c>
      <c r="B326" s="237">
        <v>6439.0</v>
      </c>
      <c r="C326" s="236" t="s">
        <v>507</v>
      </c>
      <c r="D326" s="236" t="s">
        <v>512</v>
      </c>
      <c r="E326" s="236" t="s">
        <v>1030</v>
      </c>
      <c r="F326" s="236" t="s">
        <v>998</v>
      </c>
      <c r="G326" s="237">
        <v>7.0</v>
      </c>
      <c r="H326" s="237">
        <v>4.0</v>
      </c>
      <c r="I326" s="237">
        <v>3.0</v>
      </c>
      <c r="J326" s="237">
        <v>7.0</v>
      </c>
      <c r="K326" s="237">
        <v>4.0</v>
      </c>
      <c r="L326" s="237">
        <v>3.0</v>
      </c>
      <c r="M326" s="237">
        <v>10.0</v>
      </c>
      <c r="N326" s="237">
        <v>10.0</v>
      </c>
      <c r="O326" s="1"/>
    </row>
    <row r="327">
      <c r="A327" s="260" t="str">
        <f t="shared" si="1"/>
        <v>Serdar</v>
      </c>
      <c r="B327" s="237">
        <v>6458.0</v>
      </c>
      <c r="C327" s="236" t="s">
        <v>492</v>
      </c>
      <c r="D327" s="236" t="s">
        <v>492</v>
      </c>
      <c r="E327" s="236" t="s">
        <v>851</v>
      </c>
      <c r="F327" s="236" t="s">
        <v>983</v>
      </c>
      <c r="G327" s="237">
        <v>11.0</v>
      </c>
      <c r="H327" s="237">
        <v>5.0</v>
      </c>
      <c r="I327" s="237">
        <v>6.0</v>
      </c>
      <c r="J327" s="237">
        <v>11.0</v>
      </c>
      <c r="K327" s="237">
        <v>5.0</v>
      </c>
      <c r="L327" s="237">
        <v>6.0</v>
      </c>
      <c r="M327" s="237">
        <v>16.0</v>
      </c>
      <c r="N327" s="237">
        <v>16.0</v>
      </c>
      <c r="O327" s="1"/>
    </row>
    <row r="328">
      <c r="A328" s="260" t="str">
        <f t="shared" si="1"/>
        <v>Okoye</v>
      </c>
      <c r="B328" s="237">
        <v>6462.0</v>
      </c>
      <c r="C328" s="236" t="s">
        <v>477</v>
      </c>
      <c r="D328" s="236" t="s">
        <v>478</v>
      </c>
      <c r="E328" s="236" t="s">
        <v>864</v>
      </c>
      <c r="F328" s="236" t="s">
        <v>993</v>
      </c>
      <c r="G328" s="237">
        <v>12.0</v>
      </c>
      <c r="H328" s="237">
        <v>6.0</v>
      </c>
      <c r="I328" s="237">
        <v>6.0</v>
      </c>
      <c r="J328" s="237">
        <v>12.0</v>
      </c>
      <c r="K328" s="237">
        <v>6.0</v>
      </c>
      <c r="L328" s="237">
        <v>6.0</v>
      </c>
      <c r="M328" s="237">
        <v>12.0</v>
      </c>
      <c r="N328" s="237">
        <v>12.0</v>
      </c>
      <c r="O328" s="1"/>
    </row>
    <row r="329">
      <c r="A329" s="260" t="str">
        <f t="shared" si="1"/>
        <v>Payero</v>
      </c>
      <c r="B329" s="237">
        <v>6481.0</v>
      </c>
      <c r="C329" s="236" t="s">
        <v>492</v>
      </c>
      <c r="D329" s="236" t="s">
        <v>492</v>
      </c>
      <c r="E329" s="236" t="s">
        <v>865</v>
      </c>
      <c r="F329" s="236" t="s">
        <v>995</v>
      </c>
      <c r="G329" s="237">
        <v>7.0</v>
      </c>
      <c r="H329" s="237">
        <v>4.0</v>
      </c>
      <c r="I329" s="237">
        <v>3.0</v>
      </c>
      <c r="J329" s="237">
        <v>7.0</v>
      </c>
      <c r="K329" s="237">
        <v>4.0</v>
      </c>
      <c r="L329" s="237">
        <v>3.0</v>
      </c>
      <c r="M329" s="237">
        <v>8.0</v>
      </c>
      <c r="N329" s="237">
        <v>8.0</v>
      </c>
      <c r="O329" s="1"/>
    </row>
    <row r="330">
      <c r="A330" s="260" t="str">
        <f t="shared" si="1"/>
        <v>Kristensen T.</v>
      </c>
      <c r="B330" s="237">
        <v>6485.0</v>
      </c>
      <c r="C330" s="236" t="s">
        <v>480</v>
      </c>
      <c r="D330" s="236" t="s">
        <v>937</v>
      </c>
      <c r="E330" s="236" t="s">
        <v>1092</v>
      </c>
      <c r="F330" s="236" t="s">
        <v>993</v>
      </c>
      <c r="G330" s="237">
        <v>7.0</v>
      </c>
      <c r="H330" s="237">
        <v>5.0</v>
      </c>
      <c r="I330" s="237">
        <v>2.0</v>
      </c>
      <c r="J330" s="237">
        <v>7.0</v>
      </c>
      <c r="K330" s="237">
        <v>5.0</v>
      </c>
      <c r="L330" s="237">
        <v>2.0</v>
      </c>
      <c r="M330" s="237">
        <v>13.0</v>
      </c>
      <c r="N330" s="237">
        <v>15.0</v>
      </c>
      <c r="O330" s="1"/>
    </row>
    <row r="331">
      <c r="A331" s="260" t="str">
        <f t="shared" si="1"/>
        <v>Suslov</v>
      </c>
      <c r="B331" s="237">
        <v>6486.0</v>
      </c>
      <c r="C331" s="236" t="s">
        <v>492</v>
      </c>
      <c r="D331" s="236" t="s">
        <v>1057</v>
      </c>
      <c r="E331" s="236" t="s">
        <v>616</v>
      </c>
      <c r="F331" s="236" t="s">
        <v>983</v>
      </c>
      <c r="G331" s="237">
        <v>1.0</v>
      </c>
      <c r="H331" s="237">
        <v>9.0</v>
      </c>
      <c r="I331" s="237">
        <v>-8.0</v>
      </c>
      <c r="J331" s="237">
        <v>1.0</v>
      </c>
      <c r="K331" s="237">
        <v>9.0</v>
      </c>
      <c r="L331" s="237">
        <v>-8.0</v>
      </c>
      <c r="M331" s="237">
        <v>14.0</v>
      </c>
      <c r="N331" s="237">
        <v>14.0</v>
      </c>
      <c r="O331" s="1"/>
    </row>
    <row r="332">
      <c r="A332" s="260" t="str">
        <f t="shared" si="1"/>
        <v>Comuzzo</v>
      </c>
      <c r="B332" s="237">
        <v>6495.0</v>
      </c>
      <c r="C332" s="236" t="s">
        <v>480</v>
      </c>
      <c r="D332" s="236" t="s">
        <v>481</v>
      </c>
      <c r="E332" s="236" t="s">
        <v>50</v>
      </c>
      <c r="F332" s="236" t="s">
        <v>1033</v>
      </c>
      <c r="G332" s="237">
        <v>7.0</v>
      </c>
      <c r="H332" s="237">
        <v>7.0</v>
      </c>
      <c r="I332" s="237">
        <v>0.0</v>
      </c>
      <c r="J332" s="237">
        <v>7.0</v>
      </c>
      <c r="K332" s="237">
        <v>7.0</v>
      </c>
      <c r="L332" s="237">
        <v>0.0</v>
      </c>
      <c r="M332" s="237">
        <v>16.0</v>
      </c>
      <c r="N332" s="237">
        <v>16.0</v>
      </c>
      <c r="O332" s="1"/>
    </row>
    <row r="333">
      <c r="A333" s="260" t="str">
        <f t="shared" si="1"/>
        <v>Bartesaghi</v>
      </c>
      <c r="B333" s="237">
        <v>6496.0</v>
      </c>
      <c r="C333" s="236" t="s">
        <v>480</v>
      </c>
      <c r="D333" s="236" t="s">
        <v>931</v>
      </c>
      <c r="E333" s="236" t="s">
        <v>241</v>
      </c>
      <c r="F333" s="236" t="s">
        <v>991</v>
      </c>
      <c r="G333" s="237">
        <v>13.0</v>
      </c>
      <c r="H333" s="237">
        <v>3.0</v>
      </c>
      <c r="I333" s="237">
        <v>10.0</v>
      </c>
      <c r="J333" s="237">
        <v>13.0</v>
      </c>
      <c r="K333" s="237">
        <v>3.0</v>
      </c>
      <c r="L333" s="237">
        <v>10.0</v>
      </c>
      <c r="M333" s="237">
        <v>26.0</v>
      </c>
      <c r="N333" s="237">
        <v>26.0</v>
      </c>
      <c r="O333" s="1"/>
    </row>
    <row r="334">
      <c r="A334" s="260" t="str">
        <f t="shared" si="1"/>
        <v>Nava</v>
      </c>
      <c r="B334" s="237">
        <v>6505.0</v>
      </c>
      <c r="C334" s="236" t="s">
        <v>477</v>
      </c>
      <c r="D334" s="236" t="s">
        <v>478</v>
      </c>
      <c r="E334" s="236" t="s">
        <v>1117</v>
      </c>
      <c r="F334" s="236" t="s">
        <v>995</v>
      </c>
      <c r="G334" s="237">
        <v>1.0</v>
      </c>
      <c r="H334" s="237">
        <v>1.0</v>
      </c>
      <c r="I334" s="237">
        <v>0.0</v>
      </c>
      <c r="J334" s="237">
        <v>1.0</v>
      </c>
      <c r="K334" s="237">
        <v>1.0</v>
      </c>
      <c r="L334" s="237">
        <v>0.0</v>
      </c>
      <c r="M334" s="237">
        <v>1.0</v>
      </c>
      <c r="N334" s="237">
        <v>1.0</v>
      </c>
      <c r="O334" s="1"/>
    </row>
    <row r="335">
      <c r="A335" s="260" t="str">
        <f t="shared" si="1"/>
        <v>Camarda</v>
      </c>
      <c r="B335" s="237">
        <v>6519.0</v>
      </c>
      <c r="C335" s="236" t="s">
        <v>507</v>
      </c>
      <c r="D335" s="236" t="s">
        <v>512</v>
      </c>
      <c r="E335" s="236" t="s">
        <v>392</v>
      </c>
      <c r="F335" s="236" t="s">
        <v>998</v>
      </c>
      <c r="G335" s="237">
        <v>4.0</v>
      </c>
      <c r="H335" s="237">
        <v>12.0</v>
      </c>
      <c r="I335" s="237">
        <v>-8.0</v>
      </c>
      <c r="J335" s="237">
        <v>4.0</v>
      </c>
      <c r="K335" s="237">
        <v>12.0</v>
      </c>
      <c r="L335" s="237">
        <v>-8.0</v>
      </c>
      <c r="M335" s="237">
        <v>8.0</v>
      </c>
      <c r="N335" s="237">
        <v>8.0</v>
      </c>
      <c r="O335" s="1"/>
    </row>
    <row r="336">
      <c r="A336" s="260" t="str">
        <f t="shared" si="1"/>
        <v>Samooja</v>
      </c>
      <c r="B336" s="237">
        <v>6523.0</v>
      </c>
      <c r="C336" s="236" t="s">
        <v>477</v>
      </c>
      <c r="D336" s="236" t="s">
        <v>478</v>
      </c>
      <c r="E336" s="236" t="s">
        <v>81</v>
      </c>
      <c r="F336" s="236" t="s">
        <v>998</v>
      </c>
      <c r="G336" s="237">
        <v>1.0</v>
      </c>
      <c r="H336" s="237">
        <v>1.0</v>
      </c>
      <c r="I336" s="237">
        <v>0.0</v>
      </c>
      <c r="J336" s="237">
        <v>1.0</v>
      </c>
      <c r="K336" s="237">
        <v>1.0</v>
      </c>
      <c r="L336" s="237">
        <v>0.0</v>
      </c>
      <c r="M336" s="237">
        <v>1.0</v>
      </c>
      <c r="N336" s="237">
        <v>1.0</v>
      </c>
      <c r="O336" s="1"/>
    </row>
    <row r="337">
      <c r="A337" s="260" t="str">
        <f t="shared" si="1"/>
        <v>Onana J.</v>
      </c>
      <c r="B337" s="237">
        <v>6538.0</v>
      </c>
      <c r="C337" s="236" t="s">
        <v>492</v>
      </c>
      <c r="D337" s="236" t="s">
        <v>930</v>
      </c>
      <c r="E337" s="236" t="s">
        <v>1133</v>
      </c>
      <c r="F337" s="236" t="s">
        <v>1026</v>
      </c>
      <c r="G337" s="237">
        <v>2.0</v>
      </c>
      <c r="H337" s="237">
        <v>2.0</v>
      </c>
      <c r="I337" s="237">
        <v>0.0</v>
      </c>
      <c r="J337" s="237">
        <v>2.0</v>
      </c>
      <c r="K337" s="237">
        <v>2.0</v>
      </c>
      <c r="L337" s="237">
        <v>0.0</v>
      </c>
      <c r="M337" s="237">
        <v>4.0</v>
      </c>
      <c r="N337" s="237">
        <v>4.0</v>
      </c>
      <c r="O337" s="1"/>
    </row>
    <row r="338">
      <c r="A338" s="260" t="str">
        <f t="shared" si="1"/>
        <v>Pierotti</v>
      </c>
      <c r="B338" s="237">
        <v>6549.0</v>
      </c>
      <c r="C338" s="236" t="s">
        <v>492</v>
      </c>
      <c r="D338" s="236" t="s">
        <v>935</v>
      </c>
      <c r="E338" s="236" t="s">
        <v>764</v>
      </c>
      <c r="F338" s="236" t="s">
        <v>998</v>
      </c>
      <c r="G338" s="237">
        <v>6.0</v>
      </c>
      <c r="H338" s="237">
        <v>10.0</v>
      </c>
      <c r="I338" s="237">
        <v>-4.0</v>
      </c>
      <c r="J338" s="237">
        <v>6.0</v>
      </c>
      <c r="K338" s="237">
        <v>9.0</v>
      </c>
      <c r="L338" s="237">
        <v>-3.0</v>
      </c>
      <c r="M338" s="237">
        <v>14.0</v>
      </c>
      <c r="N338" s="237">
        <v>12.0</v>
      </c>
      <c r="O338" s="1"/>
    </row>
    <row r="339">
      <c r="A339" s="260" t="str">
        <f t="shared" si="1"/>
        <v>Garcia U.</v>
      </c>
      <c r="B339" s="237">
        <v>6550.0</v>
      </c>
      <c r="C339" s="236" t="s">
        <v>480</v>
      </c>
      <c r="D339" s="236" t="s">
        <v>979</v>
      </c>
      <c r="E339" s="236" t="s">
        <v>1560</v>
      </c>
      <c r="F339" s="236" t="s">
        <v>1005</v>
      </c>
      <c r="G339" s="237">
        <v>3.0</v>
      </c>
      <c r="H339" s="237">
        <v>3.0</v>
      </c>
      <c r="I339" s="237">
        <v>0.0</v>
      </c>
      <c r="J339" s="237">
        <v>4.0</v>
      </c>
      <c r="K339" s="237">
        <v>4.0</v>
      </c>
      <c r="L339" s="237">
        <v>0.0</v>
      </c>
      <c r="M339" s="237">
        <v>8.0</v>
      </c>
      <c r="N339" s="237">
        <v>10.0</v>
      </c>
      <c r="O339" s="1"/>
    </row>
    <row r="340">
      <c r="A340" s="260" t="str">
        <f t="shared" si="1"/>
        <v>Orban G.</v>
      </c>
      <c r="B340" s="237">
        <v>6552.0</v>
      </c>
      <c r="C340" s="236" t="s">
        <v>507</v>
      </c>
      <c r="D340" s="236" t="s">
        <v>512</v>
      </c>
      <c r="E340" s="236" t="s">
        <v>1135</v>
      </c>
      <c r="F340" s="236" t="s">
        <v>983</v>
      </c>
      <c r="G340" s="237">
        <v>21.0</v>
      </c>
      <c r="H340" s="237">
        <v>15.0</v>
      </c>
      <c r="I340" s="237">
        <v>6.0</v>
      </c>
      <c r="J340" s="237">
        <v>21.0</v>
      </c>
      <c r="K340" s="237">
        <v>15.0</v>
      </c>
      <c r="L340" s="237">
        <v>6.0</v>
      </c>
      <c r="M340" s="237">
        <v>39.0</v>
      </c>
      <c r="N340" s="237">
        <v>36.0</v>
      </c>
      <c r="O340" s="1"/>
    </row>
    <row r="341">
      <c r="A341" s="260" t="str">
        <f t="shared" si="1"/>
        <v>Moumbagna</v>
      </c>
      <c r="B341" s="237">
        <v>6555.0</v>
      </c>
      <c r="C341" s="236" t="s">
        <v>507</v>
      </c>
      <c r="D341" s="236" t="s">
        <v>512</v>
      </c>
      <c r="E341" s="236" t="s">
        <v>1113</v>
      </c>
      <c r="F341" s="236" t="s">
        <v>995</v>
      </c>
      <c r="G341" s="237">
        <v>2.0</v>
      </c>
      <c r="H341" s="237">
        <v>6.0</v>
      </c>
      <c r="I341" s="237">
        <v>-4.0</v>
      </c>
      <c r="J341" s="237">
        <v>2.0</v>
      </c>
      <c r="K341" s="237">
        <v>6.0</v>
      </c>
      <c r="L341" s="237">
        <v>-4.0</v>
      </c>
      <c r="M341" s="237">
        <v>9.0</v>
      </c>
      <c r="N341" s="237">
        <v>9.0</v>
      </c>
      <c r="O341" s="1"/>
    </row>
    <row r="342">
      <c r="A342" s="260" t="str">
        <f t="shared" si="1"/>
        <v>Noslin</v>
      </c>
      <c r="B342" s="237">
        <v>6556.0</v>
      </c>
      <c r="C342" s="236" t="s">
        <v>507</v>
      </c>
      <c r="D342" s="236" t="s">
        <v>507</v>
      </c>
      <c r="E342" s="236" t="s">
        <v>626</v>
      </c>
      <c r="F342" s="236" t="s">
        <v>1000</v>
      </c>
      <c r="G342" s="237">
        <v>11.0</v>
      </c>
      <c r="H342" s="237">
        <v>7.0</v>
      </c>
      <c r="I342" s="237">
        <v>4.0</v>
      </c>
      <c r="J342" s="237">
        <v>11.0</v>
      </c>
      <c r="K342" s="237">
        <v>7.0</v>
      </c>
      <c r="L342" s="237">
        <v>4.0</v>
      </c>
      <c r="M342" s="237">
        <v>11.0</v>
      </c>
      <c r="N342" s="237">
        <v>11.0</v>
      </c>
      <c r="O342" s="1"/>
    </row>
    <row r="343">
      <c r="A343" s="260" t="str">
        <f t="shared" si="1"/>
        <v>Castro S.</v>
      </c>
      <c r="B343" s="237">
        <v>6572.0</v>
      </c>
      <c r="C343" s="236" t="s">
        <v>507</v>
      </c>
      <c r="D343" s="236" t="s">
        <v>512</v>
      </c>
      <c r="E343" s="236" t="s">
        <v>291</v>
      </c>
      <c r="F343" s="236" t="s">
        <v>1009</v>
      </c>
      <c r="G343" s="237">
        <v>22.0</v>
      </c>
      <c r="H343" s="237">
        <v>19.0</v>
      </c>
      <c r="I343" s="237">
        <v>3.0</v>
      </c>
      <c r="J343" s="237">
        <v>22.0</v>
      </c>
      <c r="K343" s="237">
        <v>19.0</v>
      </c>
      <c r="L343" s="237">
        <v>3.0</v>
      </c>
      <c r="M343" s="237">
        <v>62.0</v>
      </c>
      <c r="N343" s="237">
        <v>59.0</v>
      </c>
      <c r="O343" s="1"/>
    </row>
    <row r="344">
      <c r="A344" s="260" t="str">
        <f t="shared" si="1"/>
        <v>Zaragoza</v>
      </c>
      <c r="B344" s="237">
        <v>6575.0</v>
      </c>
      <c r="C344" s="236" t="s">
        <v>492</v>
      </c>
      <c r="D344" s="236" t="s">
        <v>935</v>
      </c>
      <c r="E344" s="236" t="s">
        <v>142</v>
      </c>
      <c r="F344" s="236" t="s">
        <v>988</v>
      </c>
      <c r="G344" s="237">
        <v>7.0</v>
      </c>
      <c r="H344" s="237">
        <v>7.0</v>
      </c>
      <c r="I344" s="237">
        <v>0.0</v>
      </c>
      <c r="J344" s="237">
        <v>6.0</v>
      </c>
      <c r="K344" s="237">
        <v>6.0</v>
      </c>
      <c r="L344" s="237">
        <v>0.0</v>
      </c>
      <c r="M344" s="237">
        <v>15.0</v>
      </c>
      <c r="N344" s="237">
        <v>15.0</v>
      </c>
      <c r="O344" s="1"/>
    </row>
    <row r="345">
      <c r="A345" s="260" t="str">
        <f t="shared" si="1"/>
        <v>Akinsanmiro</v>
      </c>
      <c r="B345" s="237">
        <v>6593.0</v>
      </c>
      <c r="C345" s="236" t="s">
        <v>492</v>
      </c>
      <c r="D345" s="236" t="s">
        <v>934</v>
      </c>
      <c r="E345" s="236" t="s">
        <v>41</v>
      </c>
      <c r="F345" s="236" t="s">
        <v>977</v>
      </c>
      <c r="G345" s="237">
        <v>6.0</v>
      </c>
      <c r="H345" s="237">
        <v>3.0</v>
      </c>
      <c r="I345" s="237">
        <v>3.0</v>
      </c>
      <c r="J345" s="237">
        <v>6.0</v>
      </c>
      <c r="K345" s="237">
        <v>3.0</v>
      </c>
      <c r="L345" s="237">
        <v>3.0</v>
      </c>
      <c r="M345" s="237">
        <v>12.0</v>
      </c>
      <c r="N345" s="237">
        <v>12.0</v>
      </c>
      <c r="O345" s="1"/>
    </row>
    <row r="346">
      <c r="A346" s="260" t="str">
        <f t="shared" si="1"/>
        <v>Dele-Bashiru</v>
      </c>
      <c r="B346" s="237">
        <v>6629.0</v>
      </c>
      <c r="C346" s="236" t="s">
        <v>492</v>
      </c>
      <c r="D346" s="236" t="s">
        <v>934</v>
      </c>
      <c r="E346" s="236" t="s">
        <v>862</v>
      </c>
      <c r="F346" s="236" t="s">
        <v>1000</v>
      </c>
      <c r="G346" s="237">
        <v>3.0</v>
      </c>
      <c r="H346" s="237">
        <v>11.0</v>
      </c>
      <c r="I346" s="237">
        <v>-8.0</v>
      </c>
      <c r="J346" s="237">
        <v>3.0</v>
      </c>
      <c r="K346" s="237">
        <v>11.0</v>
      </c>
      <c r="L346" s="237">
        <v>-8.0</v>
      </c>
      <c r="M346" s="237">
        <v>10.0</v>
      </c>
      <c r="N346" s="237">
        <v>10.0</v>
      </c>
      <c r="O346" s="1"/>
    </row>
    <row r="347">
      <c r="A347" s="260" t="str">
        <f t="shared" si="1"/>
        <v>Mosquera</v>
      </c>
      <c r="B347" s="237">
        <v>6630.0</v>
      </c>
      <c r="C347" s="236" t="s">
        <v>507</v>
      </c>
      <c r="D347" s="236" t="s">
        <v>512</v>
      </c>
      <c r="E347" s="236" t="s">
        <v>669</v>
      </c>
      <c r="F347" s="236" t="s">
        <v>983</v>
      </c>
      <c r="G347" s="237">
        <v>8.0</v>
      </c>
      <c r="H347" s="237">
        <v>6.0</v>
      </c>
      <c r="I347" s="237">
        <v>2.0</v>
      </c>
      <c r="J347" s="237">
        <v>8.0</v>
      </c>
      <c r="K347" s="237">
        <v>6.0</v>
      </c>
      <c r="L347" s="237">
        <v>2.0</v>
      </c>
      <c r="M347" s="237">
        <v>12.0</v>
      </c>
      <c r="N347" s="237">
        <v>10.0</v>
      </c>
      <c r="O347" s="1"/>
    </row>
    <row r="348">
      <c r="A348" s="260" t="str">
        <f t="shared" si="1"/>
        <v>Ghilardi</v>
      </c>
      <c r="B348" s="237">
        <v>6631.0</v>
      </c>
      <c r="C348" s="236" t="s">
        <v>480</v>
      </c>
      <c r="D348" s="236" t="s">
        <v>481</v>
      </c>
      <c r="E348" s="236" t="s">
        <v>368</v>
      </c>
      <c r="F348" s="236" t="s">
        <v>988</v>
      </c>
      <c r="G348" s="237">
        <v>5.0</v>
      </c>
      <c r="H348" s="237">
        <v>4.0</v>
      </c>
      <c r="I348" s="237">
        <v>1.0</v>
      </c>
      <c r="J348" s="237">
        <v>5.0</v>
      </c>
      <c r="K348" s="237">
        <v>4.0</v>
      </c>
      <c r="L348" s="237">
        <v>1.0</v>
      </c>
      <c r="M348" s="237">
        <v>12.0</v>
      </c>
      <c r="N348" s="237">
        <v>12.0</v>
      </c>
      <c r="O348" s="1"/>
    </row>
    <row r="349">
      <c r="A349" s="260" t="str">
        <f t="shared" si="1"/>
        <v>Gaspar K.</v>
      </c>
      <c r="B349" s="237">
        <v>6632.0</v>
      </c>
      <c r="C349" s="236" t="s">
        <v>480</v>
      </c>
      <c r="D349" s="236" t="s">
        <v>481</v>
      </c>
      <c r="E349" s="236" t="s">
        <v>701</v>
      </c>
      <c r="F349" s="236" t="s">
        <v>998</v>
      </c>
      <c r="G349" s="237">
        <v>4.0</v>
      </c>
      <c r="H349" s="237">
        <v>8.0</v>
      </c>
      <c r="I349" s="237">
        <v>-4.0</v>
      </c>
      <c r="J349" s="237">
        <v>4.0</v>
      </c>
      <c r="K349" s="237">
        <v>8.0</v>
      </c>
      <c r="L349" s="237">
        <v>-4.0</v>
      </c>
      <c r="M349" s="237">
        <v>15.0</v>
      </c>
      <c r="N349" s="237">
        <v>15.0</v>
      </c>
      <c r="O349" s="1"/>
    </row>
    <row r="350">
      <c r="A350" s="260" t="str">
        <f t="shared" si="1"/>
        <v>Frese</v>
      </c>
      <c r="B350" s="237">
        <v>6639.0</v>
      </c>
      <c r="C350" s="236" t="s">
        <v>480</v>
      </c>
      <c r="D350" s="236" t="s">
        <v>931</v>
      </c>
      <c r="E350" s="236" t="s">
        <v>812</v>
      </c>
      <c r="F350" s="236" t="s">
        <v>983</v>
      </c>
      <c r="G350" s="237">
        <v>5.0</v>
      </c>
      <c r="H350" s="237">
        <v>3.0</v>
      </c>
      <c r="I350" s="237">
        <v>2.0</v>
      </c>
      <c r="J350" s="237">
        <v>5.0</v>
      </c>
      <c r="K350" s="237">
        <v>3.0</v>
      </c>
      <c r="L350" s="237">
        <v>2.0</v>
      </c>
      <c r="M350" s="237">
        <v>12.0</v>
      </c>
      <c r="N350" s="237">
        <v>12.0</v>
      </c>
      <c r="O350" s="1"/>
    </row>
    <row r="351">
      <c r="A351" s="260" t="str">
        <f t="shared" si="1"/>
        <v>Felici</v>
      </c>
      <c r="B351" s="237">
        <v>6640.0</v>
      </c>
      <c r="C351" s="236" t="s">
        <v>492</v>
      </c>
      <c r="D351" s="236" t="s">
        <v>563</v>
      </c>
      <c r="E351" s="236" t="s">
        <v>762</v>
      </c>
      <c r="F351" s="236" t="s">
        <v>975</v>
      </c>
      <c r="G351" s="237">
        <v>11.0</v>
      </c>
      <c r="H351" s="237">
        <v>6.0</v>
      </c>
      <c r="I351" s="237">
        <v>5.0</v>
      </c>
      <c r="J351" s="237">
        <v>11.0</v>
      </c>
      <c r="K351" s="237">
        <v>5.0</v>
      </c>
      <c r="L351" s="237">
        <v>6.0</v>
      </c>
      <c r="M351" s="237">
        <v>10.0</v>
      </c>
      <c r="N351" s="237">
        <v>10.0</v>
      </c>
      <c r="O351" s="1"/>
    </row>
    <row r="352">
      <c r="A352" s="260" t="str">
        <f t="shared" si="1"/>
        <v>Suzuki</v>
      </c>
      <c r="B352" s="237">
        <v>6641.0</v>
      </c>
      <c r="C352" s="236" t="s">
        <v>477</v>
      </c>
      <c r="D352" s="236" t="s">
        <v>478</v>
      </c>
      <c r="E352" s="236" t="s">
        <v>708</v>
      </c>
      <c r="F352" s="236" t="s">
        <v>985</v>
      </c>
      <c r="G352" s="237">
        <v>8.0</v>
      </c>
      <c r="H352" s="237">
        <v>7.0</v>
      </c>
      <c r="I352" s="237">
        <v>1.0</v>
      </c>
      <c r="J352" s="237">
        <v>8.0</v>
      </c>
      <c r="K352" s="237">
        <v>7.0</v>
      </c>
      <c r="L352" s="237">
        <v>1.0</v>
      </c>
      <c r="M352" s="237">
        <v>10.0</v>
      </c>
      <c r="N352" s="237">
        <v>10.0</v>
      </c>
      <c r="O352" s="1"/>
    </row>
    <row r="353">
      <c r="A353" s="260" t="str">
        <f t="shared" si="1"/>
        <v>Coco</v>
      </c>
      <c r="B353" s="237">
        <v>6642.0</v>
      </c>
      <c r="C353" s="236" t="s">
        <v>480</v>
      </c>
      <c r="D353" s="236" t="s">
        <v>481</v>
      </c>
      <c r="E353" s="236" t="s">
        <v>152</v>
      </c>
      <c r="F353" s="236" t="s">
        <v>972</v>
      </c>
      <c r="G353" s="237">
        <v>12.0</v>
      </c>
      <c r="H353" s="237">
        <v>8.0</v>
      </c>
      <c r="I353" s="237">
        <v>4.0</v>
      </c>
      <c r="J353" s="237">
        <v>12.0</v>
      </c>
      <c r="K353" s="237">
        <v>8.0</v>
      </c>
      <c r="L353" s="237">
        <v>4.0</v>
      </c>
      <c r="M353" s="237">
        <v>15.0</v>
      </c>
      <c r="N353" s="237">
        <v>15.0</v>
      </c>
      <c r="O353" s="1"/>
    </row>
    <row r="354">
      <c r="A354" s="260" t="str">
        <f t="shared" si="1"/>
        <v>Dallinga</v>
      </c>
      <c r="B354" s="237">
        <v>6643.0</v>
      </c>
      <c r="C354" s="236" t="s">
        <v>507</v>
      </c>
      <c r="D354" s="236" t="s">
        <v>512</v>
      </c>
      <c r="E354" s="236" t="s">
        <v>810</v>
      </c>
      <c r="F354" s="236" t="s">
        <v>1009</v>
      </c>
      <c r="G354" s="237">
        <v>8.0</v>
      </c>
      <c r="H354" s="237">
        <v>10.0</v>
      </c>
      <c r="I354" s="237">
        <v>-2.0</v>
      </c>
      <c r="J354" s="237">
        <v>8.0</v>
      </c>
      <c r="K354" s="237">
        <v>10.0</v>
      </c>
      <c r="L354" s="237">
        <v>-2.0</v>
      </c>
      <c r="M354" s="237">
        <v>12.0</v>
      </c>
      <c r="N354" s="237">
        <v>10.0</v>
      </c>
      <c r="O354" s="1"/>
    </row>
    <row r="355">
      <c r="A355" s="260" t="str">
        <f t="shared" si="1"/>
        <v>Marchwinski</v>
      </c>
      <c r="B355" s="237">
        <v>6645.0</v>
      </c>
      <c r="C355" s="236" t="s">
        <v>492</v>
      </c>
      <c r="D355" s="236" t="s">
        <v>543</v>
      </c>
      <c r="E355" s="236" t="s">
        <v>766</v>
      </c>
      <c r="F355" s="236" t="s">
        <v>998</v>
      </c>
      <c r="G355" s="237">
        <v>1.0</v>
      </c>
      <c r="H355" s="237">
        <v>1.0</v>
      </c>
      <c r="I355" s="237">
        <v>0.0</v>
      </c>
      <c r="J355" s="237">
        <v>1.0</v>
      </c>
      <c r="K355" s="237">
        <v>1.0</v>
      </c>
      <c r="L355" s="237">
        <v>0.0</v>
      </c>
      <c r="M355" s="237">
        <v>2.0</v>
      </c>
      <c r="N355" s="237">
        <v>2.0</v>
      </c>
      <c r="O355" s="1"/>
    </row>
    <row r="356">
      <c r="A356" s="260" t="str">
        <f t="shared" si="1"/>
        <v>Adams C.</v>
      </c>
      <c r="B356" s="237">
        <v>6646.0</v>
      </c>
      <c r="C356" s="236" t="s">
        <v>507</v>
      </c>
      <c r="D356" s="236" t="s">
        <v>507</v>
      </c>
      <c r="E356" s="236" t="s">
        <v>695</v>
      </c>
      <c r="F356" s="236" t="s">
        <v>972</v>
      </c>
      <c r="G356" s="237">
        <v>17.0</v>
      </c>
      <c r="H356" s="237">
        <v>14.0</v>
      </c>
      <c r="I356" s="237">
        <v>3.0</v>
      </c>
      <c r="J356" s="237">
        <v>17.0</v>
      </c>
      <c r="K356" s="237">
        <v>14.0</v>
      </c>
      <c r="L356" s="237">
        <v>3.0</v>
      </c>
      <c r="M356" s="237">
        <v>37.0</v>
      </c>
      <c r="N356" s="237">
        <v>37.0</v>
      </c>
      <c r="O356" s="1"/>
    </row>
    <row r="357">
      <c r="A357" s="260" t="str">
        <f t="shared" si="1"/>
        <v>Sherri</v>
      </c>
      <c r="B357" s="237">
        <v>6650.0</v>
      </c>
      <c r="C357" s="236" t="s">
        <v>477</v>
      </c>
      <c r="D357" s="236" t="s">
        <v>478</v>
      </c>
      <c r="E357" s="236" t="s">
        <v>1312</v>
      </c>
      <c r="F357" s="236" t="s">
        <v>975</v>
      </c>
      <c r="G357" s="237">
        <v>1.0</v>
      </c>
      <c r="H357" s="237">
        <v>1.0</v>
      </c>
      <c r="I357" s="237">
        <v>0.0</v>
      </c>
      <c r="J357" s="237">
        <v>1.0</v>
      </c>
      <c r="K357" s="237">
        <v>1.0</v>
      </c>
      <c r="L357" s="237">
        <v>0.0</v>
      </c>
      <c r="M357" s="237">
        <v>1.0</v>
      </c>
      <c r="N357" s="237">
        <v>1.0</v>
      </c>
      <c r="O357" s="1"/>
    </row>
    <row r="358">
      <c r="A358" s="260" t="str">
        <f t="shared" si="1"/>
        <v>Marcandalli</v>
      </c>
      <c r="B358" s="237">
        <v>6660.0</v>
      </c>
      <c r="C358" s="236" t="s">
        <v>480</v>
      </c>
      <c r="D358" s="236" t="s">
        <v>481</v>
      </c>
      <c r="E358" s="236" t="s">
        <v>1102</v>
      </c>
      <c r="F358" s="236" t="s">
        <v>1026</v>
      </c>
      <c r="G358" s="237">
        <v>7.0</v>
      </c>
      <c r="H358" s="237">
        <v>3.0</v>
      </c>
      <c r="I358" s="237">
        <v>4.0</v>
      </c>
      <c r="J358" s="237">
        <v>7.0</v>
      </c>
      <c r="K358" s="237">
        <v>3.0</v>
      </c>
      <c r="L358" s="237">
        <v>4.0</v>
      </c>
      <c r="M358" s="237">
        <v>12.0</v>
      </c>
      <c r="N358" s="237">
        <v>12.0</v>
      </c>
      <c r="O358" s="1"/>
    </row>
    <row r="359">
      <c r="A359" s="260" t="str">
        <f t="shared" si="1"/>
        <v>Corvi</v>
      </c>
      <c r="B359" s="237">
        <v>6662.0</v>
      </c>
      <c r="C359" s="236" t="s">
        <v>477</v>
      </c>
      <c r="D359" s="236" t="s">
        <v>478</v>
      </c>
      <c r="E359" s="236" t="s">
        <v>1036</v>
      </c>
      <c r="F359" s="236" t="s">
        <v>985</v>
      </c>
      <c r="G359" s="237">
        <v>9.0</v>
      </c>
      <c r="H359" s="237">
        <v>1.0</v>
      </c>
      <c r="I359" s="237">
        <v>8.0</v>
      </c>
      <c r="J359" s="237">
        <v>9.0</v>
      </c>
      <c r="K359" s="237">
        <v>1.0</v>
      </c>
      <c r="L359" s="237">
        <v>8.0</v>
      </c>
      <c r="M359" s="237">
        <v>12.0</v>
      </c>
      <c r="N359" s="237">
        <v>12.0</v>
      </c>
      <c r="O359" s="1"/>
    </row>
    <row r="360">
      <c r="A360" s="260" t="str">
        <f t="shared" si="1"/>
        <v>Circati</v>
      </c>
      <c r="B360" s="237">
        <v>6663.0</v>
      </c>
      <c r="C360" s="236" t="s">
        <v>480</v>
      </c>
      <c r="D360" s="236" t="s">
        <v>481</v>
      </c>
      <c r="E360" s="236" t="s">
        <v>715</v>
      </c>
      <c r="F360" s="236" t="s">
        <v>985</v>
      </c>
      <c r="G360" s="237">
        <v>9.0</v>
      </c>
      <c r="H360" s="237">
        <v>5.0</v>
      </c>
      <c r="I360" s="237">
        <v>4.0</v>
      </c>
      <c r="J360" s="237">
        <v>9.0</v>
      </c>
      <c r="K360" s="237">
        <v>5.0</v>
      </c>
      <c r="L360" s="237">
        <v>4.0</v>
      </c>
      <c r="M360" s="237">
        <v>15.0</v>
      </c>
      <c r="N360" s="237">
        <v>15.0</v>
      </c>
      <c r="O360" s="1"/>
    </row>
    <row r="361">
      <c r="A361" s="260" t="str">
        <f t="shared" si="1"/>
        <v>Delprato</v>
      </c>
      <c r="B361" s="237">
        <v>6664.0</v>
      </c>
      <c r="C361" s="236" t="s">
        <v>480</v>
      </c>
      <c r="D361" s="236" t="s">
        <v>1019</v>
      </c>
      <c r="E361" s="236" t="s">
        <v>612</v>
      </c>
      <c r="F361" s="236" t="s">
        <v>985</v>
      </c>
      <c r="G361" s="237">
        <v>9.0</v>
      </c>
      <c r="H361" s="237">
        <v>8.0</v>
      </c>
      <c r="I361" s="237">
        <v>1.0</v>
      </c>
      <c r="J361" s="237">
        <v>8.0</v>
      </c>
      <c r="K361" s="237">
        <v>9.0</v>
      </c>
      <c r="L361" s="237">
        <v>-1.0</v>
      </c>
      <c r="M361" s="237">
        <v>19.0</v>
      </c>
      <c r="N361" s="237">
        <v>22.0</v>
      </c>
      <c r="O361" s="1"/>
    </row>
    <row r="362">
      <c r="A362" s="260" t="str">
        <f t="shared" si="1"/>
        <v>Coulibaly W.</v>
      </c>
      <c r="B362" s="237">
        <v>6665.0</v>
      </c>
      <c r="C362" s="236" t="s">
        <v>480</v>
      </c>
      <c r="D362" s="236" t="s">
        <v>944</v>
      </c>
      <c r="E362" s="236" t="s">
        <v>690</v>
      </c>
      <c r="F362" s="236" t="s">
        <v>1005</v>
      </c>
      <c r="G362" s="237">
        <v>1.0</v>
      </c>
      <c r="H362" s="237">
        <v>3.0</v>
      </c>
      <c r="I362" s="237">
        <v>-2.0</v>
      </c>
      <c r="J362" s="237">
        <v>1.0</v>
      </c>
      <c r="K362" s="237">
        <v>4.0</v>
      </c>
      <c r="L362" s="237">
        <v>-3.0</v>
      </c>
      <c r="M362" s="237">
        <v>4.0</v>
      </c>
      <c r="N362" s="237">
        <v>6.0</v>
      </c>
      <c r="O362" s="1"/>
    </row>
    <row r="363">
      <c r="A363" s="260" t="str">
        <f t="shared" si="1"/>
        <v>Bernabè</v>
      </c>
      <c r="B363" s="237">
        <v>6666.0</v>
      </c>
      <c r="C363" s="236" t="s">
        <v>492</v>
      </c>
      <c r="D363" s="236" t="s">
        <v>492</v>
      </c>
      <c r="E363" s="236" t="s">
        <v>1007</v>
      </c>
      <c r="F363" s="236" t="s">
        <v>985</v>
      </c>
      <c r="G363" s="237">
        <v>16.0</v>
      </c>
      <c r="H363" s="237">
        <v>11.0</v>
      </c>
      <c r="I363" s="237">
        <v>5.0</v>
      </c>
      <c r="J363" s="237">
        <v>16.0</v>
      </c>
      <c r="K363" s="237">
        <v>11.0</v>
      </c>
      <c r="L363" s="237">
        <v>5.0</v>
      </c>
      <c r="M363" s="237">
        <v>32.0</v>
      </c>
      <c r="N363" s="237">
        <v>32.0</v>
      </c>
      <c r="O363" s="1"/>
    </row>
    <row r="364">
      <c r="A364" s="260" t="str">
        <f t="shared" si="1"/>
        <v>Bonny</v>
      </c>
      <c r="B364" s="237">
        <v>6669.0</v>
      </c>
      <c r="C364" s="236" t="s">
        <v>507</v>
      </c>
      <c r="D364" s="236" t="s">
        <v>512</v>
      </c>
      <c r="E364" s="236" t="s">
        <v>879</v>
      </c>
      <c r="F364" s="236" t="s">
        <v>973</v>
      </c>
      <c r="G364" s="237">
        <v>17.0</v>
      </c>
      <c r="H364" s="237">
        <v>5.0</v>
      </c>
      <c r="I364" s="237">
        <v>12.0</v>
      </c>
      <c r="J364" s="237">
        <v>17.0</v>
      </c>
      <c r="K364" s="237">
        <v>5.0</v>
      </c>
      <c r="L364" s="237">
        <v>12.0</v>
      </c>
      <c r="M364" s="237">
        <v>26.0</v>
      </c>
      <c r="N364" s="237">
        <v>23.0</v>
      </c>
      <c r="O364" s="1"/>
    </row>
    <row r="365">
      <c r="A365" s="260" t="str">
        <f t="shared" si="1"/>
        <v>Idzes</v>
      </c>
      <c r="B365" s="237">
        <v>6672.0</v>
      </c>
      <c r="C365" s="236" t="s">
        <v>480</v>
      </c>
      <c r="D365" s="236" t="s">
        <v>481</v>
      </c>
      <c r="E365" s="236" t="s">
        <v>782</v>
      </c>
      <c r="F365" s="236" t="s">
        <v>1005</v>
      </c>
      <c r="G365" s="237">
        <v>9.0</v>
      </c>
      <c r="H365" s="237">
        <v>7.0</v>
      </c>
      <c r="I365" s="237">
        <v>2.0</v>
      </c>
      <c r="J365" s="237">
        <v>9.0</v>
      </c>
      <c r="K365" s="237">
        <v>7.0</v>
      </c>
      <c r="L365" s="237">
        <v>2.0</v>
      </c>
      <c r="M365" s="237">
        <v>13.0</v>
      </c>
      <c r="N365" s="237">
        <v>13.0</v>
      </c>
      <c r="O365" s="1"/>
    </row>
    <row r="366">
      <c r="A366" s="260" t="str">
        <f t="shared" si="1"/>
        <v>Dovbyk</v>
      </c>
      <c r="B366" s="237">
        <v>6675.0</v>
      </c>
      <c r="C366" s="236" t="s">
        <v>507</v>
      </c>
      <c r="D366" s="236" t="s">
        <v>512</v>
      </c>
      <c r="E366" s="236" t="s">
        <v>333</v>
      </c>
      <c r="F366" s="236" t="s">
        <v>988</v>
      </c>
      <c r="G366" s="237">
        <v>14.0</v>
      </c>
      <c r="H366" s="237">
        <v>21.0</v>
      </c>
      <c r="I366" s="237">
        <v>-7.0</v>
      </c>
      <c r="J366" s="237">
        <v>14.0</v>
      </c>
      <c r="K366" s="237">
        <v>21.0</v>
      </c>
      <c r="L366" s="237">
        <v>-7.0</v>
      </c>
      <c r="M366" s="237">
        <v>12.0</v>
      </c>
      <c r="N366" s="237">
        <v>10.0</v>
      </c>
      <c r="O366" s="1"/>
    </row>
    <row r="367">
      <c r="A367" s="260" t="str">
        <f t="shared" si="1"/>
        <v>Adzic</v>
      </c>
      <c r="B367" s="237">
        <v>6677.0</v>
      </c>
      <c r="C367" s="236" t="s">
        <v>492</v>
      </c>
      <c r="D367" s="236" t="s">
        <v>934</v>
      </c>
      <c r="E367" s="236" t="s">
        <v>427</v>
      </c>
      <c r="F367" s="236" t="s">
        <v>976</v>
      </c>
      <c r="G367" s="237">
        <v>3.0</v>
      </c>
      <c r="H367" s="237">
        <v>1.0</v>
      </c>
      <c r="I367" s="237">
        <v>2.0</v>
      </c>
      <c r="J367" s="237">
        <v>3.0</v>
      </c>
      <c r="K367" s="237">
        <v>1.0</v>
      </c>
      <c r="L367" s="237">
        <v>2.0</v>
      </c>
      <c r="M367" s="237">
        <v>1.0</v>
      </c>
      <c r="N367" s="237">
        <v>1.0</v>
      </c>
      <c r="O367" s="1"/>
    </row>
    <row r="368">
      <c r="A368" s="260" t="str">
        <f t="shared" si="1"/>
        <v>Karlstrom</v>
      </c>
      <c r="B368" s="237">
        <v>6680.0</v>
      </c>
      <c r="C368" s="236" t="s">
        <v>492</v>
      </c>
      <c r="D368" s="236" t="s">
        <v>930</v>
      </c>
      <c r="E368" s="236" t="s">
        <v>874</v>
      </c>
      <c r="F368" s="236" t="s">
        <v>993</v>
      </c>
      <c r="G368" s="237">
        <v>10.0</v>
      </c>
      <c r="H368" s="237">
        <v>6.0</v>
      </c>
      <c r="I368" s="237">
        <v>4.0</v>
      </c>
      <c r="J368" s="237">
        <v>10.0</v>
      </c>
      <c r="K368" s="237">
        <v>6.0</v>
      </c>
      <c r="L368" s="237">
        <v>4.0</v>
      </c>
      <c r="M368" s="237">
        <v>18.0</v>
      </c>
      <c r="N368" s="237">
        <v>23.0</v>
      </c>
      <c r="O368" s="1"/>
    </row>
    <row r="369">
      <c r="A369" s="260" t="str">
        <f t="shared" si="1"/>
        <v>Ekkelenkamp</v>
      </c>
      <c r="B369" s="237">
        <v>6684.0</v>
      </c>
      <c r="C369" s="236" t="s">
        <v>492</v>
      </c>
      <c r="D369" s="236" t="s">
        <v>934</v>
      </c>
      <c r="E369" s="236" t="s">
        <v>749</v>
      </c>
      <c r="F369" s="236" t="s">
        <v>993</v>
      </c>
      <c r="G369" s="237">
        <v>14.0</v>
      </c>
      <c r="H369" s="237">
        <v>10.0</v>
      </c>
      <c r="I369" s="237">
        <v>4.0</v>
      </c>
      <c r="J369" s="237">
        <v>14.0</v>
      </c>
      <c r="K369" s="237">
        <v>10.0</v>
      </c>
      <c r="L369" s="237">
        <v>4.0</v>
      </c>
      <c r="M369" s="237">
        <v>27.0</v>
      </c>
      <c r="N369" s="237">
        <v>27.0</v>
      </c>
      <c r="O369" s="1"/>
    </row>
    <row r="370">
      <c r="A370" s="260" t="str">
        <f t="shared" si="1"/>
        <v>Konè I.</v>
      </c>
      <c r="B370" s="237">
        <v>6717.0</v>
      </c>
      <c r="C370" s="236" t="s">
        <v>492</v>
      </c>
      <c r="D370" s="236" t="s">
        <v>930</v>
      </c>
      <c r="E370" s="236" t="s">
        <v>259</v>
      </c>
      <c r="F370" s="236" t="s">
        <v>1005</v>
      </c>
      <c r="G370" s="237">
        <v>17.0</v>
      </c>
      <c r="H370" s="237">
        <v>6.0</v>
      </c>
      <c r="I370" s="237">
        <v>11.0</v>
      </c>
      <c r="J370" s="237">
        <v>17.0</v>
      </c>
      <c r="K370" s="237">
        <v>7.0</v>
      </c>
      <c r="L370" s="237">
        <v>10.0</v>
      </c>
      <c r="M370" s="237">
        <v>41.0</v>
      </c>
      <c r="N370" s="237">
        <v>46.0</v>
      </c>
      <c r="O370" s="1"/>
    </row>
    <row r="371">
      <c r="A371" s="260" t="str">
        <f t="shared" si="1"/>
        <v>Kelly L.</v>
      </c>
      <c r="B371" s="237">
        <v>6766.0</v>
      </c>
      <c r="C371" s="236" t="s">
        <v>480</v>
      </c>
      <c r="D371" s="236" t="s">
        <v>1022</v>
      </c>
      <c r="E371" s="236" t="s">
        <v>799</v>
      </c>
      <c r="F371" s="236" t="s">
        <v>976</v>
      </c>
      <c r="G371" s="237">
        <v>11.0</v>
      </c>
      <c r="H371" s="237">
        <v>7.0</v>
      </c>
      <c r="I371" s="237">
        <v>4.0</v>
      </c>
      <c r="J371" s="237">
        <v>11.0</v>
      </c>
      <c r="K371" s="237">
        <v>8.0</v>
      </c>
      <c r="L371" s="237">
        <v>3.0</v>
      </c>
      <c r="M371" s="237">
        <v>22.0</v>
      </c>
      <c r="N371" s="237">
        <v>25.0</v>
      </c>
      <c r="O371" s="1"/>
    </row>
    <row r="372">
      <c r="A372" s="260" t="str">
        <f t="shared" si="1"/>
        <v>Marianucci</v>
      </c>
      <c r="B372" s="237">
        <v>6809.0</v>
      </c>
      <c r="C372" s="236" t="s">
        <v>480</v>
      </c>
      <c r="D372" s="236" t="s">
        <v>481</v>
      </c>
      <c r="E372" s="236" t="s">
        <v>373</v>
      </c>
      <c r="F372" s="236" t="s">
        <v>972</v>
      </c>
      <c r="G372" s="237">
        <v>3.0</v>
      </c>
      <c r="H372" s="237">
        <v>3.0</v>
      </c>
      <c r="I372" s="237">
        <v>0.0</v>
      </c>
      <c r="J372" s="237">
        <v>3.0</v>
      </c>
      <c r="K372" s="237">
        <v>3.0</v>
      </c>
      <c r="L372" s="237">
        <v>0.0</v>
      </c>
      <c r="M372" s="237">
        <v>12.0</v>
      </c>
      <c r="N372" s="237">
        <v>12.0</v>
      </c>
      <c r="O372" s="1"/>
    </row>
    <row r="373">
      <c r="A373" s="260" t="str">
        <f t="shared" si="1"/>
        <v>Torriani</v>
      </c>
      <c r="B373" s="237">
        <v>6813.0</v>
      </c>
      <c r="C373" s="236" t="s">
        <v>477</v>
      </c>
      <c r="D373" s="236" t="s">
        <v>478</v>
      </c>
      <c r="E373" s="236" t="s">
        <v>236</v>
      </c>
      <c r="F373" s="236" t="s">
        <v>991</v>
      </c>
      <c r="G373" s="237">
        <v>1.0</v>
      </c>
      <c r="H373" s="237">
        <v>1.0</v>
      </c>
      <c r="I373" s="237">
        <v>0.0</v>
      </c>
      <c r="J373" s="237">
        <v>1.0</v>
      </c>
      <c r="K373" s="237">
        <v>1.0</v>
      </c>
      <c r="L373" s="237">
        <v>0.0</v>
      </c>
      <c r="M373" s="237">
        <v>1.0</v>
      </c>
      <c r="N373" s="237">
        <v>1.0</v>
      </c>
      <c r="O373" s="1"/>
    </row>
    <row r="374">
      <c r="A374" s="260" t="str">
        <f t="shared" si="1"/>
        <v>Norton-Cuffy</v>
      </c>
      <c r="B374" s="237">
        <v>6814.0</v>
      </c>
      <c r="C374" s="236" t="s">
        <v>480</v>
      </c>
      <c r="D374" s="236" t="s">
        <v>938</v>
      </c>
      <c r="E374" s="236" t="s">
        <v>1127</v>
      </c>
      <c r="F374" s="236" t="s">
        <v>1026</v>
      </c>
      <c r="G374" s="237">
        <v>7.0</v>
      </c>
      <c r="H374" s="237">
        <v>3.0</v>
      </c>
      <c r="I374" s="237">
        <v>4.0</v>
      </c>
      <c r="J374" s="237">
        <v>7.0</v>
      </c>
      <c r="K374" s="237">
        <v>3.0</v>
      </c>
      <c r="L374" s="237">
        <v>4.0</v>
      </c>
      <c r="M374" s="237">
        <v>16.0</v>
      </c>
      <c r="N374" s="237">
        <v>16.0</v>
      </c>
      <c r="O374" s="1"/>
    </row>
    <row r="375">
      <c r="A375" s="260" t="str">
        <f t="shared" si="1"/>
        <v>Fadera</v>
      </c>
      <c r="B375" s="237">
        <v>6815.0</v>
      </c>
      <c r="C375" s="236" t="s">
        <v>492</v>
      </c>
      <c r="D375" s="236" t="s">
        <v>563</v>
      </c>
      <c r="E375" s="236" t="s">
        <v>904</v>
      </c>
      <c r="F375" s="236" t="s">
        <v>1005</v>
      </c>
      <c r="G375" s="237">
        <v>11.0</v>
      </c>
      <c r="H375" s="237">
        <v>6.0</v>
      </c>
      <c r="I375" s="237">
        <v>5.0</v>
      </c>
      <c r="J375" s="237">
        <v>11.0</v>
      </c>
      <c r="K375" s="237">
        <v>5.0</v>
      </c>
      <c r="L375" s="237">
        <v>6.0</v>
      </c>
      <c r="M375" s="237">
        <v>17.0</v>
      </c>
      <c r="N375" s="237">
        <v>15.0</v>
      </c>
      <c r="O375" s="1"/>
    </row>
    <row r="376">
      <c r="A376" s="260" t="str">
        <f t="shared" si="1"/>
        <v>Ekhator</v>
      </c>
      <c r="B376" s="237">
        <v>6822.0</v>
      </c>
      <c r="C376" s="236" t="s">
        <v>507</v>
      </c>
      <c r="D376" s="236" t="s">
        <v>507</v>
      </c>
      <c r="E376" s="236" t="s">
        <v>251</v>
      </c>
      <c r="F376" s="236" t="s">
        <v>1026</v>
      </c>
      <c r="G376" s="237">
        <v>9.0</v>
      </c>
      <c r="H376" s="237">
        <v>1.0</v>
      </c>
      <c r="I376" s="237">
        <v>8.0</v>
      </c>
      <c r="J376" s="237">
        <v>9.0</v>
      </c>
      <c r="K376" s="237">
        <v>1.0</v>
      </c>
      <c r="L376" s="237">
        <v>8.0</v>
      </c>
      <c r="M376" s="237">
        <v>11.0</v>
      </c>
      <c r="N376" s="237">
        <v>11.0</v>
      </c>
      <c r="O376" s="1"/>
    </row>
    <row r="377">
      <c r="A377" s="260" t="str">
        <f t="shared" si="1"/>
        <v>Njie</v>
      </c>
      <c r="B377" s="237">
        <v>6827.0</v>
      </c>
      <c r="C377" s="236" t="s">
        <v>507</v>
      </c>
      <c r="D377" s="236" t="s">
        <v>507</v>
      </c>
      <c r="E377" s="236" t="s">
        <v>1124</v>
      </c>
      <c r="F377" s="236" t="s">
        <v>972</v>
      </c>
      <c r="G377" s="237">
        <v>6.0</v>
      </c>
      <c r="H377" s="237">
        <v>1.0</v>
      </c>
      <c r="I377" s="237">
        <v>5.0</v>
      </c>
      <c r="J377" s="237">
        <v>6.0</v>
      </c>
      <c r="K377" s="237">
        <v>1.0</v>
      </c>
      <c r="L377" s="237">
        <v>5.0</v>
      </c>
      <c r="M377" s="237">
        <v>4.0</v>
      </c>
      <c r="N377" s="237">
        <v>4.0</v>
      </c>
      <c r="O377" s="1"/>
    </row>
    <row r="378">
      <c r="A378" s="260" t="str">
        <f t="shared" si="1"/>
        <v>Neres</v>
      </c>
      <c r="B378" s="237">
        <v>6831.0</v>
      </c>
      <c r="C378" s="236" t="s">
        <v>492</v>
      </c>
      <c r="D378" s="236" t="s">
        <v>935</v>
      </c>
      <c r="E378" s="236" t="s">
        <v>449</v>
      </c>
      <c r="F378" s="236" t="s">
        <v>987</v>
      </c>
      <c r="G378" s="237">
        <v>16.0</v>
      </c>
      <c r="H378" s="237">
        <v>13.0</v>
      </c>
      <c r="I378" s="237">
        <v>3.0</v>
      </c>
      <c r="J378" s="237">
        <v>16.0</v>
      </c>
      <c r="K378" s="237">
        <v>13.0</v>
      </c>
      <c r="L378" s="237">
        <v>3.0</v>
      </c>
      <c r="M378" s="237">
        <v>35.0</v>
      </c>
      <c r="N378" s="237">
        <v>35.0</v>
      </c>
      <c r="O378" s="1"/>
    </row>
    <row r="379">
      <c r="A379" s="260" t="str">
        <f t="shared" si="1"/>
        <v>Palestra</v>
      </c>
      <c r="B379" s="237">
        <v>6832.0</v>
      </c>
      <c r="C379" s="236" t="s">
        <v>480</v>
      </c>
      <c r="D379" s="236" t="s">
        <v>521</v>
      </c>
      <c r="E379" s="236" t="s">
        <v>1141</v>
      </c>
      <c r="F379" s="236" t="s">
        <v>975</v>
      </c>
      <c r="G379" s="237">
        <v>17.0</v>
      </c>
      <c r="H379" s="237">
        <v>3.0</v>
      </c>
      <c r="I379" s="237">
        <v>14.0</v>
      </c>
      <c r="J379" s="237">
        <v>17.0</v>
      </c>
      <c r="K379" s="237">
        <v>2.0</v>
      </c>
      <c r="L379" s="237">
        <v>15.0</v>
      </c>
      <c r="M379" s="237">
        <v>79.0</v>
      </c>
      <c r="N379" s="237">
        <v>79.0</v>
      </c>
      <c r="O379" s="1"/>
    </row>
    <row r="380">
      <c r="A380" s="260" t="str">
        <f t="shared" si="1"/>
        <v>Meister</v>
      </c>
      <c r="B380" s="237">
        <v>6836.0</v>
      </c>
      <c r="C380" s="236" t="s">
        <v>507</v>
      </c>
      <c r="D380" s="236" t="s">
        <v>512</v>
      </c>
      <c r="E380" s="236" t="s">
        <v>1107</v>
      </c>
      <c r="F380" s="236" t="s">
        <v>977</v>
      </c>
      <c r="G380" s="237">
        <v>8.0</v>
      </c>
      <c r="H380" s="237">
        <v>2.0</v>
      </c>
      <c r="I380" s="237">
        <v>6.0</v>
      </c>
      <c r="J380" s="237">
        <v>8.0</v>
      </c>
      <c r="K380" s="237">
        <v>2.0</v>
      </c>
      <c r="L380" s="237">
        <v>6.0</v>
      </c>
      <c r="M380" s="237">
        <v>13.0</v>
      </c>
      <c r="N380" s="237">
        <v>10.0</v>
      </c>
      <c r="O380" s="1"/>
    </row>
    <row r="381">
      <c r="A381" s="260" t="str">
        <f t="shared" si="1"/>
        <v>Sava</v>
      </c>
      <c r="B381" s="237">
        <v>6842.0</v>
      </c>
      <c r="C381" s="236" t="s">
        <v>477</v>
      </c>
      <c r="D381" s="236" t="s">
        <v>478</v>
      </c>
      <c r="E381" s="236" t="s">
        <v>1173</v>
      </c>
      <c r="F381" s="236" t="s">
        <v>993</v>
      </c>
      <c r="G381" s="237">
        <v>1.0</v>
      </c>
      <c r="H381" s="237">
        <v>4.0</v>
      </c>
      <c r="I381" s="237">
        <v>-3.0</v>
      </c>
      <c r="J381" s="237">
        <v>1.0</v>
      </c>
      <c r="K381" s="237">
        <v>4.0</v>
      </c>
      <c r="L381" s="237">
        <v>-3.0</v>
      </c>
      <c r="M381" s="237">
        <v>1.0</v>
      </c>
      <c r="N381" s="237">
        <v>1.0</v>
      </c>
      <c r="O381" s="1"/>
    </row>
    <row r="382">
      <c r="A382" s="260" t="str">
        <f t="shared" si="1"/>
        <v>Rowe</v>
      </c>
      <c r="B382" s="237">
        <v>6844.0</v>
      </c>
      <c r="C382" s="236" t="s">
        <v>492</v>
      </c>
      <c r="D382" s="236" t="s">
        <v>1057</v>
      </c>
      <c r="E382" s="236" t="s">
        <v>1165</v>
      </c>
      <c r="F382" s="236" t="s">
        <v>1009</v>
      </c>
      <c r="G382" s="237">
        <v>8.0</v>
      </c>
      <c r="H382" s="237">
        <v>14.0</v>
      </c>
      <c r="I382" s="237">
        <v>-6.0</v>
      </c>
      <c r="J382" s="237">
        <v>8.0</v>
      </c>
      <c r="K382" s="237">
        <v>14.0</v>
      </c>
      <c r="L382" s="237">
        <v>-6.0</v>
      </c>
      <c r="M382" s="237">
        <v>21.0</v>
      </c>
      <c r="N382" s="237">
        <v>23.0</v>
      </c>
      <c r="O382" s="1"/>
    </row>
    <row r="383">
      <c r="A383" s="260" t="str">
        <f t="shared" si="1"/>
        <v>Valle</v>
      </c>
      <c r="B383" s="237">
        <v>6867.0</v>
      </c>
      <c r="C383" s="236" t="s">
        <v>480</v>
      </c>
      <c r="D383" s="236" t="s">
        <v>931</v>
      </c>
      <c r="E383" s="236" t="s">
        <v>899</v>
      </c>
      <c r="F383" s="236" t="s">
        <v>974</v>
      </c>
      <c r="G383" s="237">
        <v>9.0</v>
      </c>
      <c r="H383" s="237">
        <v>6.0</v>
      </c>
      <c r="I383" s="237">
        <v>3.0</v>
      </c>
      <c r="J383" s="237">
        <v>9.0</v>
      </c>
      <c r="K383" s="237">
        <v>6.0</v>
      </c>
      <c r="L383" s="237">
        <v>3.0</v>
      </c>
      <c r="M383" s="237">
        <v>14.0</v>
      </c>
      <c r="N383" s="237">
        <v>14.0</v>
      </c>
      <c r="O383" s="1"/>
    </row>
    <row r="384">
      <c r="A384" s="260" t="str">
        <f t="shared" si="1"/>
        <v>Ramon</v>
      </c>
      <c r="B384" s="237">
        <v>6869.0</v>
      </c>
      <c r="C384" s="236" t="s">
        <v>480</v>
      </c>
      <c r="D384" s="236" t="s">
        <v>481</v>
      </c>
      <c r="E384" s="236" t="s">
        <v>1159</v>
      </c>
      <c r="F384" s="236" t="s">
        <v>974</v>
      </c>
      <c r="G384" s="237">
        <v>13.0</v>
      </c>
      <c r="H384" s="237">
        <v>4.0</v>
      </c>
      <c r="I384" s="237">
        <v>9.0</v>
      </c>
      <c r="J384" s="237">
        <v>13.0</v>
      </c>
      <c r="K384" s="237">
        <v>4.0</v>
      </c>
      <c r="L384" s="237">
        <v>9.0</v>
      </c>
      <c r="M384" s="237">
        <v>28.0</v>
      </c>
      <c r="N384" s="237">
        <v>28.0</v>
      </c>
      <c r="O384" s="1"/>
    </row>
    <row r="385">
      <c r="A385" s="260" t="str">
        <f t="shared" si="1"/>
        <v>Faye</v>
      </c>
      <c r="B385" s="237">
        <v>6870.0</v>
      </c>
      <c r="C385" s="236" t="s">
        <v>480</v>
      </c>
      <c r="D385" s="236" t="s">
        <v>481</v>
      </c>
      <c r="E385" s="236" t="s">
        <v>1061</v>
      </c>
      <c r="F385" s="236" t="s">
        <v>995</v>
      </c>
      <c r="G385" s="237">
        <v>2.0</v>
      </c>
      <c r="H385" s="237">
        <v>4.0</v>
      </c>
      <c r="I385" s="237">
        <v>-2.0</v>
      </c>
      <c r="J385" s="237">
        <v>2.0</v>
      </c>
      <c r="K385" s="237">
        <v>4.0</v>
      </c>
      <c r="L385" s="237">
        <v>-2.0</v>
      </c>
      <c r="M385" s="237">
        <v>5.0</v>
      </c>
      <c r="N385" s="237">
        <v>5.0</v>
      </c>
      <c r="O385" s="1"/>
    </row>
    <row r="386">
      <c r="A386" s="260" t="str">
        <f t="shared" si="1"/>
        <v>Paz N.</v>
      </c>
      <c r="B386" s="237">
        <v>6875.0</v>
      </c>
      <c r="C386" s="236" t="s">
        <v>492</v>
      </c>
      <c r="D386" s="236" t="s">
        <v>947</v>
      </c>
      <c r="E386" s="236" t="s">
        <v>671</v>
      </c>
      <c r="F386" s="236" t="s">
        <v>974</v>
      </c>
      <c r="G386" s="237">
        <v>28.0</v>
      </c>
      <c r="H386" s="237">
        <v>20.0</v>
      </c>
      <c r="I386" s="237">
        <v>8.0</v>
      </c>
      <c r="J386" s="237">
        <v>28.0</v>
      </c>
      <c r="K386" s="237">
        <v>20.0</v>
      </c>
      <c r="L386" s="237">
        <v>8.0</v>
      </c>
      <c r="M386" s="237">
        <v>264.0</v>
      </c>
      <c r="N386" s="237">
        <v>264.0</v>
      </c>
      <c r="O386" s="1"/>
    </row>
    <row r="387">
      <c r="A387" s="260" t="str">
        <f t="shared" si="1"/>
        <v>Jean</v>
      </c>
      <c r="B387" s="237">
        <v>6883.0</v>
      </c>
      <c r="C387" s="236" t="s">
        <v>480</v>
      </c>
      <c r="D387" s="236" t="s">
        <v>481</v>
      </c>
      <c r="E387" s="236" t="s">
        <v>664</v>
      </c>
      <c r="F387" s="236" t="s">
        <v>998</v>
      </c>
      <c r="G387" s="237">
        <v>1.0</v>
      </c>
      <c r="H387" s="237">
        <v>3.0</v>
      </c>
      <c r="I387" s="237">
        <v>-2.0</v>
      </c>
      <c r="J387" s="237">
        <v>1.0</v>
      </c>
      <c r="K387" s="237">
        <v>3.0</v>
      </c>
      <c r="L387" s="237">
        <v>-2.0</v>
      </c>
      <c r="M387" s="237">
        <v>3.0</v>
      </c>
      <c r="N387" s="237">
        <v>3.0</v>
      </c>
      <c r="O387" s="1"/>
    </row>
    <row r="388">
      <c r="A388" s="260" t="str">
        <f t="shared" si="1"/>
        <v>Conceicao</v>
      </c>
      <c r="B388" s="237">
        <v>6884.0</v>
      </c>
      <c r="C388" s="236" t="s">
        <v>492</v>
      </c>
      <c r="D388" s="236" t="s">
        <v>935</v>
      </c>
      <c r="E388" s="236" t="s">
        <v>247</v>
      </c>
      <c r="F388" s="236" t="s">
        <v>976</v>
      </c>
      <c r="G388" s="237">
        <v>15.0</v>
      </c>
      <c r="H388" s="237">
        <v>18.0</v>
      </c>
      <c r="I388" s="237">
        <v>-3.0</v>
      </c>
      <c r="J388" s="237">
        <v>15.0</v>
      </c>
      <c r="K388" s="237">
        <v>17.0</v>
      </c>
      <c r="L388" s="237">
        <v>-2.0</v>
      </c>
      <c r="M388" s="237">
        <v>42.0</v>
      </c>
      <c r="N388" s="237">
        <v>42.0</v>
      </c>
      <c r="O388" s="1"/>
    </row>
    <row r="389">
      <c r="A389" s="260" t="str">
        <f t="shared" si="1"/>
        <v>Anjorin</v>
      </c>
      <c r="B389" s="237">
        <v>6889.0</v>
      </c>
      <c r="C389" s="236" t="s">
        <v>492</v>
      </c>
      <c r="D389" s="236" t="s">
        <v>934</v>
      </c>
      <c r="E389" s="236" t="s">
        <v>727</v>
      </c>
      <c r="F389" s="236" t="s">
        <v>972</v>
      </c>
      <c r="G389" s="237">
        <v>3.0</v>
      </c>
      <c r="H389" s="237">
        <v>10.0</v>
      </c>
      <c r="I389" s="237">
        <v>-7.0</v>
      </c>
      <c r="J389" s="237">
        <v>3.0</v>
      </c>
      <c r="K389" s="237">
        <v>10.0</v>
      </c>
      <c r="L389" s="237">
        <v>-7.0</v>
      </c>
      <c r="M389" s="237">
        <v>10.0</v>
      </c>
      <c r="N389" s="237">
        <v>10.0</v>
      </c>
      <c r="O389" s="1"/>
    </row>
    <row r="390">
      <c r="A390" s="260" t="str">
        <f t="shared" si="1"/>
        <v>Kempf</v>
      </c>
      <c r="B390" s="237">
        <v>6893.0</v>
      </c>
      <c r="C390" s="236" t="s">
        <v>480</v>
      </c>
      <c r="D390" s="236" t="s">
        <v>481</v>
      </c>
      <c r="E390" s="236" t="s">
        <v>1086</v>
      </c>
      <c r="F390" s="236" t="s">
        <v>974</v>
      </c>
      <c r="G390" s="237">
        <v>16.0</v>
      </c>
      <c r="H390" s="237">
        <v>5.0</v>
      </c>
      <c r="I390" s="237">
        <v>11.0</v>
      </c>
      <c r="J390" s="237">
        <v>16.0</v>
      </c>
      <c r="K390" s="237">
        <v>5.0</v>
      </c>
      <c r="L390" s="237">
        <v>11.0</v>
      </c>
      <c r="M390" s="237">
        <v>22.0</v>
      </c>
      <c r="N390" s="237">
        <v>22.0</v>
      </c>
      <c r="O390" s="1"/>
    </row>
    <row r="391">
      <c r="A391" s="260" t="str">
        <f t="shared" si="1"/>
        <v>Dominguez B.</v>
      </c>
      <c r="B391" s="237">
        <v>6895.0</v>
      </c>
      <c r="C391" s="236" t="s">
        <v>507</v>
      </c>
      <c r="D391" s="236" t="s">
        <v>935</v>
      </c>
      <c r="E391" s="236" t="s">
        <v>694</v>
      </c>
      <c r="F391" s="236" t="s">
        <v>1009</v>
      </c>
      <c r="G391" s="237">
        <v>5.0</v>
      </c>
      <c r="H391" s="237">
        <v>9.0</v>
      </c>
      <c r="I391" s="237">
        <v>-4.0</v>
      </c>
      <c r="J391" s="237">
        <v>5.0</v>
      </c>
      <c r="K391" s="237">
        <v>9.0</v>
      </c>
      <c r="L391" s="237">
        <v>-4.0</v>
      </c>
      <c r="M391" s="237">
        <v>13.0</v>
      </c>
      <c r="N391" s="237">
        <v>15.0</v>
      </c>
      <c r="O391" s="1"/>
    </row>
    <row r="392">
      <c r="A392" s="260" t="str">
        <f t="shared" si="1"/>
        <v>Van Der Brempt</v>
      </c>
      <c r="B392" s="237">
        <v>6896.0</v>
      </c>
      <c r="C392" s="236" t="s">
        <v>480</v>
      </c>
      <c r="D392" s="236" t="s">
        <v>938</v>
      </c>
      <c r="E392" s="236" t="s">
        <v>1205</v>
      </c>
      <c r="F392" s="236" t="s">
        <v>974</v>
      </c>
      <c r="G392" s="237">
        <v>2.0</v>
      </c>
      <c r="H392" s="237">
        <v>4.0</v>
      </c>
      <c r="I392" s="237">
        <v>-2.0</v>
      </c>
      <c r="J392" s="237">
        <v>2.0</v>
      </c>
      <c r="K392" s="237">
        <v>4.0</v>
      </c>
      <c r="L392" s="237">
        <v>-2.0</v>
      </c>
      <c r="M392" s="237">
        <v>8.0</v>
      </c>
      <c r="N392" s="237">
        <v>8.0</v>
      </c>
      <c r="O392" s="1"/>
    </row>
    <row r="393">
      <c r="A393" s="260" t="str">
        <f t="shared" si="1"/>
        <v>Keita M.</v>
      </c>
      <c r="B393" s="237">
        <v>6898.0</v>
      </c>
      <c r="C393" s="236" t="s">
        <v>492</v>
      </c>
      <c r="D393" s="236" t="s">
        <v>930</v>
      </c>
      <c r="E393" s="236" t="s">
        <v>1085</v>
      </c>
      <c r="F393" s="236" t="s">
        <v>985</v>
      </c>
      <c r="G393" s="237">
        <v>8.0</v>
      </c>
      <c r="H393" s="237">
        <v>6.0</v>
      </c>
      <c r="I393" s="237">
        <v>2.0</v>
      </c>
      <c r="J393" s="237">
        <v>8.0</v>
      </c>
      <c r="K393" s="237">
        <v>7.0</v>
      </c>
      <c r="L393" s="237">
        <v>1.0</v>
      </c>
      <c r="M393" s="237">
        <v>14.0</v>
      </c>
      <c r="N393" s="237">
        <v>17.0</v>
      </c>
      <c r="O393" s="1"/>
    </row>
    <row r="394">
      <c r="A394" s="260" t="str">
        <f t="shared" si="1"/>
        <v>Atta</v>
      </c>
      <c r="B394" s="237">
        <v>6908.0</v>
      </c>
      <c r="C394" s="236" t="s">
        <v>492</v>
      </c>
      <c r="D394" s="236" t="s">
        <v>492</v>
      </c>
      <c r="E394" s="236" t="s">
        <v>992</v>
      </c>
      <c r="F394" s="236" t="s">
        <v>993</v>
      </c>
      <c r="G394" s="237">
        <v>18.0</v>
      </c>
      <c r="H394" s="237">
        <v>6.0</v>
      </c>
      <c r="I394" s="237">
        <v>12.0</v>
      </c>
      <c r="J394" s="237">
        <v>18.0</v>
      </c>
      <c r="K394" s="237">
        <v>6.0</v>
      </c>
      <c r="L394" s="237">
        <v>12.0</v>
      </c>
      <c r="M394" s="237">
        <v>60.0</v>
      </c>
      <c r="N394" s="237">
        <v>60.0</v>
      </c>
      <c r="O394" s="1"/>
    </row>
    <row r="395">
      <c r="A395" s="260" t="str">
        <f t="shared" si="1"/>
        <v>Ahanor</v>
      </c>
      <c r="B395" s="237">
        <v>6916.0</v>
      </c>
      <c r="C395" s="236" t="s">
        <v>480</v>
      </c>
      <c r="D395" s="236" t="s">
        <v>979</v>
      </c>
      <c r="E395" s="236" t="s">
        <v>978</v>
      </c>
      <c r="F395" s="236" t="s">
        <v>980</v>
      </c>
      <c r="G395" s="237">
        <v>5.0</v>
      </c>
      <c r="H395" s="237">
        <v>6.0</v>
      </c>
      <c r="I395" s="237">
        <v>-1.0</v>
      </c>
      <c r="J395" s="237">
        <v>5.0</v>
      </c>
      <c r="K395" s="237">
        <v>7.0</v>
      </c>
      <c r="L395" s="237">
        <v>-2.0</v>
      </c>
      <c r="M395" s="237">
        <v>12.0</v>
      </c>
      <c r="N395" s="237">
        <v>14.0</v>
      </c>
      <c r="O395" s="1"/>
    </row>
    <row r="396">
      <c r="A396" s="260" t="str">
        <f t="shared" si="1"/>
        <v>Masini</v>
      </c>
      <c r="B396" s="237">
        <v>6917.0</v>
      </c>
      <c r="C396" s="236" t="s">
        <v>492</v>
      </c>
      <c r="D396" s="236" t="s">
        <v>930</v>
      </c>
      <c r="E396" s="236" t="s">
        <v>852</v>
      </c>
      <c r="F396" s="236" t="s">
        <v>1026</v>
      </c>
      <c r="G396" s="237">
        <v>5.0</v>
      </c>
      <c r="H396" s="237">
        <v>5.0</v>
      </c>
      <c r="I396" s="237">
        <v>0.0</v>
      </c>
      <c r="J396" s="237">
        <v>5.0</v>
      </c>
      <c r="K396" s="237">
        <v>5.0</v>
      </c>
      <c r="L396" s="237">
        <v>0.0</v>
      </c>
      <c r="M396" s="237">
        <v>10.0</v>
      </c>
      <c r="N396" s="237">
        <v>12.0</v>
      </c>
      <c r="O396" s="1"/>
    </row>
    <row r="397">
      <c r="A397" s="260" t="str">
        <f t="shared" si="1"/>
        <v>Solet</v>
      </c>
      <c r="B397" s="237">
        <v>6956.0</v>
      </c>
      <c r="C397" s="236" t="s">
        <v>480</v>
      </c>
      <c r="D397" s="236" t="s">
        <v>481</v>
      </c>
      <c r="E397" s="236" t="s">
        <v>676</v>
      </c>
      <c r="F397" s="236" t="s">
        <v>993</v>
      </c>
      <c r="G397" s="237">
        <v>12.0</v>
      </c>
      <c r="H397" s="237">
        <v>11.0</v>
      </c>
      <c r="I397" s="237">
        <v>1.0</v>
      </c>
      <c r="J397" s="237">
        <v>12.0</v>
      </c>
      <c r="K397" s="237">
        <v>11.0</v>
      </c>
      <c r="L397" s="237">
        <v>1.0</v>
      </c>
      <c r="M397" s="237">
        <v>38.0</v>
      </c>
      <c r="N397" s="237">
        <v>38.0</v>
      </c>
      <c r="O397" s="1"/>
    </row>
    <row r="398">
      <c r="A398" s="260" t="str">
        <f t="shared" si="1"/>
        <v>Valentini N.</v>
      </c>
      <c r="B398" s="237">
        <v>6957.0</v>
      </c>
      <c r="C398" s="236" t="s">
        <v>480</v>
      </c>
      <c r="D398" s="236" t="s">
        <v>481</v>
      </c>
      <c r="E398" s="236" t="s">
        <v>1203</v>
      </c>
      <c r="F398" s="236" t="s">
        <v>983</v>
      </c>
      <c r="G398" s="237">
        <v>3.0</v>
      </c>
      <c r="H398" s="237">
        <v>4.0</v>
      </c>
      <c r="I398" s="237">
        <v>-1.0</v>
      </c>
      <c r="J398" s="237">
        <v>3.0</v>
      </c>
      <c r="K398" s="237">
        <v>4.0</v>
      </c>
      <c r="L398" s="237">
        <v>-1.0</v>
      </c>
      <c r="M398" s="237">
        <v>10.0</v>
      </c>
      <c r="N398" s="237">
        <v>10.0</v>
      </c>
      <c r="O398" s="1"/>
    </row>
    <row r="399">
      <c r="A399" s="260" t="str">
        <f t="shared" si="1"/>
        <v>Butez</v>
      </c>
      <c r="B399" s="237">
        <v>6966.0</v>
      </c>
      <c r="C399" s="236" t="s">
        <v>477</v>
      </c>
      <c r="D399" s="236" t="s">
        <v>478</v>
      </c>
      <c r="E399" s="236" t="s">
        <v>723</v>
      </c>
      <c r="F399" s="236" t="s">
        <v>974</v>
      </c>
      <c r="G399" s="237">
        <v>17.0</v>
      </c>
      <c r="H399" s="237">
        <v>10.0</v>
      </c>
      <c r="I399" s="237">
        <v>7.0</v>
      </c>
      <c r="J399" s="237">
        <v>17.0</v>
      </c>
      <c r="K399" s="237">
        <v>10.0</v>
      </c>
      <c r="L399" s="237">
        <v>7.0</v>
      </c>
      <c r="M399" s="237">
        <v>74.0</v>
      </c>
      <c r="N399" s="237">
        <v>74.0</v>
      </c>
      <c r="O399" s="1"/>
    </row>
    <row r="400">
      <c r="A400" s="260" t="str">
        <f t="shared" si="1"/>
        <v>Diao</v>
      </c>
      <c r="B400" s="237">
        <v>6967.0</v>
      </c>
      <c r="C400" s="236" t="s">
        <v>507</v>
      </c>
      <c r="D400" s="236" t="s">
        <v>935</v>
      </c>
      <c r="E400" s="236" t="s">
        <v>156</v>
      </c>
      <c r="F400" s="236" t="s">
        <v>974</v>
      </c>
      <c r="G400" s="237">
        <v>3.0</v>
      </c>
      <c r="H400" s="237">
        <v>17.0</v>
      </c>
      <c r="I400" s="237">
        <v>-14.0</v>
      </c>
      <c r="J400" s="237">
        <v>4.0</v>
      </c>
      <c r="K400" s="237">
        <v>18.0</v>
      </c>
      <c r="L400" s="237">
        <v>-14.0</v>
      </c>
      <c r="M400" s="237">
        <v>14.0</v>
      </c>
      <c r="N400" s="237">
        <v>17.0</v>
      </c>
      <c r="O400" s="1"/>
    </row>
    <row r="401">
      <c r="A401" s="260" t="str">
        <f t="shared" si="1"/>
        <v>Otoa</v>
      </c>
      <c r="B401" s="237">
        <v>6977.0</v>
      </c>
      <c r="C401" s="236" t="s">
        <v>480</v>
      </c>
      <c r="D401" s="236" t="s">
        <v>481</v>
      </c>
      <c r="E401" s="236" t="s">
        <v>1138</v>
      </c>
      <c r="F401" s="236" t="s">
        <v>1026</v>
      </c>
      <c r="G401" s="237">
        <v>2.0</v>
      </c>
      <c r="H401" s="237">
        <v>2.0</v>
      </c>
      <c r="I401" s="237">
        <v>0.0</v>
      </c>
      <c r="J401" s="237">
        <v>2.0</v>
      </c>
      <c r="K401" s="237">
        <v>2.0</v>
      </c>
      <c r="L401" s="237">
        <v>0.0</v>
      </c>
      <c r="M401" s="237">
        <v>9.0</v>
      </c>
      <c r="N401" s="237">
        <v>9.0</v>
      </c>
      <c r="O401" s="1"/>
    </row>
    <row r="402">
      <c r="A402" s="260" t="str">
        <f t="shared" si="1"/>
        <v>Venturino</v>
      </c>
      <c r="B402" s="237">
        <v>6980.0</v>
      </c>
      <c r="C402" s="236" t="s">
        <v>492</v>
      </c>
      <c r="D402" s="236" t="s">
        <v>563</v>
      </c>
      <c r="E402" s="236" t="s">
        <v>384</v>
      </c>
      <c r="F402" s="236" t="s">
        <v>988</v>
      </c>
      <c r="G402" s="237">
        <v>2.0</v>
      </c>
      <c r="H402" s="237">
        <v>3.0</v>
      </c>
      <c r="I402" s="237">
        <v>-1.0</v>
      </c>
      <c r="J402" s="237">
        <v>2.0</v>
      </c>
      <c r="K402" s="237">
        <v>3.0</v>
      </c>
      <c r="L402" s="237">
        <v>-1.0</v>
      </c>
      <c r="M402" s="237">
        <v>13.0</v>
      </c>
      <c r="N402" s="237">
        <v>13.0</v>
      </c>
      <c r="O402" s="1"/>
    </row>
    <row r="403">
      <c r="A403" s="260" t="str">
        <f t="shared" si="1"/>
        <v>Vaz</v>
      </c>
      <c r="B403" s="237">
        <v>6981.0</v>
      </c>
      <c r="C403" s="236" t="s">
        <v>507</v>
      </c>
      <c r="D403" s="236" t="s">
        <v>512</v>
      </c>
      <c r="E403" s="236" t="s">
        <v>424</v>
      </c>
      <c r="F403" s="236" t="s">
        <v>988</v>
      </c>
      <c r="G403" s="237">
        <v>10.0</v>
      </c>
      <c r="H403" s="237">
        <v>10.0</v>
      </c>
      <c r="I403" s="237">
        <v>0.0</v>
      </c>
      <c r="J403" s="237">
        <v>10.0</v>
      </c>
      <c r="K403" s="237">
        <v>10.0</v>
      </c>
      <c r="L403" s="237">
        <v>0.0</v>
      </c>
      <c r="M403" s="237">
        <v>20.0</v>
      </c>
      <c r="N403" s="237">
        <v>20.0</v>
      </c>
      <c r="O403" s="1"/>
    </row>
    <row r="404">
      <c r="A404" s="260" t="str">
        <f t="shared" si="1"/>
        <v>Ondrejka</v>
      </c>
      <c r="B404" s="237">
        <v>6984.0</v>
      </c>
      <c r="C404" s="236" t="s">
        <v>492</v>
      </c>
      <c r="D404" s="236" t="s">
        <v>935</v>
      </c>
      <c r="E404" s="236" t="s">
        <v>1134</v>
      </c>
      <c r="F404" s="236" t="s">
        <v>985</v>
      </c>
      <c r="G404" s="237">
        <v>5.0</v>
      </c>
      <c r="H404" s="237">
        <v>13.0</v>
      </c>
      <c r="I404" s="237">
        <v>-8.0</v>
      </c>
      <c r="J404" s="237">
        <v>5.0</v>
      </c>
      <c r="K404" s="237">
        <v>12.0</v>
      </c>
      <c r="L404" s="237">
        <v>-7.0</v>
      </c>
      <c r="M404" s="237">
        <v>17.0</v>
      </c>
      <c r="N404" s="237">
        <v>17.0</v>
      </c>
      <c r="O404" s="1"/>
    </row>
    <row r="405">
      <c r="A405" s="260" t="str">
        <f t="shared" si="1"/>
        <v>Candè</v>
      </c>
      <c r="B405" s="237">
        <v>6985.0</v>
      </c>
      <c r="C405" s="236" t="s">
        <v>480</v>
      </c>
      <c r="D405" s="236" t="s">
        <v>1022</v>
      </c>
      <c r="E405" s="236" t="s">
        <v>1021</v>
      </c>
      <c r="F405" s="236" t="s">
        <v>1005</v>
      </c>
      <c r="G405" s="237">
        <v>2.0</v>
      </c>
      <c r="H405" s="237">
        <v>6.0</v>
      </c>
      <c r="I405" s="237">
        <v>-4.0</v>
      </c>
      <c r="J405" s="237">
        <v>2.0</v>
      </c>
      <c r="K405" s="237">
        <v>6.0</v>
      </c>
      <c r="L405" s="237">
        <v>-4.0</v>
      </c>
      <c r="M405" s="237">
        <v>5.0</v>
      </c>
      <c r="N405" s="237">
        <v>7.0</v>
      </c>
      <c r="O405" s="1"/>
    </row>
    <row r="406">
      <c r="A406" s="260" t="str">
        <f t="shared" si="1"/>
        <v>Rensch</v>
      </c>
      <c r="B406" s="237">
        <v>6986.0</v>
      </c>
      <c r="C406" s="236" t="s">
        <v>480</v>
      </c>
      <c r="D406" s="236" t="s">
        <v>1019</v>
      </c>
      <c r="E406" s="236" t="s">
        <v>654</v>
      </c>
      <c r="F406" s="236" t="s">
        <v>988</v>
      </c>
      <c r="G406" s="237">
        <v>5.0</v>
      </c>
      <c r="H406" s="237">
        <v>5.0</v>
      </c>
      <c r="I406" s="237">
        <v>0.0</v>
      </c>
      <c r="J406" s="237">
        <v>6.0</v>
      </c>
      <c r="K406" s="237">
        <v>6.0</v>
      </c>
      <c r="L406" s="237">
        <v>0.0</v>
      </c>
      <c r="M406" s="237">
        <v>10.0</v>
      </c>
      <c r="N406" s="237">
        <v>12.0</v>
      </c>
      <c r="O406" s="1"/>
    </row>
    <row r="407">
      <c r="A407" s="260" t="str">
        <f t="shared" si="1"/>
        <v>Tiago Gabriel</v>
      </c>
      <c r="B407" s="237">
        <v>6989.0</v>
      </c>
      <c r="C407" s="236" t="s">
        <v>480</v>
      </c>
      <c r="D407" s="236" t="s">
        <v>481</v>
      </c>
      <c r="E407" s="236" t="s">
        <v>1196</v>
      </c>
      <c r="F407" s="236" t="s">
        <v>998</v>
      </c>
      <c r="G407" s="237">
        <v>8.0</v>
      </c>
      <c r="H407" s="237">
        <v>1.0</v>
      </c>
      <c r="I407" s="237">
        <v>7.0</v>
      </c>
      <c r="J407" s="237">
        <v>8.0</v>
      </c>
      <c r="K407" s="237">
        <v>1.0</v>
      </c>
      <c r="L407" s="237">
        <v>7.0</v>
      </c>
      <c r="M407" s="237">
        <v>20.0</v>
      </c>
      <c r="N407" s="237">
        <v>20.0</v>
      </c>
      <c r="O407" s="1"/>
    </row>
    <row r="408">
      <c r="A408" s="260" t="str">
        <f t="shared" si="1"/>
        <v>Veiga D.</v>
      </c>
      <c r="B408" s="237">
        <v>6990.0</v>
      </c>
      <c r="C408" s="236" t="s">
        <v>480</v>
      </c>
      <c r="D408" s="236" t="s">
        <v>938</v>
      </c>
      <c r="E408" s="236" t="s">
        <v>1210</v>
      </c>
      <c r="F408" s="236" t="s">
        <v>998</v>
      </c>
      <c r="G408" s="237">
        <v>5.0</v>
      </c>
      <c r="H408" s="237">
        <v>1.0</v>
      </c>
      <c r="I408" s="237">
        <v>4.0</v>
      </c>
      <c r="J408" s="237">
        <v>5.0</v>
      </c>
      <c r="K408" s="237">
        <v>1.0</v>
      </c>
      <c r="L408" s="237">
        <v>4.0</v>
      </c>
      <c r="M408" s="237">
        <v>13.0</v>
      </c>
      <c r="N408" s="237">
        <v>13.0</v>
      </c>
      <c r="O408" s="1"/>
    </row>
    <row r="409">
      <c r="A409" s="260" t="str">
        <f t="shared" si="1"/>
        <v>Siegrist</v>
      </c>
      <c r="B409" s="237">
        <v>6991.0</v>
      </c>
      <c r="C409" s="236" t="s">
        <v>477</v>
      </c>
      <c r="D409" s="236" t="s">
        <v>478</v>
      </c>
      <c r="E409" s="236" t="s">
        <v>1178</v>
      </c>
      <c r="F409" s="236" t="s">
        <v>1026</v>
      </c>
      <c r="G409" s="237">
        <v>1.0</v>
      </c>
      <c r="H409" s="237">
        <v>1.0</v>
      </c>
      <c r="I409" s="237">
        <v>0.0</v>
      </c>
      <c r="J409" s="237">
        <v>1.0</v>
      </c>
      <c r="K409" s="237">
        <v>1.0</v>
      </c>
      <c r="L409" s="237">
        <v>0.0</v>
      </c>
      <c r="M409" s="237">
        <v>1.0</v>
      </c>
      <c r="N409" s="237">
        <v>1.0</v>
      </c>
      <c r="O409" s="1"/>
    </row>
    <row r="410">
      <c r="A410" s="260" t="str">
        <f t="shared" si="1"/>
        <v>Oyegoke</v>
      </c>
      <c r="B410" s="237">
        <v>6992.0</v>
      </c>
      <c r="C410" s="236" t="s">
        <v>480</v>
      </c>
      <c r="D410" s="236" t="s">
        <v>1019</v>
      </c>
      <c r="E410" s="236" t="s">
        <v>1139</v>
      </c>
      <c r="F410" s="236" t="s">
        <v>983</v>
      </c>
      <c r="G410" s="237">
        <v>1.0</v>
      </c>
      <c r="H410" s="237">
        <v>2.0</v>
      </c>
      <c r="I410" s="237">
        <v>-1.0</v>
      </c>
      <c r="J410" s="237">
        <v>1.0</v>
      </c>
      <c r="K410" s="237">
        <v>2.0</v>
      </c>
      <c r="L410" s="237">
        <v>-1.0</v>
      </c>
      <c r="M410" s="237">
        <v>4.0</v>
      </c>
      <c r="N410" s="237">
        <v>5.0</v>
      </c>
      <c r="O410" s="1"/>
    </row>
    <row r="411">
      <c r="A411" s="260" t="str">
        <f t="shared" si="1"/>
        <v>N'Dri</v>
      </c>
      <c r="B411" s="237">
        <v>7001.0</v>
      </c>
      <c r="C411" s="236" t="s">
        <v>507</v>
      </c>
      <c r="D411" s="236" t="s">
        <v>935</v>
      </c>
      <c r="E411" s="236" t="s">
        <v>1116</v>
      </c>
      <c r="F411" s="236" t="s">
        <v>998</v>
      </c>
      <c r="G411" s="237">
        <v>10.0</v>
      </c>
      <c r="H411" s="237">
        <v>5.0</v>
      </c>
      <c r="I411" s="237">
        <v>5.0</v>
      </c>
      <c r="J411" s="237">
        <v>10.0</v>
      </c>
      <c r="K411" s="237">
        <v>5.0</v>
      </c>
      <c r="L411" s="237">
        <v>5.0</v>
      </c>
      <c r="M411" s="237">
        <v>10.0</v>
      </c>
      <c r="N411" s="237">
        <v>12.0</v>
      </c>
      <c r="O411" s="1"/>
    </row>
    <row r="412">
      <c r="A412" s="260" t="str">
        <f t="shared" si="1"/>
        <v>Gimenez</v>
      </c>
      <c r="B412" s="237">
        <v>7008.0</v>
      </c>
      <c r="C412" s="236" t="s">
        <v>507</v>
      </c>
      <c r="D412" s="236" t="s">
        <v>512</v>
      </c>
      <c r="E412" s="236" t="s">
        <v>325</v>
      </c>
      <c r="F412" s="236" t="s">
        <v>991</v>
      </c>
      <c r="G412" s="237">
        <v>12.0</v>
      </c>
      <c r="H412" s="237">
        <v>25.0</v>
      </c>
      <c r="I412" s="237">
        <v>-13.0</v>
      </c>
      <c r="J412" s="237">
        <v>12.0</v>
      </c>
      <c r="K412" s="237">
        <v>25.0</v>
      </c>
      <c r="L412" s="237">
        <v>-13.0</v>
      </c>
      <c r="M412" s="237">
        <v>10.0</v>
      </c>
      <c r="N412" s="237">
        <v>10.0</v>
      </c>
      <c r="O412" s="1"/>
    </row>
    <row r="413">
      <c r="A413" s="260" t="str">
        <f t="shared" si="1"/>
        <v>Al-Musrati</v>
      </c>
      <c r="B413" s="237">
        <v>7010.0</v>
      </c>
      <c r="C413" s="236" t="s">
        <v>492</v>
      </c>
      <c r="D413" s="236" t="s">
        <v>930</v>
      </c>
      <c r="E413" s="236" t="s">
        <v>982</v>
      </c>
      <c r="F413" s="236" t="s">
        <v>983</v>
      </c>
      <c r="G413" s="237">
        <v>3.0</v>
      </c>
      <c r="H413" s="237">
        <v>4.0</v>
      </c>
      <c r="I413" s="237">
        <v>-1.0</v>
      </c>
      <c r="J413" s="237">
        <v>3.0</v>
      </c>
      <c r="K413" s="237">
        <v>5.0</v>
      </c>
      <c r="L413" s="237">
        <v>-2.0</v>
      </c>
      <c r="M413" s="237">
        <v>7.0</v>
      </c>
      <c r="N413" s="237">
        <v>8.0</v>
      </c>
      <c r="O413" s="1"/>
    </row>
    <row r="414">
      <c r="A414" s="260" t="str">
        <f t="shared" si="1"/>
        <v>Slotsager</v>
      </c>
      <c r="B414" s="237">
        <v>7011.0</v>
      </c>
      <c r="C414" s="236" t="s">
        <v>480</v>
      </c>
      <c r="D414" s="236" t="s">
        <v>481</v>
      </c>
      <c r="E414" s="236" t="s">
        <v>1182</v>
      </c>
      <c r="F414" s="236" t="s">
        <v>983</v>
      </c>
      <c r="G414" s="237">
        <v>3.0</v>
      </c>
      <c r="H414" s="237">
        <v>2.0</v>
      </c>
      <c r="I414" s="237">
        <v>1.0</v>
      </c>
      <c r="J414" s="237">
        <v>3.0</v>
      </c>
      <c r="K414" s="237">
        <v>2.0</v>
      </c>
      <c r="L414" s="237">
        <v>1.0</v>
      </c>
      <c r="M414" s="237">
        <v>9.0</v>
      </c>
      <c r="N414" s="237">
        <v>9.0</v>
      </c>
      <c r="O414" s="1"/>
    </row>
    <row r="415">
      <c r="A415" s="260" t="str">
        <f t="shared" si="1"/>
        <v>Provstgaard</v>
      </c>
      <c r="B415" s="237">
        <v>7012.0</v>
      </c>
      <c r="C415" s="236" t="s">
        <v>480</v>
      </c>
      <c r="D415" s="236" t="s">
        <v>481</v>
      </c>
      <c r="E415" s="236" t="s">
        <v>458</v>
      </c>
      <c r="F415" s="236" t="s">
        <v>1000</v>
      </c>
      <c r="G415" s="237">
        <v>4.0</v>
      </c>
      <c r="H415" s="237">
        <v>3.0</v>
      </c>
      <c r="I415" s="237">
        <v>1.0</v>
      </c>
      <c r="J415" s="237">
        <v>4.0</v>
      </c>
      <c r="K415" s="237">
        <v>3.0</v>
      </c>
      <c r="L415" s="237">
        <v>1.0</v>
      </c>
      <c r="M415" s="237">
        <v>7.0</v>
      </c>
      <c r="N415" s="237">
        <v>7.0</v>
      </c>
      <c r="O415" s="1"/>
    </row>
    <row r="416">
      <c r="A416" s="260" t="str">
        <f t="shared" si="1"/>
        <v>Smolcic I.</v>
      </c>
      <c r="B416" s="237">
        <v>7014.0</v>
      </c>
      <c r="C416" s="236" t="s">
        <v>480</v>
      </c>
      <c r="D416" s="236" t="s">
        <v>937</v>
      </c>
      <c r="E416" s="236" t="s">
        <v>276</v>
      </c>
      <c r="F416" s="236" t="s">
        <v>974</v>
      </c>
      <c r="G416" s="237">
        <v>4.0</v>
      </c>
      <c r="H416" s="237">
        <v>2.0</v>
      </c>
      <c r="I416" s="237">
        <v>2.0</v>
      </c>
      <c r="J416" s="237">
        <v>4.0</v>
      </c>
      <c r="K416" s="237">
        <v>2.0</v>
      </c>
      <c r="L416" s="237">
        <v>2.0</v>
      </c>
      <c r="M416" s="237">
        <v>12.0</v>
      </c>
      <c r="N416" s="237">
        <v>12.0</v>
      </c>
      <c r="O416" s="1"/>
    </row>
    <row r="417">
      <c r="A417" s="260" t="str">
        <f t="shared" si="1"/>
        <v>Douvikas</v>
      </c>
      <c r="B417" s="237">
        <v>7017.0</v>
      </c>
      <c r="C417" s="236" t="s">
        <v>507</v>
      </c>
      <c r="D417" s="236" t="s">
        <v>512</v>
      </c>
      <c r="E417" s="236" t="s">
        <v>105</v>
      </c>
      <c r="F417" s="236" t="s">
        <v>974</v>
      </c>
      <c r="G417" s="237">
        <v>24.0</v>
      </c>
      <c r="H417" s="237">
        <v>8.0</v>
      </c>
      <c r="I417" s="237">
        <v>16.0</v>
      </c>
      <c r="J417" s="237">
        <v>24.0</v>
      </c>
      <c r="K417" s="237">
        <v>7.0</v>
      </c>
      <c r="L417" s="237">
        <v>17.0</v>
      </c>
      <c r="M417" s="237">
        <v>71.0</v>
      </c>
      <c r="N417" s="237">
        <v>68.0</v>
      </c>
      <c r="O417" s="1"/>
    </row>
    <row r="418">
      <c r="A418" s="260" t="str">
        <f t="shared" si="1"/>
        <v>Nelsson</v>
      </c>
      <c r="B418" s="237">
        <v>7018.0</v>
      </c>
      <c r="C418" s="236" t="s">
        <v>480</v>
      </c>
      <c r="D418" s="236" t="s">
        <v>481</v>
      </c>
      <c r="E418" s="236" t="s">
        <v>1121</v>
      </c>
      <c r="F418" s="236" t="s">
        <v>983</v>
      </c>
      <c r="G418" s="237">
        <v>4.0</v>
      </c>
      <c r="H418" s="237">
        <v>5.0</v>
      </c>
      <c r="I418" s="237">
        <v>-1.0</v>
      </c>
      <c r="J418" s="237">
        <v>4.0</v>
      </c>
      <c r="K418" s="237">
        <v>5.0</v>
      </c>
      <c r="L418" s="237">
        <v>-1.0</v>
      </c>
      <c r="M418" s="237">
        <v>14.0</v>
      </c>
      <c r="N418" s="237">
        <v>14.0</v>
      </c>
      <c r="O418" s="1"/>
    </row>
    <row r="419">
      <c r="A419" s="260" t="str">
        <f t="shared" si="1"/>
        <v>Pellegrino M.</v>
      </c>
      <c r="B419" s="237">
        <v>7023.0</v>
      </c>
      <c r="C419" s="236" t="s">
        <v>507</v>
      </c>
      <c r="D419" s="236" t="s">
        <v>512</v>
      </c>
      <c r="E419" s="236" t="s">
        <v>1146</v>
      </c>
      <c r="F419" s="236" t="s">
        <v>985</v>
      </c>
      <c r="G419" s="237">
        <v>20.0</v>
      </c>
      <c r="H419" s="237">
        <v>13.0</v>
      </c>
      <c r="I419" s="237">
        <v>7.0</v>
      </c>
      <c r="J419" s="237">
        <v>20.0</v>
      </c>
      <c r="K419" s="237">
        <v>12.0</v>
      </c>
      <c r="L419" s="237">
        <v>8.0</v>
      </c>
      <c r="M419" s="237">
        <v>72.0</v>
      </c>
      <c r="N419" s="237">
        <v>69.0</v>
      </c>
      <c r="O419" s="1"/>
    </row>
    <row r="420">
      <c r="A420" s="260" t="str">
        <f t="shared" si="1"/>
        <v>Bernede</v>
      </c>
      <c r="B420" s="237">
        <v>7028.0</v>
      </c>
      <c r="C420" s="236" t="s">
        <v>492</v>
      </c>
      <c r="D420" s="236" t="s">
        <v>492</v>
      </c>
      <c r="E420" s="236" t="s">
        <v>230</v>
      </c>
      <c r="F420" s="236" t="s">
        <v>983</v>
      </c>
      <c r="G420" s="237">
        <v>9.0</v>
      </c>
      <c r="H420" s="237">
        <v>4.0</v>
      </c>
      <c r="I420" s="237">
        <v>5.0</v>
      </c>
      <c r="J420" s="237">
        <v>9.0</v>
      </c>
      <c r="K420" s="237">
        <v>4.0</v>
      </c>
      <c r="L420" s="237">
        <v>5.0</v>
      </c>
      <c r="M420" s="237">
        <v>15.0</v>
      </c>
      <c r="N420" s="237">
        <v>15.0</v>
      </c>
      <c r="O420" s="1"/>
    </row>
    <row r="421">
      <c r="A421" s="260" t="str">
        <f t="shared" si="1"/>
        <v>Bakola</v>
      </c>
      <c r="B421" s="237">
        <v>7036.0</v>
      </c>
      <c r="C421" s="236" t="s">
        <v>492</v>
      </c>
      <c r="D421" s="236" t="s">
        <v>934</v>
      </c>
      <c r="E421" s="236" t="s">
        <v>463</v>
      </c>
      <c r="F421" s="236" t="s">
        <v>1005</v>
      </c>
      <c r="G421" s="237">
        <v>3.0</v>
      </c>
      <c r="H421" s="237">
        <v>3.0</v>
      </c>
      <c r="I421" s="237">
        <v>0.0</v>
      </c>
      <c r="J421" s="237">
        <v>3.0</v>
      </c>
      <c r="K421" s="237">
        <v>3.0</v>
      </c>
      <c r="L421" s="237">
        <v>0.0</v>
      </c>
      <c r="M421" s="237">
        <v>8.0</v>
      </c>
      <c r="N421" s="237">
        <v>8.0</v>
      </c>
      <c r="O421" s="1"/>
    </row>
    <row r="422">
      <c r="A422" s="260" t="str">
        <f t="shared" si="1"/>
        <v>Calligaris</v>
      </c>
      <c r="B422" s="237">
        <v>7042.0</v>
      </c>
      <c r="C422" s="236" t="s">
        <v>477</v>
      </c>
      <c r="D422" s="236" t="s">
        <v>478</v>
      </c>
      <c r="E422" s="236" t="s">
        <v>1561</v>
      </c>
      <c r="F422" s="236" t="s">
        <v>973</v>
      </c>
      <c r="G422" s="237">
        <v>1.0</v>
      </c>
      <c r="H422" s="237">
        <v>1.0</v>
      </c>
      <c r="I422" s="237">
        <v>0.0</v>
      </c>
      <c r="J422" s="237">
        <v>1.0</v>
      </c>
      <c r="K422" s="237">
        <v>1.0</v>
      </c>
      <c r="L422" s="237">
        <v>0.0</v>
      </c>
      <c r="M422" s="237">
        <v>1.0</v>
      </c>
      <c r="N422" s="237">
        <v>1.0</v>
      </c>
      <c r="O422" s="1"/>
    </row>
    <row r="423">
      <c r="A423" s="260" t="str">
        <f t="shared" si="1"/>
        <v>Vitik</v>
      </c>
      <c r="B423" s="237">
        <v>7068.0</v>
      </c>
      <c r="C423" s="236" t="s">
        <v>480</v>
      </c>
      <c r="D423" s="236" t="s">
        <v>481</v>
      </c>
      <c r="E423" s="236" t="s">
        <v>1212</v>
      </c>
      <c r="F423" s="236" t="s">
        <v>1009</v>
      </c>
      <c r="G423" s="237">
        <v>4.0</v>
      </c>
      <c r="H423" s="237">
        <v>8.0</v>
      </c>
      <c r="I423" s="237">
        <v>-4.0</v>
      </c>
      <c r="J423" s="237">
        <v>4.0</v>
      </c>
      <c r="K423" s="237">
        <v>8.0</v>
      </c>
      <c r="L423" s="237">
        <v>-4.0</v>
      </c>
      <c r="M423" s="237">
        <v>13.0</v>
      </c>
      <c r="N423" s="237">
        <v>13.0</v>
      </c>
      <c r="O423" s="1"/>
    </row>
    <row r="424">
      <c r="A424" s="260" t="str">
        <f t="shared" si="1"/>
        <v>Fortini</v>
      </c>
      <c r="B424" s="237">
        <v>7069.0</v>
      </c>
      <c r="C424" s="236" t="s">
        <v>480</v>
      </c>
      <c r="D424" s="236" t="s">
        <v>521</v>
      </c>
      <c r="E424" s="236" t="s">
        <v>420</v>
      </c>
      <c r="F424" s="236" t="s">
        <v>1033</v>
      </c>
      <c r="G424" s="237">
        <v>6.0</v>
      </c>
      <c r="H424" s="237">
        <v>3.0</v>
      </c>
      <c r="I424" s="237">
        <v>3.0</v>
      </c>
      <c r="J424" s="237">
        <v>6.0</v>
      </c>
      <c r="K424" s="237">
        <v>3.0</v>
      </c>
      <c r="L424" s="237">
        <v>3.0</v>
      </c>
      <c r="M424" s="237">
        <v>9.0</v>
      </c>
      <c r="N424" s="237">
        <v>9.0</v>
      </c>
      <c r="O424" s="1"/>
    </row>
    <row r="425">
      <c r="A425" s="260" t="str">
        <f t="shared" si="1"/>
        <v>Sucic P.</v>
      </c>
      <c r="B425" s="237">
        <v>7070.0</v>
      </c>
      <c r="C425" s="236" t="s">
        <v>492</v>
      </c>
      <c r="D425" s="236" t="s">
        <v>492</v>
      </c>
      <c r="E425" s="236" t="s">
        <v>1190</v>
      </c>
      <c r="F425" s="236" t="s">
        <v>973</v>
      </c>
      <c r="G425" s="237">
        <v>11.0</v>
      </c>
      <c r="H425" s="237">
        <v>9.0</v>
      </c>
      <c r="I425" s="237">
        <v>2.0</v>
      </c>
      <c r="J425" s="237">
        <v>11.0</v>
      </c>
      <c r="K425" s="237">
        <v>9.0</v>
      </c>
      <c r="L425" s="237">
        <v>2.0</v>
      </c>
      <c r="M425" s="237">
        <v>18.0</v>
      </c>
      <c r="N425" s="237">
        <v>18.0</v>
      </c>
      <c r="O425" s="1"/>
    </row>
    <row r="426">
      <c r="A426" s="260" t="str">
        <f t="shared" si="1"/>
        <v>Esposito F.P.</v>
      </c>
      <c r="B426" s="237">
        <v>7071.0</v>
      </c>
      <c r="C426" s="236" t="s">
        <v>507</v>
      </c>
      <c r="D426" s="236" t="s">
        <v>512</v>
      </c>
      <c r="E426" s="236" t="s">
        <v>1058</v>
      </c>
      <c r="F426" s="236" t="s">
        <v>973</v>
      </c>
      <c r="G426" s="237">
        <v>20.0</v>
      </c>
      <c r="H426" s="237">
        <v>7.0</v>
      </c>
      <c r="I426" s="237">
        <v>13.0</v>
      </c>
      <c r="J426" s="237">
        <v>20.0</v>
      </c>
      <c r="K426" s="237">
        <v>7.0</v>
      </c>
      <c r="L426" s="237">
        <v>13.0</v>
      </c>
      <c r="M426" s="237">
        <v>38.0</v>
      </c>
      <c r="N426" s="237">
        <v>35.0</v>
      </c>
      <c r="O426" s="1"/>
    </row>
    <row r="427">
      <c r="A427" s="260" t="str">
        <f t="shared" si="1"/>
        <v>Idrissi R.</v>
      </c>
      <c r="B427" s="237">
        <v>7125.0</v>
      </c>
      <c r="C427" s="236" t="s">
        <v>480</v>
      </c>
      <c r="D427" s="236" t="s">
        <v>931</v>
      </c>
      <c r="E427" s="236" t="s">
        <v>184</v>
      </c>
      <c r="F427" s="236" t="s">
        <v>975</v>
      </c>
      <c r="G427" s="237">
        <v>10.0</v>
      </c>
      <c r="H427" s="237">
        <v>3.0</v>
      </c>
      <c r="I427" s="237">
        <v>7.0</v>
      </c>
      <c r="J427" s="237">
        <v>10.0</v>
      </c>
      <c r="K427" s="237">
        <v>3.0</v>
      </c>
      <c r="L427" s="237">
        <v>7.0</v>
      </c>
      <c r="M427" s="237">
        <v>13.0</v>
      </c>
      <c r="N427" s="237">
        <v>13.0</v>
      </c>
      <c r="O427" s="1"/>
    </row>
    <row r="428">
      <c r="A428" s="260" t="str">
        <f t="shared" si="1"/>
        <v>Baturina</v>
      </c>
      <c r="B428" s="237">
        <v>7126.0</v>
      </c>
      <c r="C428" s="236" t="s">
        <v>492</v>
      </c>
      <c r="D428" s="236" t="s">
        <v>543</v>
      </c>
      <c r="E428" s="236" t="s">
        <v>231</v>
      </c>
      <c r="F428" s="236" t="s">
        <v>974</v>
      </c>
      <c r="G428" s="237">
        <v>17.0</v>
      </c>
      <c r="H428" s="237">
        <v>9.0</v>
      </c>
      <c r="I428" s="237">
        <v>8.0</v>
      </c>
      <c r="J428" s="237">
        <v>17.0</v>
      </c>
      <c r="K428" s="237">
        <v>8.0</v>
      </c>
      <c r="L428" s="237">
        <v>9.0</v>
      </c>
      <c r="M428" s="237">
        <v>43.0</v>
      </c>
      <c r="N428" s="237">
        <v>43.0</v>
      </c>
      <c r="O428" s="1"/>
    </row>
    <row r="429">
      <c r="A429" s="260" t="str">
        <f t="shared" si="1"/>
        <v>Addai</v>
      </c>
      <c r="B429" s="237">
        <v>7127.0</v>
      </c>
      <c r="C429" s="236" t="s">
        <v>507</v>
      </c>
      <c r="D429" s="236" t="s">
        <v>935</v>
      </c>
      <c r="E429" s="236" t="s">
        <v>426</v>
      </c>
      <c r="F429" s="236" t="s">
        <v>974</v>
      </c>
      <c r="G429" s="237">
        <v>11.0</v>
      </c>
      <c r="H429" s="237">
        <v>7.0</v>
      </c>
      <c r="I429" s="237">
        <v>4.0</v>
      </c>
      <c r="J429" s="237">
        <v>11.0</v>
      </c>
      <c r="K429" s="237">
        <v>7.0</v>
      </c>
      <c r="L429" s="237">
        <v>4.0</v>
      </c>
      <c r="M429" s="237">
        <v>13.0</v>
      </c>
      <c r="N429" s="237">
        <v>16.0</v>
      </c>
      <c r="O429" s="1"/>
    </row>
    <row r="430">
      <c r="A430" s="260" t="str">
        <f t="shared" si="1"/>
        <v>Kuhn</v>
      </c>
      <c r="B430" s="237">
        <v>7128.0</v>
      </c>
      <c r="C430" s="236" t="s">
        <v>507</v>
      </c>
      <c r="D430" s="236" t="s">
        <v>935</v>
      </c>
      <c r="E430" s="236" t="s">
        <v>1093</v>
      </c>
      <c r="F430" s="236" t="s">
        <v>974</v>
      </c>
      <c r="G430" s="237">
        <v>6.0</v>
      </c>
      <c r="H430" s="237">
        <v>14.0</v>
      </c>
      <c r="I430" s="237">
        <v>-8.0</v>
      </c>
      <c r="J430" s="237">
        <v>6.0</v>
      </c>
      <c r="K430" s="237">
        <v>15.0</v>
      </c>
      <c r="L430" s="237">
        <v>-9.0</v>
      </c>
      <c r="M430" s="237">
        <v>11.0</v>
      </c>
      <c r="N430" s="237">
        <v>14.0</v>
      </c>
      <c r="O430" s="1"/>
    </row>
    <row r="431">
      <c r="A431" s="260" t="str">
        <f t="shared" si="1"/>
        <v>Rodriguez Je.</v>
      </c>
      <c r="B431" s="237">
        <v>7129.0</v>
      </c>
      <c r="C431" s="236" t="s">
        <v>507</v>
      </c>
      <c r="D431" s="236" t="s">
        <v>935</v>
      </c>
      <c r="E431" s="236" t="s">
        <v>1161</v>
      </c>
      <c r="F431" s="236" t="s">
        <v>974</v>
      </c>
      <c r="G431" s="237">
        <v>12.0</v>
      </c>
      <c r="H431" s="237">
        <v>5.0</v>
      </c>
      <c r="I431" s="237">
        <v>7.0</v>
      </c>
      <c r="J431" s="237">
        <v>12.0</v>
      </c>
      <c r="K431" s="237">
        <v>5.0</v>
      </c>
      <c r="L431" s="237">
        <v>7.0</v>
      </c>
      <c r="M431" s="237">
        <v>23.0</v>
      </c>
      <c r="N431" s="237">
        <v>25.0</v>
      </c>
      <c r="O431" s="1"/>
    </row>
    <row r="432">
      <c r="A432" s="260" t="str">
        <f t="shared" si="1"/>
        <v>Folino</v>
      </c>
      <c r="B432" s="237">
        <v>7130.0</v>
      </c>
      <c r="C432" s="236" t="s">
        <v>480</v>
      </c>
      <c r="D432" s="236" t="s">
        <v>481</v>
      </c>
      <c r="E432" s="236" t="s">
        <v>1064</v>
      </c>
      <c r="F432" s="236" t="s">
        <v>995</v>
      </c>
      <c r="G432" s="237">
        <v>8.0</v>
      </c>
      <c r="H432" s="237">
        <v>4.0</v>
      </c>
      <c r="I432" s="237">
        <v>4.0</v>
      </c>
      <c r="J432" s="237">
        <v>8.0</v>
      </c>
      <c r="K432" s="237">
        <v>4.0</v>
      </c>
      <c r="L432" s="237">
        <v>4.0</v>
      </c>
      <c r="M432" s="237">
        <v>5.0</v>
      </c>
      <c r="N432" s="237">
        <v>5.0</v>
      </c>
      <c r="O432" s="1"/>
    </row>
    <row r="433">
      <c r="A433" s="260" t="str">
        <f t="shared" si="1"/>
        <v>Floriani Mussolini</v>
      </c>
      <c r="B433" s="237">
        <v>7131.0</v>
      </c>
      <c r="C433" s="236" t="s">
        <v>480</v>
      </c>
      <c r="D433" s="236" t="s">
        <v>938</v>
      </c>
      <c r="E433" s="236" t="s">
        <v>1063</v>
      </c>
      <c r="F433" s="236" t="s">
        <v>995</v>
      </c>
      <c r="G433" s="237">
        <v>4.0</v>
      </c>
      <c r="H433" s="237">
        <v>5.0</v>
      </c>
      <c r="I433" s="237">
        <v>-1.0</v>
      </c>
      <c r="J433" s="237">
        <v>4.0</v>
      </c>
      <c r="K433" s="237">
        <v>5.0</v>
      </c>
      <c r="L433" s="237">
        <v>-1.0</v>
      </c>
      <c r="M433" s="237">
        <v>10.0</v>
      </c>
      <c r="N433" s="237">
        <v>10.0</v>
      </c>
      <c r="O433" s="1"/>
    </row>
    <row r="434">
      <c r="A434" s="260" t="str">
        <f t="shared" si="1"/>
        <v>Collocolo</v>
      </c>
      <c r="B434" s="237">
        <v>7132.0</v>
      </c>
      <c r="C434" s="236" t="s">
        <v>492</v>
      </c>
      <c r="D434" s="236" t="s">
        <v>930</v>
      </c>
      <c r="E434" s="236" t="s">
        <v>1032</v>
      </c>
      <c r="F434" s="236" t="s">
        <v>995</v>
      </c>
      <c r="G434" s="237">
        <v>2.0</v>
      </c>
      <c r="H434" s="237">
        <v>8.0</v>
      </c>
      <c r="I434" s="237">
        <v>-6.0</v>
      </c>
      <c r="J434" s="237">
        <v>2.0</v>
      </c>
      <c r="K434" s="237">
        <v>9.0</v>
      </c>
      <c r="L434" s="237">
        <v>-7.0</v>
      </c>
      <c r="M434" s="237">
        <v>13.0</v>
      </c>
      <c r="N434" s="237">
        <v>16.0</v>
      </c>
      <c r="O434" s="1"/>
    </row>
    <row r="435">
      <c r="A435" s="260" t="str">
        <f t="shared" si="1"/>
        <v>Vandeputte</v>
      </c>
      <c r="B435" s="237">
        <v>7133.0</v>
      </c>
      <c r="C435" s="236" t="s">
        <v>492</v>
      </c>
      <c r="D435" s="236" t="s">
        <v>1057</v>
      </c>
      <c r="E435" s="236" t="s">
        <v>1206</v>
      </c>
      <c r="F435" s="236" t="s">
        <v>995</v>
      </c>
      <c r="G435" s="237">
        <v>13.0</v>
      </c>
      <c r="H435" s="237">
        <v>12.0</v>
      </c>
      <c r="I435" s="237">
        <v>1.0</v>
      </c>
      <c r="J435" s="237">
        <v>13.0</v>
      </c>
      <c r="K435" s="237">
        <v>12.0</v>
      </c>
      <c r="L435" s="237">
        <v>1.0</v>
      </c>
      <c r="M435" s="237">
        <v>20.0</v>
      </c>
      <c r="N435" s="237">
        <v>22.0</v>
      </c>
      <c r="O435" s="1"/>
    </row>
    <row r="436">
      <c r="A436" s="260" t="str">
        <f t="shared" si="1"/>
        <v>Ordonez C.</v>
      </c>
      <c r="B436" s="237">
        <v>7138.0</v>
      </c>
      <c r="C436" s="236" t="s">
        <v>492</v>
      </c>
      <c r="D436" s="236" t="s">
        <v>930</v>
      </c>
      <c r="E436" s="236" t="s">
        <v>1136</v>
      </c>
      <c r="F436" s="236" t="s">
        <v>985</v>
      </c>
      <c r="G436" s="237">
        <v>2.0</v>
      </c>
      <c r="H436" s="237">
        <v>5.0</v>
      </c>
      <c r="I436" s="237">
        <v>-3.0</v>
      </c>
      <c r="J436" s="237">
        <v>2.0</v>
      </c>
      <c r="K436" s="237">
        <v>6.0</v>
      </c>
      <c r="L436" s="237">
        <v>-4.0</v>
      </c>
      <c r="M436" s="237">
        <v>10.0</v>
      </c>
      <c r="N436" s="237">
        <v>13.0</v>
      </c>
      <c r="O436" s="1"/>
    </row>
    <row r="437">
      <c r="A437" s="260" t="str">
        <f t="shared" si="1"/>
        <v>Canestrelli</v>
      </c>
      <c r="B437" s="237">
        <v>7139.0</v>
      </c>
      <c r="C437" s="236" t="s">
        <v>480</v>
      </c>
      <c r="D437" s="236" t="s">
        <v>481</v>
      </c>
      <c r="E437" s="236" t="s">
        <v>1023</v>
      </c>
      <c r="F437" s="236" t="s">
        <v>977</v>
      </c>
      <c r="G437" s="237">
        <v>5.0</v>
      </c>
      <c r="H437" s="237">
        <v>3.0</v>
      </c>
      <c r="I437" s="237">
        <v>2.0</v>
      </c>
      <c r="J437" s="237">
        <v>5.0</v>
      </c>
      <c r="K437" s="237">
        <v>3.0</v>
      </c>
      <c r="L437" s="237">
        <v>2.0</v>
      </c>
      <c r="M437" s="237">
        <v>12.0</v>
      </c>
      <c r="N437" s="237">
        <v>12.0</v>
      </c>
      <c r="O437" s="1"/>
    </row>
    <row r="438">
      <c r="A438" s="260" t="str">
        <f t="shared" si="1"/>
        <v>Coppola F.</v>
      </c>
      <c r="B438" s="237">
        <v>7140.0</v>
      </c>
      <c r="C438" s="236" t="s">
        <v>480</v>
      </c>
      <c r="D438" s="236" t="s">
        <v>481</v>
      </c>
      <c r="E438" s="236" t="s">
        <v>1034</v>
      </c>
      <c r="F438" s="236" t="s">
        <v>977</v>
      </c>
      <c r="G438" s="237">
        <v>2.0</v>
      </c>
      <c r="H438" s="237">
        <v>1.0</v>
      </c>
      <c r="I438" s="237">
        <v>1.0</v>
      </c>
      <c r="J438" s="237">
        <v>2.0</v>
      </c>
      <c r="K438" s="237">
        <v>1.0</v>
      </c>
      <c r="L438" s="237">
        <v>1.0</v>
      </c>
      <c r="M438" s="237">
        <v>4.0</v>
      </c>
      <c r="N438" s="237">
        <v>4.0</v>
      </c>
      <c r="O438" s="1"/>
    </row>
    <row r="439">
      <c r="A439" s="260" t="str">
        <f t="shared" si="1"/>
        <v>Angori</v>
      </c>
      <c r="B439" s="237">
        <v>7143.0</v>
      </c>
      <c r="C439" s="236" t="s">
        <v>480</v>
      </c>
      <c r="D439" s="236" t="s">
        <v>931</v>
      </c>
      <c r="E439" s="236" t="s">
        <v>989</v>
      </c>
      <c r="F439" s="236" t="s">
        <v>977</v>
      </c>
      <c r="G439" s="237">
        <v>8.0</v>
      </c>
      <c r="H439" s="237">
        <v>5.0</v>
      </c>
      <c r="I439" s="237">
        <v>3.0</v>
      </c>
      <c r="J439" s="237">
        <v>8.0</v>
      </c>
      <c r="K439" s="237">
        <v>5.0</v>
      </c>
      <c r="L439" s="237">
        <v>3.0</v>
      </c>
      <c r="M439" s="237">
        <v>13.0</v>
      </c>
      <c r="N439" s="237">
        <v>13.0</v>
      </c>
      <c r="O439" s="1"/>
    </row>
    <row r="440">
      <c r="A440" s="260" t="str">
        <f t="shared" si="1"/>
        <v>Piccinini G.</v>
      </c>
      <c r="B440" s="237">
        <v>7145.0</v>
      </c>
      <c r="C440" s="236" t="s">
        <v>492</v>
      </c>
      <c r="D440" s="236" t="s">
        <v>1152</v>
      </c>
      <c r="E440" s="236" t="s">
        <v>1151</v>
      </c>
      <c r="F440" s="236" t="s">
        <v>977</v>
      </c>
      <c r="G440" s="237">
        <v>5.0</v>
      </c>
      <c r="H440" s="237">
        <v>6.0</v>
      </c>
      <c r="I440" s="237">
        <v>-1.0</v>
      </c>
      <c r="J440" s="237">
        <v>5.0</v>
      </c>
      <c r="K440" s="237">
        <v>7.0</v>
      </c>
      <c r="L440" s="237">
        <v>-2.0</v>
      </c>
      <c r="M440" s="237">
        <v>12.0</v>
      </c>
      <c r="N440" s="237">
        <v>15.0</v>
      </c>
      <c r="O440" s="1"/>
    </row>
    <row r="441">
      <c r="A441" s="260" t="str">
        <f t="shared" si="1"/>
        <v>Tourè I.</v>
      </c>
      <c r="B441" s="237">
        <v>7146.0</v>
      </c>
      <c r="C441" s="236" t="s">
        <v>492</v>
      </c>
      <c r="D441" s="236" t="s">
        <v>1152</v>
      </c>
      <c r="E441" s="236" t="s">
        <v>1198</v>
      </c>
      <c r="F441" s="236" t="s">
        <v>977</v>
      </c>
      <c r="G441" s="237">
        <v>9.0</v>
      </c>
      <c r="H441" s="237">
        <v>6.0</v>
      </c>
      <c r="I441" s="237">
        <v>3.0</v>
      </c>
      <c r="J441" s="237">
        <v>9.0</v>
      </c>
      <c r="K441" s="237">
        <v>7.0</v>
      </c>
      <c r="L441" s="237">
        <v>2.0</v>
      </c>
      <c r="M441" s="237">
        <v>24.0</v>
      </c>
      <c r="N441" s="237">
        <v>29.0</v>
      </c>
      <c r="O441" s="1"/>
    </row>
    <row r="442">
      <c r="A442" s="260" t="str">
        <f t="shared" si="1"/>
        <v>Hojholt</v>
      </c>
      <c r="B442" s="237">
        <v>7147.0</v>
      </c>
      <c r="C442" s="236" t="s">
        <v>492</v>
      </c>
      <c r="D442" s="236" t="s">
        <v>930</v>
      </c>
      <c r="E442" s="236" t="s">
        <v>1073</v>
      </c>
      <c r="F442" s="236" t="s">
        <v>977</v>
      </c>
      <c r="G442" s="237">
        <v>1.0</v>
      </c>
      <c r="H442" s="237">
        <v>1.0</v>
      </c>
      <c r="I442" s="237">
        <v>0.0</v>
      </c>
      <c r="J442" s="237">
        <v>1.0</v>
      </c>
      <c r="K442" s="237">
        <v>1.0</v>
      </c>
      <c r="L442" s="237">
        <v>0.0</v>
      </c>
      <c r="M442" s="237">
        <v>2.0</v>
      </c>
      <c r="N442" s="237">
        <v>2.0</v>
      </c>
      <c r="O442" s="1"/>
    </row>
    <row r="443">
      <c r="A443" s="260" t="str">
        <f t="shared" si="1"/>
        <v>Marin M.</v>
      </c>
      <c r="B443" s="237">
        <v>7149.0</v>
      </c>
      <c r="C443" s="236" t="s">
        <v>492</v>
      </c>
      <c r="D443" s="236" t="s">
        <v>930</v>
      </c>
      <c r="E443" s="236" t="s">
        <v>1104</v>
      </c>
      <c r="F443" s="236" t="s">
        <v>977</v>
      </c>
      <c r="G443" s="237">
        <v>4.0</v>
      </c>
      <c r="H443" s="237">
        <v>6.0</v>
      </c>
      <c r="I443" s="237">
        <v>-2.0</v>
      </c>
      <c r="J443" s="237">
        <v>4.0</v>
      </c>
      <c r="K443" s="237">
        <v>6.0</v>
      </c>
      <c r="L443" s="237">
        <v>-2.0</v>
      </c>
      <c r="M443" s="237">
        <v>11.0</v>
      </c>
      <c r="N443" s="237">
        <v>14.0</v>
      </c>
      <c r="O443" s="1"/>
    </row>
    <row r="444">
      <c r="A444" s="260" t="str">
        <f t="shared" si="1"/>
        <v>Vural</v>
      </c>
      <c r="B444" s="237">
        <v>7150.0</v>
      </c>
      <c r="C444" s="236" t="s">
        <v>492</v>
      </c>
      <c r="D444" s="236" t="s">
        <v>492</v>
      </c>
      <c r="E444" s="236" t="s">
        <v>1214</v>
      </c>
      <c r="F444" s="236" t="s">
        <v>977</v>
      </c>
      <c r="G444" s="237">
        <v>2.0</v>
      </c>
      <c r="H444" s="237">
        <v>3.0</v>
      </c>
      <c r="I444" s="237">
        <v>-1.0</v>
      </c>
      <c r="J444" s="237">
        <v>2.0</v>
      </c>
      <c r="K444" s="237">
        <v>3.0</v>
      </c>
      <c r="L444" s="237">
        <v>-1.0</v>
      </c>
      <c r="M444" s="237">
        <v>6.0</v>
      </c>
      <c r="N444" s="237">
        <v>6.0</v>
      </c>
      <c r="O444" s="1"/>
    </row>
    <row r="445">
      <c r="A445" s="260" t="str">
        <f t="shared" si="1"/>
        <v>Muharemovic</v>
      </c>
      <c r="B445" s="237">
        <v>7155.0</v>
      </c>
      <c r="C445" s="236" t="s">
        <v>480</v>
      </c>
      <c r="D445" s="236" t="s">
        <v>481</v>
      </c>
      <c r="E445" s="236" t="s">
        <v>1114</v>
      </c>
      <c r="F445" s="236" t="s">
        <v>1005</v>
      </c>
      <c r="G445" s="237">
        <v>8.0</v>
      </c>
      <c r="H445" s="237">
        <v>5.0</v>
      </c>
      <c r="I445" s="237">
        <v>3.0</v>
      </c>
      <c r="J445" s="237">
        <v>8.0</v>
      </c>
      <c r="K445" s="237">
        <v>5.0</v>
      </c>
      <c r="L445" s="237">
        <v>3.0</v>
      </c>
      <c r="M445" s="237">
        <v>20.0</v>
      </c>
      <c r="N445" s="237">
        <v>20.0</v>
      </c>
      <c r="O445" s="1"/>
    </row>
    <row r="446">
      <c r="A446" s="260" t="str">
        <f t="shared" si="1"/>
        <v>Pieragnolo</v>
      </c>
      <c r="B446" s="237">
        <v>7156.0</v>
      </c>
      <c r="C446" s="236" t="s">
        <v>480</v>
      </c>
      <c r="D446" s="236" t="s">
        <v>931</v>
      </c>
      <c r="E446" s="236" t="s">
        <v>1153</v>
      </c>
      <c r="F446" s="236" t="s">
        <v>1005</v>
      </c>
      <c r="G446" s="237">
        <v>1.0</v>
      </c>
      <c r="H446" s="237">
        <v>2.0</v>
      </c>
      <c r="I446" s="237">
        <v>-1.0</v>
      </c>
      <c r="J446" s="237">
        <v>1.0</v>
      </c>
      <c r="K446" s="237">
        <v>2.0</v>
      </c>
      <c r="L446" s="237">
        <v>-1.0</v>
      </c>
      <c r="M446" s="237">
        <v>3.0</v>
      </c>
      <c r="N446" s="237">
        <v>3.0</v>
      </c>
      <c r="O446" s="1"/>
    </row>
    <row r="447">
      <c r="A447" s="260" t="str">
        <f t="shared" si="1"/>
        <v>Iannoni</v>
      </c>
      <c r="B447" s="237">
        <v>7157.0</v>
      </c>
      <c r="C447" s="236" t="s">
        <v>492</v>
      </c>
      <c r="D447" s="236" t="s">
        <v>492</v>
      </c>
      <c r="E447" s="236" t="s">
        <v>1076</v>
      </c>
      <c r="F447" s="236" t="s">
        <v>1005</v>
      </c>
      <c r="G447" s="237">
        <v>4.0</v>
      </c>
      <c r="H447" s="237">
        <v>1.0</v>
      </c>
      <c r="I447" s="237">
        <v>3.0</v>
      </c>
      <c r="J447" s="237">
        <v>4.0</v>
      </c>
      <c r="K447" s="237">
        <v>1.0</v>
      </c>
      <c r="L447" s="237">
        <v>3.0</v>
      </c>
      <c r="M447" s="237">
        <v>8.0</v>
      </c>
      <c r="N447" s="237">
        <v>8.0</v>
      </c>
      <c r="O447" s="1"/>
    </row>
    <row r="448">
      <c r="A448" s="260" t="str">
        <f t="shared" si="1"/>
        <v>Moro L.</v>
      </c>
      <c r="B448" s="237">
        <v>7158.0</v>
      </c>
      <c r="C448" s="236" t="s">
        <v>507</v>
      </c>
      <c r="D448" s="236" t="s">
        <v>512</v>
      </c>
      <c r="E448" s="236" t="s">
        <v>1112</v>
      </c>
      <c r="F448" s="236" t="s">
        <v>1005</v>
      </c>
      <c r="G448" s="237">
        <v>2.0</v>
      </c>
      <c r="H448" s="237">
        <v>1.0</v>
      </c>
      <c r="I448" s="237">
        <v>1.0</v>
      </c>
      <c r="J448" s="237">
        <v>2.0</v>
      </c>
      <c r="K448" s="237">
        <v>1.0</v>
      </c>
      <c r="L448" s="237">
        <v>1.0</v>
      </c>
      <c r="M448" s="237">
        <v>1.0</v>
      </c>
      <c r="N448" s="237">
        <v>1.0</v>
      </c>
      <c r="O448" s="1"/>
    </row>
    <row r="449">
      <c r="A449" s="260" t="str">
        <f t="shared" si="1"/>
        <v>Bayo V.</v>
      </c>
      <c r="B449" s="237">
        <v>7161.0</v>
      </c>
      <c r="C449" s="236" t="s">
        <v>507</v>
      </c>
      <c r="D449" s="236" t="s">
        <v>512</v>
      </c>
      <c r="E449" s="236" t="s">
        <v>1001</v>
      </c>
      <c r="F449" s="236" t="s">
        <v>993</v>
      </c>
      <c r="G449" s="237">
        <v>3.0</v>
      </c>
      <c r="H449" s="237">
        <v>4.0</v>
      </c>
      <c r="I449" s="237">
        <v>-1.0</v>
      </c>
      <c r="J449" s="237">
        <v>3.0</v>
      </c>
      <c r="K449" s="237">
        <v>4.0</v>
      </c>
      <c r="L449" s="237">
        <v>-1.0</v>
      </c>
      <c r="M449" s="237">
        <v>8.0</v>
      </c>
      <c r="N449" s="237">
        <v>8.0</v>
      </c>
      <c r="O449" s="1"/>
    </row>
    <row r="450">
      <c r="A450" s="260" t="str">
        <f t="shared" si="1"/>
        <v>Giovane</v>
      </c>
      <c r="B450" s="237">
        <v>7162.0</v>
      </c>
      <c r="C450" s="236" t="s">
        <v>507</v>
      </c>
      <c r="D450" s="236" t="s">
        <v>507</v>
      </c>
      <c r="E450" s="236" t="s">
        <v>188</v>
      </c>
      <c r="F450" s="236" t="s">
        <v>987</v>
      </c>
      <c r="G450" s="237">
        <v>16.0</v>
      </c>
      <c r="H450" s="237">
        <v>1.0</v>
      </c>
      <c r="I450" s="237">
        <v>15.0</v>
      </c>
      <c r="J450" s="237">
        <v>16.0</v>
      </c>
      <c r="K450" s="237">
        <v>1.0</v>
      </c>
      <c r="L450" s="237">
        <v>15.0</v>
      </c>
      <c r="M450" s="237">
        <v>17.0</v>
      </c>
      <c r="N450" s="237">
        <v>17.0</v>
      </c>
      <c r="O450" s="1"/>
    </row>
    <row r="451">
      <c r="A451" s="260" t="str">
        <f t="shared" si="1"/>
        <v>Perez M.</v>
      </c>
      <c r="B451" s="237">
        <v>7164.0</v>
      </c>
      <c r="C451" s="236" t="s">
        <v>480</v>
      </c>
      <c r="D451" s="236" t="s">
        <v>937</v>
      </c>
      <c r="E451" s="236" t="s">
        <v>1147</v>
      </c>
      <c r="F451" s="236" t="s">
        <v>998</v>
      </c>
      <c r="G451" s="237">
        <v>1.0</v>
      </c>
      <c r="H451" s="237">
        <v>1.0</v>
      </c>
      <c r="I451" s="237">
        <v>0.0</v>
      </c>
      <c r="J451" s="237">
        <v>1.0</v>
      </c>
      <c r="K451" s="237">
        <v>1.0</v>
      </c>
      <c r="L451" s="237">
        <v>0.0</v>
      </c>
      <c r="M451" s="237">
        <v>2.0</v>
      </c>
      <c r="N451" s="237">
        <v>2.0</v>
      </c>
      <c r="O451" s="1"/>
    </row>
    <row r="452">
      <c r="A452" s="260" t="str">
        <f t="shared" si="1"/>
        <v>Liteta</v>
      </c>
      <c r="B452" s="237">
        <v>7165.0</v>
      </c>
      <c r="C452" s="236" t="s">
        <v>492</v>
      </c>
      <c r="D452" s="236" t="s">
        <v>930</v>
      </c>
      <c r="E452" s="236" t="s">
        <v>234</v>
      </c>
      <c r="F452" s="236" t="s">
        <v>975</v>
      </c>
      <c r="G452" s="237">
        <v>1.0</v>
      </c>
      <c r="H452" s="237">
        <v>1.0</v>
      </c>
      <c r="I452" s="237">
        <v>0.0</v>
      </c>
      <c r="J452" s="237">
        <v>1.0</v>
      </c>
      <c r="K452" s="237">
        <v>1.0</v>
      </c>
      <c r="L452" s="237">
        <v>0.0</v>
      </c>
      <c r="M452" s="237">
        <v>6.0</v>
      </c>
      <c r="N452" s="237">
        <v>8.0</v>
      </c>
      <c r="O452" s="1"/>
    </row>
    <row r="453">
      <c r="A453" s="260" t="str">
        <f t="shared" si="1"/>
        <v>Zelezny</v>
      </c>
      <c r="B453" s="237">
        <v>7169.0</v>
      </c>
      <c r="C453" s="236" t="s">
        <v>477</v>
      </c>
      <c r="D453" s="236" t="s">
        <v>478</v>
      </c>
      <c r="E453" s="236" t="s">
        <v>134</v>
      </c>
      <c r="F453" s="236" t="s">
        <v>988</v>
      </c>
      <c r="G453" s="237">
        <v>1.0</v>
      </c>
      <c r="H453" s="237">
        <v>1.0</v>
      </c>
      <c r="I453" s="237">
        <v>0.0</v>
      </c>
      <c r="J453" s="237">
        <v>1.0</v>
      </c>
      <c r="K453" s="237">
        <v>1.0</v>
      </c>
      <c r="L453" s="237">
        <v>0.0</v>
      </c>
      <c r="M453" s="237">
        <v>1.0</v>
      </c>
      <c r="N453" s="237">
        <v>1.0</v>
      </c>
      <c r="O453" s="1"/>
    </row>
    <row r="454">
      <c r="A454" s="260" t="str">
        <f t="shared" si="1"/>
        <v>Pessina Mas.</v>
      </c>
      <c r="B454" s="237">
        <v>7172.0</v>
      </c>
      <c r="C454" s="236" t="s">
        <v>477</v>
      </c>
      <c r="D454" s="236" t="s">
        <v>478</v>
      </c>
      <c r="E454" s="236" t="s">
        <v>1150</v>
      </c>
      <c r="F454" s="236" t="s">
        <v>1009</v>
      </c>
      <c r="G454" s="237">
        <v>1.0</v>
      </c>
      <c r="H454" s="237">
        <v>1.0</v>
      </c>
      <c r="I454" s="237">
        <v>0.0</v>
      </c>
      <c r="J454" s="237">
        <v>1.0</v>
      </c>
      <c r="K454" s="237">
        <v>1.0</v>
      </c>
      <c r="L454" s="237">
        <v>0.0</v>
      </c>
      <c r="M454" s="237">
        <v>1.0</v>
      </c>
      <c r="N454" s="237">
        <v>1.0</v>
      </c>
      <c r="O454" s="1"/>
    </row>
    <row r="455">
      <c r="A455" s="260" t="str">
        <f t="shared" si="1"/>
        <v>Joao Mario</v>
      </c>
      <c r="B455" s="237">
        <v>7175.0</v>
      </c>
      <c r="C455" s="236" t="s">
        <v>480</v>
      </c>
      <c r="D455" s="236" t="s">
        <v>521</v>
      </c>
      <c r="E455" s="236" t="s">
        <v>1081</v>
      </c>
      <c r="F455" s="236" t="s">
        <v>1009</v>
      </c>
      <c r="G455" s="237">
        <v>1.0</v>
      </c>
      <c r="H455" s="237">
        <v>8.0</v>
      </c>
      <c r="I455" s="237">
        <v>-7.0</v>
      </c>
      <c r="J455" s="237">
        <v>1.0</v>
      </c>
      <c r="K455" s="237">
        <v>7.0</v>
      </c>
      <c r="L455" s="237">
        <v>-6.0</v>
      </c>
      <c r="M455" s="237">
        <v>8.0</v>
      </c>
      <c r="N455" s="237">
        <v>8.0</v>
      </c>
      <c r="O455" s="1"/>
    </row>
    <row r="456">
      <c r="A456" s="260" t="str">
        <f t="shared" si="1"/>
        <v>Israel</v>
      </c>
      <c r="B456" s="237">
        <v>7179.0</v>
      </c>
      <c r="C456" s="236" t="s">
        <v>477</v>
      </c>
      <c r="D456" s="236" t="s">
        <v>478</v>
      </c>
      <c r="E456" s="236" t="s">
        <v>1079</v>
      </c>
      <c r="F456" s="236" t="s">
        <v>972</v>
      </c>
      <c r="G456" s="237">
        <v>2.0</v>
      </c>
      <c r="H456" s="237">
        <v>9.0</v>
      </c>
      <c r="I456" s="237">
        <v>-7.0</v>
      </c>
      <c r="J456" s="237">
        <v>2.0</v>
      </c>
      <c r="K456" s="237">
        <v>9.0</v>
      </c>
      <c r="L456" s="237">
        <v>-7.0</v>
      </c>
      <c r="M456" s="237">
        <v>1.0</v>
      </c>
      <c r="N456" s="237">
        <v>1.0</v>
      </c>
      <c r="O456" s="1"/>
    </row>
    <row r="457">
      <c r="A457" s="260" t="str">
        <f t="shared" si="1"/>
        <v>Wesley</v>
      </c>
      <c r="B457" s="237">
        <v>7181.0</v>
      </c>
      <c r="C457" s="236" t="s">
        <v>480</v>
      </c>
      <c r="D457" s="236" t="s">
        <v>521</v>
      </c>
      <c r="E457" s="236" t="s">
        <v>1215</v>
      </c>
      <c r="F457" s="236" t="s">
        <v>988</v>
      </c>
      <c r="G457" s="237">
        <v>15.0</v>
      </c>
      <c r="H457" s="237">
        <v>14.0</v>
      </c>
      <c r="I457" s="237">
        <v>1.0</v>
      </c>
      <c r="J457" s="237">
        <v>15.0</v>
      </c>
      <c r="K457" s="237">
        <v>13.0</v>
      </c>
      <c r="L457" s="237">
        <v>2.0</v>
      </c>
      <c r="M457" s="237">
        <v>45.0</v>
      </c>
      <c r="N457" s="237">
        <v>45.0</v>
      </c>
      <c r="O457" s="1"/>
    </row>
    <row r="458">
      <c r="A458" s="260" t="str">
        <f t="shared" si="1"/>
        <v>Ndaba</v>
      </c>
      <c r="B458" s="237">
        <v>7182.0</v>
      </c>
      <c r="C458" s="236" t="s">
        <v>480</v>
      </c>
      <c r="D458" s="236" t="s">
        <v>931</v>
      </c>
      <c r="E458" s="236" t="s">
        <v>1118</v>
      </c>
      <c r="F458" s="236" t="s">
        <v>998</v>
      </c>
      <c r="G458" s="237">
        <v>2.0</v>
      </c>
      <c r="H458" s="237">
        <v>1.0</v>
      </c>
      <c r="I458" s="237">
        <v>1.0</v>
      </c>
      <c r="J458" s="237">
        <v>2.0</v>
      </c>
      <c r="K458" s="237">
        <v>1.0</v>
      </c>
      <c r="L458" s="237">
        <v>1.0</v>
      </c>
      <c r="M458" s="237">
        <v>8.0</v>
      </c>
      <c r="N458" s="237">
        <v>8.0</v>
      </c>
      <c r="O458" s="1"/>
    </row>
    <row r="459">
      <c r="A459" s="260" t="str">
        <f t="shared" si="1"/>
        <v>Aboukhlal</v>
      </c>
      <c r="B459" s="237">
        <v>7183.0</v>
      </c>
      <c r="C459" s="236" t="s">
        <v>507</v>
      </c>
      <c r="D459" s="236" t="s">
        <v>507</v>
      </c>
      <c r="E459" s="236" t="s">
        <v>971</v>
      </c>
      <c r="F459" s="236" t="s">
        <v>972</v>
      </c>
      <c r="G459" s="237">
        <v>3.0</v>
      </c>
      <c r="H459" s="237">
        <v>9.0</v>
      </c>
      <c r="I459" s="237">
        <v>-6.0</v>
      </c>
      <c r="J459" s="237">
        <v>3.0</v>
      </c>
      <c r="K459" s="237">
        <v>9.0</v>
      </c>
      <c r="L459" s="237">
        <v>-6.0</v>
      </c>
      <c r="M459" s="237">
        <v>9.0</v>
      </c>
      <c r="N459" s="237">
        <v>9.0</v>
      </c>
      <c r="O459" s="1"/>
    </row>
    <row r="460">
      <c r="A460" s="260" t="str">
        <f t="shared" si="1"/>
        <v>Nunziante</v>
      </c>
      <c r="B460" s="237">
        <v>7185.0</v>
      </c>
      <c r="C460" s="236" t="s">
        <v>477</v>
      </c>
      <c r="D460" s="236" t="s">
        <v>478</v>
      </c>
      <c r="E460" s="236" t="s">
        <v>1128</v>
      </c>
      <c r="F460" s="236" t="s">
        <v>993</v>
      </c>
      <c r="G460" s="237">
        <v>1.0</v>
      </c>
      <c r="H460" s="237">
        <v>1.0</v>
      </c>
      <c r="I460" s="237">
        <v>0.0</v>
      </c>
      <c r="J460" s="237">
        <v>1.0</v>
      </c>
      <c r="K460" s="237">
        <v>1.0</v>
      </c>
      <c r="L460" s="237">
        <v>0.0</v>
      </c>
      <c r="M460" s="237">
        <v>1.0</v>
      </c>
      <c r="N460" s="237">
        <v>1.0</v>
      </c>
      <c r="O460" s="1"/>
    </row>
    <row r="461">
      <c r="A461" s="260" t="str">
        <f t="shared" si="1"/>
        <v>Denoon</v>
      </c>
      <c r="B461" s="237">
        <v>7196.0</v>
      </c>
      <c r="C461" s="236" t="s">
        <v>480</v>
      </c>
      <c r="D461" s="236" t="s">
        <v>481</v>
      </c>
      <c r="E461" s="236" t="s">
        <v>1046</v>
      </c>
      <c r="F461" s="236" t="s">
        <v>977</v>
      </c>
      <c r="G461" s="237">
        <v>1.0</v>
      </c>
      <c r="H461" s="237">
        <v>2.0</v>
      </c>
      <c r="I461" s="237">
        <v>-1.0</v>
      </c>
      <c r="J461" s="237">
        <v>1.0</v>
      </c>
      <c r="K461" s="237">
        <v>2.0</v>
      </c>
      <c r="L461" s="237">
        <v>-1.0</v>
      </c>
      <c r="M461" s="237">
        <v>4.0</v>
      </c>
      <c r="N461" s="237">
        <v>4.0</v>
      </c>
      <c r="O461" s="1"/>
    </row>
    <row r="462">
      <c r="A462" s="260" t="str">
        <f t="shared" si="1"/>
        <v>Piotrowski</v>
      </c>
      <c r="B462" s="237">
        <v>7198.0</v>
      </c>
      <c r="C462" s="236" t="s">
        <v>492</v>
      </c>
      <c r="D462" s="236" t="s">
        <v>492</v>
      </c>
      <c r="E462" s="236" t="s">
        <v>1155</v>
      </c>
      <c r="F462" s="236" t="s">
        <v>993</v>
      </c>
      <c r="G462" s="237">
        <v>8.0</v>
      </c>
      <c r="H462" s="237">
        <v>6.0</v>
      </c>
      <c r="I462" s="237">
        <v>2.0</v>
      </c>
      <c r="J462" s="237">
        <v>8.0</v>
      </c>
      <c r="K462" s="237">
        <v>6.0</v>
      </c>
      <c r="L462" s="237">
        <v>2.0</v>
      </c>
      <c r="M462" s="237">
        <v>14.0</v>
      </c>
      <c r="N462" s="237">
        <v>14.0</v>
      </c>
      <c r="O462" s="1"/>
    </row>
    <row r="463">
      <c r="A463" s="260" t="str">
        <f t="shared" si="1"/>
        <v>Kilicsoy</v>
      </c>
      <c r="B463" s="237">
        <v>7199.0</v>
      </c>
      <c r="C463" s="236" t="s">
        <v>507</v>
      </c>
      <c r="D463" s="236" t="s">
        <v>507</v>
      </c>
      <c r="E463" s="236" t="s">
        <v>110</v>
      </c>
      <c r="F463" s="236" t="s">
        <v>975</v>
      </c>
      <c r="G463" s="237">
        <v>16.0</v>
      </c>
      <c r="H463" s="237">
        <v>6.0</v>
      </c>
      <c r="I463" s="237">
        <v>10.0</v>
      </c>
      <c r="J463" s="237">
        <v>16.0</v>
      </c>
      <c r="K463" s="237">
        <v>6.0</v>
      </c>
      <c r="L463" s="237">
        <v>10.0</v>
      </c>
      <c r="M463" s="237">
        <v>35.0</v>
      </c>
      <c r="N463" s="237">
        <v>35.0</v>
      </c>
      <c r="O463" s="1"/>
    </row>
    <row r="464">
      <c r="A464" s="260" t="str">
        <f t="shared" si="1"/>
        <v>Ndiaye</v>
      </c>
      <c r="B464" s="237">
        <v>7202.0</v>
      </c>
      <c r="C464" s="236" t="s">
        <v>480</v>
      </c>
      <c r="D464" s="236" t="s">
        <v>481</v>
      </c>
      <c r="E464" s="236" t="s">
        <v>1119</v>
      </c>
      <c r="F464" s="236" t="s">
        <v>985</v>
      </c>
      <c r="G464" s="237">
        <v>1.0</v>
      </c>
      <c r="H464" s="237">
        <v>4.0</v>
      </c>
      <c r="I464" s="237">
        <v>-3.0</v>
      </c>
      <c r="J464" s="237">
        <v>1.0</v>
      </c>
      <c r="K464" s="237">
        <v>4.0</v>
      </c>
      <c r="L464" s="237">
        <v>-3.0</v>
      </c>
      <c r="M464" s="237">
        <v>8.0</v>
      </c>
      <c r="N464" s="237">
        <v>8.0</v>
      </c>
      <c r="O464" s="1"/>
    </row>
    <row r="465">
      <c r="A465" s="260" t="str">
        <f t="shared" si="1"/>
        <v>Jashari</v>
      </c>
      <c r="B465" s="237">
        <v>7203.0</v>
      </c>
      <c r="C465" s="236" t="s">
        <v>492</v>
      </c>
      <c r="D465" s="236" t="s">
        <v>492</v>
      </c>
      <c r="E465" s="236" t="s">
        <v>1080</v>
      </c>
      <c r="F465" s="236" t="s">
        <v>991</v>
      </c>
      <c r="G465" s="237">
        <v>4.0</v>
      </c>
      <c r="H465" s="237">
        <v>13.0</v>
      </c>
      <c r="I465" s="237">
        <v>-9.0</v>
      </c>
      <c r="J465" s="237">
        <v>4.0</v>
      </c>
      <c r="K465" s="237">
        <v>13.0</v>
      </c>
      <c r="L465" s="237">
        <v>-9.0</v>
      </c>
      <c r="M465" s="237">
        <v>11.0</v>
      </c>
      <c r="N465" s="237">
        <v>11.0</v>
      </c>
      <c r="O465" s="1"/>
    </row>
    <row r="466">
      <c r="A466" s="260" t="str">
        <f t="shared" si="1"/>
        <v>Miller L.</v>
      </c>
      <c r="B466" s="237">
        <v>7208.0</v>
      </c>
      <c r="C466" s="236" t="s">
        <v>492</v>
      </c>
      <c r="D466" s="236" t="s">
        <v>930</v>
      </c>
      <c r="E466" s="236" t="s">
        <v>1109</v>
      </c>
      <c r="F466" s="236" t="s">
        <v>993</v>
      </c>
      <c r="G466" s="237">
        <v>3.0</v>
      </c>
      <c r="H466" s="237">
        <v>3.0</v>
      </c>
      <c r="I466" s="237">
        <v>0.0</v>
      </c>
      <c r="J466" s="237">
        <v>3.0</v>
      </c>
      <c r="K466" s="237">
        <v>4.0</v>
      </c>
      <c r="L466" s="237">
        <v>-1.0</v>
      </c>
      <c r="M466" s="237">
        <v>14.0</v>
      </c>
      <c r="N466" s="237">
        <v>17.0</v>
      </c>
      <c r="O466" s="1"/>
    </row>
    <row r="467">
      <c r="A467" s="260" t="str">
        <f t="shared" si="1"/>
        <v>Sorensen O.</v>
      </c>
      <c r="B467" s="237">
        <v>7209.0</v>
      </c>
      <c r="C467" s="236" t="s">
        <v>492</v>
      </c>
      <c r="D467" s="236" t="s">
        <v>492</v>
      </c>
      <c r="E467" s="236" t="s">
        <v>1184</v>
      </c>
      <c r="F467" s="236" t="s">
        <v>985</v>
      </c>
      <c r="G467" s="237">
        <v>6.0</v>
      </c>
      <c r="H467" s="237">
        <v>6.0</v>
      </c>
      <c r="I467" s="237">
        <v>0.0</v>
      </c>
      <c r="J467" s="237">
        <v>6.0</v>
      </c>
      <c r="K467" s="237">
        <v>6.0</v>
      </c>
      <c r="L467" s="237">
        <v>0.0</v>
      </c>
      <c r="M467" s="237">
        <v>11.0</v>
      </c>
      <c r="N467" s="237">
        <v>11.0</v>
      </c>
      <c r="O467" s="1"/>
    </row>
    <row r="468">
      <c r="A468" s="260" t="str">
        <f t="shared" si="1"/>
        <v>Athekame</v>
      </c>
      <c r="B468" s="237">
        <v>7211.0</v>
      </c>
      <c r="C468" s="236" t="s">
        <v>480</v>
      </c>
      <c r="D468" s="236" t="s">
        <v>938</v>
      </c>
      <c r="E468" s="236" t="s">
        <v>990</v>
      </c>
      <c r="F468" s="236" t="s">
        <v>991</v>
      </c>
      <c r="G468" s="237">
        <v>4.0</v>
      </c>
      <c r="H468" s="237">
        <v>6.0</v>
      </c>
      <c r="I468" s="237">
        <v>-2.0</v>
      </c>
      <c r="J468" s="237">
        <v>4.0</v>
      </c>
      <c r="K468" s="237">
        <v>6.0</v>
      </c>
      <c r="L468" s="237">
        <v>-2.0</v>
      </c>
      <c r="M468" s="237">
        <v>8.0</v>
      </c>
      <c r="N468" s="237">
        <v>8.0</v>
      </c>
      <c r="O468" s="1"/>
    </row>
    <row r="469">
      <c r="A469" s="260" t="str">
        <f t="shared" si="1"/>
        <v>Heggem</v>
      </c>
      <c r="B469" s="237">
        <v>7212.0</v>
      </c>
      <c r="C469" s="236" t="s">
        <v>480</v>
      </c>
      <c r="D469" s="236" t="s">
        <v>1022</v>
      </c>
      <c r="E469" s="236" t="s">
        <v>1071</v>
      </c>
      <c r="F469" s="236" t="s">
        <v>1009</v>
      </c>
      <c r="G469" s="237">
        <v>7.0</v>
      </c>
      <c r="H469" s="237">
        <v>4.0</v>
      </c>
      <c r="I469" s="237">
        <v>3.0</v>
      </c>
      <c r="J469" s="237">
        <v>8.0</v>
      </c>
      <c r="K469" s="237">
        <v>5.0</v>
      </c>
      <c r="L469" s="237">
        <v>3.0</v>
      </c>
      <c r="M469" s="237">
        <v>18.0</v>
      </c>
      <c r="N469" s="237">
        <v>20.0</v>
      </c>
      <c r="O469" s="1"/>
    </row>
    <row r="470">
      <c r="A470" s="260" t="str">
        <f t="shared" si="1"/>
        <v>Frigan</v>
      </c>
      <c r="B470" s="237">
        <v>7213.0</v>
      </c>
      <c r="C470" s="236" t="s">
        <v>507</v>
      </c>
      <c r="D470" s="236" t="s">
        <v>512</v>
      </c>
      <c r="E470" s="236" t="s">
        <v>1065</v>
      </c>
      <c r="F470" s="236" t="s">
        <v>985</v>
      </c>
      <c r="G470" s="237">
        <v>1.0</v>
      </c>
      <c r="H470" s="237">
        <v>7.0</v>
      </c>
      <c r="I470" s="237">
        <v>-6.0</v>
      </c>
      <c r="J470" s="237">
        <v>1.0</v>
      </c>
      <c r="K470" s="237">
        <v>6.0</v>
      </c>
      <c r="L470" s="237">
        <v>-5.0</v>
      </c>
      <c r="M470" s="237">
        <v>7.0</v>
      </c>
      <c r="N470" s="237">
        <v>7.0</v>
      </c>
      <c r="O470" s="1"/>
    </row>
    <row r="471">
      <c r="A471" s="260" t="str">
        <f t="shared" si="1"/>
        <v>Bernasconi</v>
      </c>
      <c r="B471" s="237">
        <v>7219.0</v>
      </c>
      <c r="C471" s="236" t="s">
        <v>480</v>
      </c>
      <c r="D471" s="236" t="s">
        <v>521</v>
      </c>
      <c r="E471" s="236" t="s">
        <v>229</v>
      </c>
      <c r="F471" s="236" t="s">
        <v>980</v>
      </c>
      <c r="G471" s="237">
        <v>10.0</v>
      </c>
      <c r="H471" s="237">
        <v>1.0</v>
      </c>
      <c r="I471" s="237">
        <v>9.0</v>
      </c>
      <c r="J471" s="237">
        <v>10.0</v>
      </c>
      <c r="K471" s="237">
        <v>1.0</v>
      </c>
      <c r="L471" s="237">
        <v>9.0</v>
      </c>
      <c r="M471" s="237">
        <v>20.0</v>
      </c>
      <c r="N471" s="237">
        <v>20.0</v>
      </c>
      <c r="O471" s="1"/>
    </row>
    <row r="472">
      <c r="A472" s="260" t="str">
        <f t="shared" si="1"/>
        <v>Belghali</v>
      </c>
      <c r="B472" s="237">
        <v>7220.0</v>
      </c>
      <c r="C472" s="236" t="s">
        <v>480</v>
      </c>
      <c r="D472" s="236" t="s">
        <v>938</v>
      </c>
      <c r="E472" s="236" t="s">
        <v>1002</v>
      </c>
      <c r="F472" s="236" t="s">
        <v>983</v>
      </c>
      <c r="G472" s="237">
        <v>10.0</v>
      </c>
      <c r="H472" s="237">
        <v>4.0</v>
      </c>
      <c r="I472" s="237">
        <v>6.0</v>
      </c>
      <c r="J472" s="237">
        <v>10.0</v>
      </c>
      <c r="K472" s="237">
        <v>4.0</v>
      </c>
      <c r="L472" s="237">
        <v>6.0</v>
      </c>
      <c r="M472" s="237">
        <v>20.0</v>
      </c>
      <c r="N472" s="237">
        <v>20.0</v>
      </c>
      <c r="O472" s="1"/>
    </row>
    <row r="473">
      <c r="A473" s="260" t="str">
        <f t="shared" si="1"/>
        <v>Cham</v>
      </c>
      <c r="B473" s="237">
        <v>7222.0</v>
      </c>
      <c r="C473" s="236" t="s">
        <v>480</v>
      </c>
      <c r="D473" s="236" t="s">
        <v>944</v>
      </c>
      <c r="E473" s="236" t="s">
        <v>292</v>
      </c>
      <c r="F473" s="236" t="s">
        <v>983</v>
      </c>
      <c r="G473" s="237">
        <v>2.0</v>
      </c>
      <c r="H473" s="237">
        <v>1.0</v>
      </c>
      <c r="I473" s="237">
        <v>1.0</v>
      </c>
      <c r="J473" s="237">
        <v>2.0</v>
      </c>
      <c r="K473" s="237">
        <v>1.0</v>
      </c>
      <c r="L473" s="237">
        <v>1.0</v>
      </c>
      <c r="M473" s="237">
        <v>6.0</v>
      </c>
      <c r="N473" s="237">
        <v>6.0</v>
      </c>
      <c r="O473" s="1"/>
    </row>
    <row r="474">
      <c r="A474" s="260" t="str">
        <f t="shared" si="1"/>
        <v>Vergara</v>
      </c>
      <c r="B474" s="237">
        <v>7223.0</v>
      </c>
      <c r="C474" s="236" t="s">
        <v>492</v>
      </c>
      <c r="D474" s="236" t="s">
        <v>1057</v>
      </c>
      <c r="E474" s="236" t="s">
        <v>140</v>
      </c>
      <c r="F474" s="236" t="s">
        <v>987</v>
      </c>
      <c r="G474" s="237">
        <v>6.0</v>
      </c>
      <c r="H474" s="237">
        <v>1.0</v>
      </c>
      <c r="I474" s="237">
        <v>5.0</v>
      </c>
      <c r="J474" s="237">
        <v>6.0</v>
      </c>
      <c r="K474" s="237">
        <v>1.0</v>
      </c>
      <c r="L474" s="237">
        <v>5.0</v>
      </c>
      <c r="M474" s="237">
        <v>23.0</v>
      </c>
      <c r="N474" s="237">
        <v>23.0</v>
      </c>
      <c r="O474" s="1"/>
    </row>
    <row r="475">
      <c r="A475" s="260" t="str">
        <f t="shared" si="1"/>
        <v>Troilo</v>
      </c>
      <c r="B475" s="237">
        <v>7235.0</v>
      </c>
      <c r="C475" s="236" t="s">
        <v>480</v>
      </c>
      <c r="D475" s="236" t="s">
        <v>481</v>
      </c>
      <c r="E475" s="236" t="s">
        <v>1200</v>
      </c>
      <c r="F475" s="236" t="s">
        <v>985</v>
      </c>
      <c r="G475" s="237">
        <v>2.0</v>
      </c>
      <c r="H475" s="237">
        <v>6.0</v>
      </c>
      <c r="I475" s="237">
        <v>-4.0</v>
      </c>
      <c r="J475" s="237">
        <v>2.0</v>
      </c>
      <c r="K475" s="237">
        <v>6.0</v>
      </c>
      <c r="L475" s="237">
        <v>-4.0</v>
      </c>
      <c r="M475" s="237">
        <v>8.0</v>
      </c>
      <c r="N475" s="237">
        <v>8.0</v>
      </c>
      <c r="O475" s="1"/>
    </row>
    <row r="476">
      <c r="A476" s="260" t="str">
        <f t="shared" si="1"/>
        <v>Toniolo</v>
      </c>
      <c r="B476" s="237">
        <v>7236.0</v>
      </c>
      <c r="C476" s="236" t="s">
        <v>477</v>
      </c>
      <c r="D476" s="236" t="s">
        <v>478</v>
      </c>
      <c r="E476" s="236" t="s">
        <v>1197</v>
      </c>
      <c r="F476" s="236" t="s">
        <v>983</v>
      </c>
      <c r="G476" s="237">
        <v>1.0</v>
      </c>
      <c r="H476" s="237">
        <v>1.0</v>
      </c>
      <c r="I476" s="237">
        <v>0.0</v>
      </c>
      <c r="J476" s="237">
        <v>1.0</v>
      </c>
      <c r="K476" s="237">
        <v>1.0</v>
      </c>
      <c r="L476" s="237">
        <v>0.0</v>
      </c>
      <c r="M476" s="237">
        <v>1.0</v>
      </c>
      <c r="N476" s="237">
        <v>1.0</v>
      </c>
      <c r="O476" s="1"/>
    </row>
    <row r="477">
      <c r="A477" s="260" t="str">
        <f t="shared" si="1"/>
        <v>Kouadio</v>
      </c>
      <c r="B477" s="237">
        <v>7238.0</v>
      </c>
      <c r="C477" s="236" t="s">
        <v>480</v>
      </c>
      <c r="D477" s="236" t="s">
        <v>481</v>
      </c>
      <c r="E477" s="236" t="s">
        <v>1090</v>
      </c>
      <c r="F477" s="236" t="s">
        <v>1033</v>
      </c>
      <c r="G477" s="237">
        <v>1.0</v>
      </c>
      <c r="H477" s="237">
        <v>1.0</v>
      </c>
      <c r="I477" s="237">
        <v>0.0</v>
      </c>
      <c r="J477" s="237">
        <v>1.0</v>
      </c>
      <c r="K477" s="237">
        <v>1.0</v>
      </c>
      <c r="L477" s="237">
        <v>0.0</v>
      </c>
      <c r="M477" s="237">
        <v>1.0</v>
      </c>
      <c r="N477" s="237">
        <v>1.0</v>
      </c>
      <c r="O477" s="1"/>
    </row>
    <row r="478">
      <c r="A478" s="260" t="str">
        <f t="shared" si="1"/>
        <v>Siebert</v>
      </c>
      <c r="B478" s="237">
        <v>7240.0</v>
      </c>
      <c r="C478" s="236" t="s">
        <v>480</v>
      </c>
      <c r="D478" s="236" t="s">
        <v>481</v>
      </c>
      <c r="E478" s="236" t="s">
        <v>1177</v>
      </c>
      <c r="F478" s="236" t="s">
        <v>998</v>
      </c>
      <c r="G478" s="237">
        <v>3.0</v>
      </c>
      <c r="H478" s="237">
        <v>5.0</v>
      </c>
      <c r="I478" s="237">
        <v>-2.0</v>
      </c>
      <c r="J478" s="237">
        <v>3.0</v>
      </c>
      <c r="K478" s="237">
        <v>5.0</v>
      </c>
      <c r="L478" s="237">
        <v>-2.0</v>
      </c>
      <c r="M478" s="237">
        <v>6.0</v>
      </c>
      <c r="N478" s="237">
        <v>6.0</v>
      </c>
      <c r="O478" s="1"/>
    </row>
    <row r="479">
      <c r="A479" s="260" t="str">
        <f t="shared" si="1"/>
        <v>Sala A.</v>
      </c>
      <c r="B479" s="237">
        <v>7246.0</v>
      </c>
      <c r="C479" s="236" t="s">
        <v>492</v>
      </c>
      <c r="D479" s="236" t="s">
        <v>492</v>
      </c>
      <c r="E479" s="236" t="s">
        <v>1169</v>
      </c>
      <c r="F479" s="236" t="s">
        <v>998</v>
      </c>
      <c r="G479" s="237">
        <v>1.0</v>
      </c>
      <c r="H479" s="237">
        <v>3.0</v>
      </c>
      <c r="I479" s="237">
        <v>-2.0</v>
      </c>
      <c r="J479" s="237">
        <v>1.0</v>
      </c>
      <c r="K479" s="237">
        <v>3.0</v>
      </c>
      <c r="L479" s="237">
        <v>-2.0</v>
      </c>
      <c r="M479" s="237">
        <v>9.0</v>
      </c>
      <c r="N479" s="237">
        <v>9.0</v>
      </c>
      <c r="O479" s="1"/>
    </row>
    <row r="480">
      <c r="A480" s="260" t="str">
        <f t="shared" si="1"/>
        <v>Gorter</v>
      </c>
      <c r="B480" s="237">
        <v>7248.0</v>
      </c>
      <c r="C480" s="236" t="s">
        <v>492</v>
      </c>
      <c r="D480" s="236" t="s">
        <v>930</v>
      </c>
      <c r="E480" s="236" t="s">
        <v>1562</v>
      </c>
      <c r="F480" s="236" t="s">
        <v>998</v>
      </c>
      <c r="G480" s="237">
        <v>2.0</v>
      </c>
      <c r="H480" s="237">
        <v>1.0</v>
      </c>
      <c r="I480" s="237">
        <v>1.0</v>
      </c>
      <c r="J480" s="237">
        <v>2.0</v>
      </c>
      <c r="K480" s="237">
        <v>1.0</v>
      </c>
      <c r="L480" s="237">
        <v>1.0</v>
      </c>
      <c r="M480" s="237">
        <v>1.0</v>
      </c>
      <c r="N480" s="237">
        <v>1.0</v>
      </c>
      <c r="O480" s="1"/>
    </row>
    <row r="481">
      <c r="A481" s="260" t="str">
        <f t="shared" si="1"/>
        <v>Buksa</v>
      </c>
      <c r="B481" s="237">
        <v>7249.0</v>
      </c>
      <c r="C481" s="236" t="s">
        <v>507</v>
      </c>
      <c r="D481" s="236" t="s">
        <v>512</v>
      </c>
      <c r="E481" s="236" t="s">
        <v>1017</v>
      </c>
      <c r="F481" s="236" t="s">
        <v>993</v>
      </c>
      <c r="G481" s="237">
        <v>7.0</v>
      </c>
      <c r="H481" s="237">
        <v>9.0</v>
      </c>
      <c r="I481" s="237">
        <v>-2.0</v>
      </c>
      <c r="J481" s="237">
        <v>7.0</v>
      </c>
      <c r="K481" s="237">
        <v>9.0</v>
      </c>
      <c r="L481" s="237">
        <v>-2.0</v>
      </c>
      <c r="M481" s="237">
        <v>12.0</v>
      </c>
      <c r="N481" s="237">
        <v>10.0</v>
      </c>
      <c r="O481" s="1"/>
    </row>
    <row r="482">
      <c r="A482" s="260" t="str">
        <f t="shared" si="1"/>
        <v>Stulic</v>
      </c>
      <c r="B482" s="237">
        <v>7252.0</v>
      </c>
      <c r="C482" s="236" t="s">
        <v>507</v>
      </c>
      <c r="D482" s="236" t="s">
        <v>512</v>
      </c>
      <c r="E482" s="236" t="s">
        <v>1189</v>
      </c>
      <c r="F482" s="236" t="s">
        <v>998</v>
      </c>
      <c r="G482" s="237">
        <v>7.0</v>
      </c>
      <c r="H482" s="237">
        <v>13.0</v>
      </c>
      <c r="I482" s="237">
        <v>-6.0</v>
      </c>
      <c r="J482" s="237">
        <v>7.0</v>
      </c>
      <c r="K482" s="237">
        <v>13.0</v>
      </c>
      <c r="L482" s="237">
        <v>-6.0</v>
      </c>
      <c r="M482" s="237">
        <v>18.0</v>
      </c>
      <c r="N482" s="237">
        <v>15.0</v>
      </c>
      <c r="O482" s="1"/>
    </row>
    <row r="483">
      <c r="A483" s="260" t="str">
        <f t="shared" si="1"/>
        <v>Bella-Kotchap</v>
      </c>
      <c r="B483" s="237">
        <v>7253.0</v>
      </c>
      <c r="C483" s="236" t="s">
        <v>480</v>
      </c>
      <c r="D483" s="236" t="s">
        <v>481</v>
      </c>
      <c r="E483" s="236" t="s">
        <v>1003</v>
      </c>
      <c r="F483" s="236" t="s">
        <v>983</v>
      </c>
      <c r="G483" s="237">
        <v>4.0</v>
      </c>
      <c r="H483" s="237">
        <v>6.0</v>
      </c>
      <c r="I483" s="237">
        <v>-2.0</v>
      </c>
      <c r="J483" s="237">
        <v>4.0</v>
      </c>
      <c r="K483" s="237">
        <v>6.0</v>
      </c>
      <c r="L483" s="237">
        <v>-2.0</v>
      </c>
      <c r="M483" s="237">
        <v>13.0</v>
      </c>
      <c r="N483" s="237">
        <v>13.0</v>
      </c>
      <c r="O483" s="1"/>
    </row>
    <row r="484">
      <c r="A484" s="260" t="str">
        <f t="shared" si="1"/>
        <v>Lorran</v>
      </c>
      <c r="B484" s="237">
        <v>7254.0</v>
      </c>
      <c r="C484" s="236" t="s">
        <v>492</v>
      </c>
      <c r="D484" s="236" t="s">
        <v>543</v>
      </c>
      <c r="E484" s="236" t="s">
        <v>144</v>
      </c>
      <c r="F484" s="236" t="s">
        <v>977</v>
      </c>
      <c r="G484" s="237">
        <v>7.0</v>
      </c>
      <c r="H484" s="237">
        <v>7.0</v>
      </c>
      <c r="I484" s="237">
        <v>0.0</v>
      </c>
      <c r="J484" s="237">
        <v>6.0</v>
      </c>
      <c r="K484" s="237">
        <v>6.0</v>
      </c>
      <c r="L484" s="237">
        <v>0.0</v>
      </c>
      <c r="M484" s="237">
        <v>13.0</v>
      </c>
      <c r="N484" s="237">
        <v>10.0</v>
      </c>
      <c r="O484" s="1"/>
    </row>
    <row r="485">
      <c r="A485" s="260" t="str">
        <f t="shared" si="1"/>
        <v>Britschgi</v>
      </c>
      <c r="B485" s="237">
        <v>7255.0</v>
      </c>
      <c r="C485" s="236" t="s">
        <v>480</v>
      </c>
      <c r="D485" s="236" t="s">
        <v>944</v>
      </c>
      <c r="E485" s="236" t="s">
        <v>94</v>
      </c>
      <c r="F485" s="236" t="s">
        <v>985</v>
      </c>
      <c r="G485" s="237">
        <v>7.0</v>
      </c>
      <c r="H485" s="237">
        <v>1.0</v>
      </c>
      <c r="I485" s="237">
        <v>6.0</v>
      </c>
      <c r="J485" s="237">
        <v>7.0</v>
      </c>
      <c r="K485" s="237">
        <v>1.0</v>
      </c>
      <c r="L485" s="237">
        <v>6.0</v>
      </c>
      <c r="M485" s="237">
        <v>12.0</v>
      </c>
      <c r="N485" s="237">
        <v>15.0</v>
      </c>
      <c r="O485" s="1"/>
    </row>
    <row r="486">
      <c r="A486" s="260" t="str">
        <f t="shared" si="1"/>
        <v>Ziolkowski</v>
      </c>
      <c r="B486" s="237">
        <v>7260.0</v>
      </c>
      <c r="C486" s="236" t="s">
        <v>480</v>
      </c>
      <c r="D486" s="236" t="s">
        <v>481</v>
      </c>
      <c r="E486" s="236" t="s">
        <v>226</v>
      </c>
      <c r="F486" s="236" t="s">
        <v>988</v>
      </c>
      <c r="G486" s="237">
        <v>3.0</v>
      </c>
      <c r="H486" s="237">
        <v>3.0</v>
      </c>
      <c r="I486" s="237">
        <v>0.0</v>
      </c>
      <c r="J486" s="237">
        <v>3.0</v>
      </c>
      <c r="K486" s="237">
        <v>3.0</v>
      </c>
      <c r="L486" s="237">
        <v>0.0</v>
      </c>
      <c r="M486" s="237">
        <v>12.0</v>
      </c>
      <c r="N486" s="237">
        <v>12.0</v>
      </c>
      <c r="O486" s="1"/>
    </row>
    <row r="487">
      <c r="A487" s="260" t="str">
        <f t="shared" si="1"/>
        <v>Cavlina</v>
      </c>
      <c r="B487" s="237">
        <v>7261.0</v>
      </c>
      <c r="C487" s="236" t="s">
        <v>477</v>
      </c>
      <c r="D487" s="236" t="s">
        <v>478</v>
      </c>
      <c r="E487" s="236" t="s">
        <v>1027</v>
      </c>
      <c r="F487" s="236" t="s">
        <v>974</v>
      </c>
      <c r="G487" s="237">
        <v>1.0</v>
      </c>
      <c r="H487" s="237">
        <v>1.0</v>
      </c>
      <c r="I487" s="237">
        <v>0.0</v>
      </c>
      <c r="J487" s="237">
        <v>1.0</v>
      </c>
      <c r="K487" s="237">
        <v>1.0</v>
      </c>
      <c r="L487" s="237">
        <v>0.0</v>
      </c>
      <c r="M487" s="237">
        <v>1.0</v>
      </c>
      <c r="N487" s="237">
        <v>1.0</v>
      </c>
      <c r="O487" s="1"/>
    </row>
    <row r="488">
      <c r="A488" s="260" t="str">
        <f t="shared" si="1"/>
        <v>Balentien</v>
      </c>
      <c r="B488" s="237">
        <v>7262.0</v>
      </c>
      <c r="C488" s="236" t="s">
        <v>507</v>
      </c>
      <c r="D488" s="236" t="s">
        <v>507</v>
      </c>
      <c r="E488" s="236" t="s">
        <v>1563</v>
      </c>
      <c r="F488" s="236" t="s">
        <v>991</v>
      </c>
      <c r="G488" s="237">
        <v>1.0</v>
      </c>
      <c r="H488" s="237">
        <v>1.0</v>
      </c>
      <c r="I488" s="237">
        <v>0.0</v>
      </c>
      <c r="J488" s="237">
        <v>1.0</v>
      </c>
      <c r="K488" s="237">
        <v>1.0</v>
      </c>
      <c r="L488" s="237">
        <v>0.0</v>
      </c>
      <c r="M488" s="237">
        <v>1.0</v>
      </c>
      <c r="N488" s="237">
        <v>1.0</v>
      </c>
      <c r="O488" s="1"/>
    </row>
    <row r="489">
      <c r="A489" s="260" t="str">
        <f t="shared" si="1"/>
        <v>Rodriguez Ju.</v>
      </c>
      <c r="B489" s="237">
        <v>7268.0</v>
      </c>
      <c r="C489" s="236" t="s">
        <v>480</v>
      </c>
      <c r="D489" s="236" t="s">
        <v>1022</v>
      </c>
      <c r="E489" s="236" t="s">
        <v>1162</v>
      </c>
      <c r="F489" s="236" t="s">
        <v>975</v>
      </c>
      <c r="G489" s="237">
        <v>3.0</v>
      </c>
      <c r="H489" s="237">
        <v>1.0</v>
      </c>
      <c r="I489" s="237">
        <v>2.0</v>
      </c>
      <c r="J489" s="237">
        <v>3.0</v>
      </c>
      <c r="K489" s="237">
        <v>1.0</v>
      </c>
      <c r="L489" s="237">
        <v>2.0</v>
      </c>
      <c r="M489" s="237">
        <v>10.0</v>
      </c>
      <c r="N489" s="237">
        <v>12.0</v>
      </c>
      <c r="O489" s="1"/>
    </row>
    <row r="490">
      <c r="A490" s="260" t="str">
        <f t="shared" si="1"/>
        <v>Odogu</v>
      </c>
      <c r="B490" s="237">
        <v>7271.0</v>
      </c>
      <c r="C490" s="236" t="s">
        <v>480</v>
      </c>
      <c r="D490" s="236" t="s">
        <v>481</v>
      </c>
      <c r="E490" s="236" t="s">
        <v>1131</v>
      </c>
      <c r="F490" s="236" t="s">
        <v>991</v>
      </c>
      <c r="G490" s="237">
        <v>1.0</v>
      </c>
      <c r="H490" s="237">
        <v>2.0</v>
      </c>
      <c r="I490" s="237">
        <v>-1.0</v>
      </c>
      <c r="J490" s="237">
        <v>1.0</v>
      </c>
      <c r="K490" s="237">
        <v>2.0</v>
      </c>
      <c r="L490" s="237">
        <v>-1.0</v>
      </c>
      <c r="M490" s="237">
        <v>5.0</v>
      </c>
      <c r="N490" s="237">
        <v>5.0</v>
      </c>
      <c r="O490" s="1"/>
    </row>
    <row r="491">
      <c r="A491" s="260" t="str">
        <f t="shared" si="1"/>
        <v>Gueye</v>
      </c>
      <c r="B491" s="237">
        <v>7272.0</v>
      </c>
      <c r="C491" s="236" t="s">
        <v>507</v>
      </c>
      <c r="D491" s="236" t="s">
        <v>512</v>
      </c>
      <c r="E491" s="236" t="s">
        <v>399</v>
      </c>
      <c r="F491" s="236" t="s">
        <v>993</v>
      </c>
      <c r="G491" s="237">
        <v>2.0</v>
      </c>
      <c r="H491" s="237">
        <v>1.0</v>
      </c>
      <c r="I491" s="237">
        <v>1.0</v>
      </c>
      <c r="J491" s="237">
        <v>2.0</v>
      </c>
      <c r="K491" s="237">
        <v>1.0</v>
      </c>
      <c r="L491" s="237">
        <v>1.0</v>
      </c>
      <c r="M491" s="237">
        <v>1.0</v>
      </c>
      <c r="N491" s="237">
        <v>1.0</v>
      </c>
      <c r="O491" s="1"/>
    </row>
    <row r="492">
      <c r="A492" s="260" t="str">
        <f t="shared" si="1"/>
        <v>Zè Pedro</v>
      </c>
      <c r="B492" s="237">
        <v>7274.0</v>
      </c>
      <c r="C492" s="236" t="s">
        <v>480</v>
      </c>
      <c r="D492" s="236" t="s">
        <v>481</v>
      </c>
      <c r="E492" s="236" t="s">
        <v>1217</v>
      </c>
      <c r="F492" s="236" t="s">
        <v>975</v>
      </c>
      <c r="G492" s="237">
        <v>3.0</v>
      </c>
      <c r="H492" s="237">
        <v>4.0</v>
      </c>
      <c r="I492" s="237">
        <v>-1.0</v>
      </c>
      <c r="J492" s="237">
        <v>3.0</v>
      </c>
      <c r="K492" s="237">
        <v>4.0</v>
      </c>
      <c r="L492" s="237">
        <v>-1.0</v>
      </c>
      <c r="M492" s="237">
        <v>10.0</v>
      </c>
      <c r="N492" s="237">
        <v>10.0</v>
      </c>
      <c r="O492" s="1"/>
    </row>
    <row r="493">
      <c r="A493" s="260" t="str">
        <f t="shared" si="1"/>
        <v>Cremaschi</v>
      </c>
      <c r="B493" s="237">
        <v>7276.0</v>
      </c>
      <c r="C493" s="236" t="s">
        <v>492</v>
      </c>
      <c r="D493" s="236" t="s">
        <v>492</v>
      </c>
      <c r="E493" s="236" t="s">
        <v>154</v>
      </c>
      <c r="F493" s="236" t="s">
        <v>985</v>
      </c>
      <c r="G493" s="237">
        <v>1.0</v>
      </c>
      <c r="H493" s="237">
        <v>5.0</v>
      </c>
      <c r="I493" s="237">
        <v>-4.0</v>
      </c>
      <c r="J493" s="237">
        <v>1.0</v>
      </c>
      <c r="K493" s="237">
        <v>5.0</v>
      </c>
      <c r="L493" s="237">
        <v>-4.0</v>
      </c>
      <c r="M493" s="237">
        <v>8.0</v>
      </c>
      <c r="N493" s="237">
        <v>8.0</v>
      </c>
      <c r="O493" s="1"/>
    </row>
    <row r="494">
      <c r="A494" s="260" t="str">
        <f t="shared" si="1"/>
        <v>Arena A.</v>
      </c>
      <c r="B494" s="237">
        <v>7277.0</v>
      </c>
      <c r="C494" s="236" t="s">
        <v>507</v>
      </c>
      <c r="D494" s="236" t="s">
        <v>512</v>
      </c>
      <c r="E494" s="236" t="s">
        <v>1564</v>
      </c>
      <c r="F494" s="236" t="s">
        <v>988</v>
      </c>
      <c r="G494" s="237">
        <v>1.0</v>
      </c>
      <c r="H494" s="237">
        <v>1.0</v>
      </c>
      <c r="I494" s="237">
        <v>0.0</v>
      </c>
      <c r="J494" s="237">
        <v>1.0</v>
      </c>
      <c r="K494" s="237">
        <v>1.0</v>
      </c>
      <c r="L494" s="237">
        <v>0.0</v>
      </c>
      <c r="M494" s="237">
        <v>1.0</v>
      </c>
      <c r="N494" s="237">
        <v>1.0</v>
      </c>
      <c r="O494" s="1"/>
    </row>
    <row r="495">
      <c r="A495" s="260" t="str">
        <f t="shared" si="1"/>
        <v>Ferrante</v>
      </c>
      <c r="B495" s="237">
        <v>7285.0</v>
      </c>
      <c r="C495" s="236" t="s">
        <v>477</v>
      </c>
      <c r="D495" s="236" t="s">
        <v>478</v>
      </c>
      <c r="E495" s="236" t="s">
        <v>1565</v>
      </c>
      <c r="F495" s="236" t="s">
        <v>987</v>
      </c>
      <c r="G495" s="237">
        <v>1.0</v>
      </c>
      <c r="H495" s="237">
        <v>1.0</v>
      </c>
      <c r="I495" s="237">
        <v>0.0</v>
      </c>
      <c r="J495" s="237">
        <v>1.0</v>
      </c>
      <c r="K495" s="237">
        <v>1.0</v>
      </c>
      <c r="L495" s="237">
        <v>0.0</v>
      </c>
      <c r="M495" s="237">
        <v>1.0</v>
      </c>
      <c r="N495" s="237">
        <v>1.0</v>
      </c>
      <c r="O495" s="1"/>
    </row>
    <row r="496">
      <c r="A496" s="260" t="str">
        <f t="shared" si="1"/>
        <v>Tornqvist</v>
      </c>
      <c r="B496" s="237">
        <v>7301.0</v>
      </c>
      <c r="C496" s="236" t="s">
        <v>477</v>
      </c>
      <c r="D496" s="236" t="s">
        <v>478</v>
      </c>
      <c r="E496" s="236" t="s">
        <v>1566</v>
      </c>
      <c r="F496" s="236" t="s">
        <v>974</v>
      </c>
      <c r="G496" s="237">
        <v>1.0</v>
      </c>
      <c r="H496" s="237">
        <v>1.0</v>
      </c>
      <c r="I496" s="237">
        <v>0.0</v>
      </c>
      <c r="J496" s="237">
        <v>1.0</v>
      </c>
      <c r="K496" s="237">
        <v>1.0</v>
      </c>
      <c r="L496" s="237">
        <v>0.0</v>
      </c>
      <c r="M496" s="237">
        <v>1.0</v>
      </c>
      <c r="N496" s="237">
        <v>1.0</v>
      </c>
      <c r="O496" s="1"/>
    </row>
    <row r="497">
      <c r="A497" s="260" t="str">
        <f t="shared" si="1"/>
        <v>Isaac</v>
      </c>
      <c r="B497" s="237">
        <v>7309.0</v>
      </c>
      <c r="C497" s="236" t="s">
        <v>507</v>
      </c>
      <c r="D497" s="236" t="s">
        <v>512</v>
      </c>
      <c r="E497" s="236" t="s">
        <v>1567</v>
      </c>
      <c r="F497" s="236" t="s">
        <v>983</v>
      </c>
      <c r="G497" s="237">
        <v>2.0</v>
      </c>
      <c r="H497" s="237">
        <v>1.0</v>
      </c>
      <c r="I497" s="237">
        <v>1.0</v>
      </c>
      <c r="J497" s="237">
        <v>2.0</v>
      </c>
      <c r="K497" s="237">
        <v>1.0</v>
      </c>
      <c r="L497" s="237">
        <v>1.0</v>
      </c>
      <c r="M497" s="237">
        <v>1.0</v>
      </c>
      <c r="N497" s="237">
        <v>1.0</v>
      </c>
      <c r="O497" s="1"/>
    </row>
    <row r="498">
      <c r="A498" s="260" t="str">
        <f t="shared" si="1"/>
        <v>Arizala</v>
      </c>
      <c r="B498" s="237">
        <v>7312.0</v>
      </c>
      <c r="C498" s="236" t="s">
        <v>480</v>
      </c>
      <c r="D498" s="236" t="s">
        <v>931</v>
      </c>
      <c r="E498" s="236" t="s">
        <v>1568</v>
      </c>
      <c r="F498" s="236" t="s">
        <v>993</v>
      </c>
      <c r="G498" s="237">
        <v>1.0</v>
      </c>
      <c r="H498" s="237">
        <v>1.0</v>
      </c>
      <c r="I498" s="237">
        <v>0.0</v>
      </c>
      <c r="J498" s="237">
        <v>1.0</v>
      </c>
      <c r="K498" s="237">
        <v>1.0</v>
      </c>
      <c r="L498" s="237">
        <v>0.0</v>
      </c>
      <c r="M498" s="237">
        <v>1.0</v>
      </c>
      <c r="N498" s="237">
        <v>1.0</v>
      </c>
      <c r="O498" s="1"/>
    </row>
    <row r="499">
      <c r="A499" s="260" t="str">
        <f t="shared" si="1"/>
        <v>Ratkov</v>
      </c>
      <c r="B499" s="237">
        <v>7313.0</v>
      </c>
      <c r="C499" s="236" t="s">
        <v>507</v>
      </c>
      <c r="D499" s="236" t="s">
        <v>512</v>
      </c>
      <c r="E499" s="236" t="s">
        <v>464</v>
      </c>
      <c r="F499" s="236" t="s">
        <v>1000</v>
      </c>
      <c r="G499" s="237">
        <v>14.0</v>
      </c>
      <c r="H499" s="237">
        <v>15.0</v>
      </c>
      <c r="I499" s="237">
        <v>-1.0</v>
      </c>
      <c r="J499" s="237">
        <v>14.0</v>
      </c>
      <c r="K499" s="237">
        <v>15.0</v>
      </c>
      <c r="L499" s="237">
        <v>-1.0</v>
      </c>
      <c r="M499" s="237">
        <v>25.0</v>
      </c>
      <c r="N499" s="237">
        <v>22.0</v>
      </c>
      <c r="O499" s="1"/>
    </row>
    <row r="500">
      <c r="A500" s="260" t="str">
        <f t="shared" si="1"/>
        <v>Taylor K.</v>
      </c>
      <c r="B500" s="237">
        <v>7314.0</v>
      </c>
      <c r="C500" s="236" t="s">
        <v>492</v>
      </c>
      <c r="D500" s="236" t="s">
        <v>934</v>
      </c>
      <c r="E500" s="236" t="s">
        <v>322</v>
      </c>
      <c r="F500" s="236" t="s">
        <v>1000</v>
      </c>
      <c r="G500" s="237">
        <v>14.0</v>
      </c>
      <c r="H500" s="237">
        <v>14.0</v>
      </c>
      <c r="I500" s="237">
        <v>0.0</v>
      </c>
      <c r="J500" s="237">
        <v>14.0</v>
      </c>
      <c r="K500" s="237">
        <v>14.0</v>
      </c>
      <c r="L500" s="237">
        <v>0.0</v>
      </c>
      <c r="M500" s="237">
        <v>38.0</v>
      </c>
      <c r="N500" s="237">
        <v>38.0</v>
      </c>
      <c r="O500" s="1"/>
    </row>
    <row r="501">
      <c r="A501" s="260" t="str">
        <f t="shared" si="1"/>
        <v>Durosinmi</v>
      </c>
      <c r="B501" s="237">
        <v>7316.0</v>
      </c>
      <c r="C501" s="236" t="s">
        <v>507</v>
      </c>
      <c r="D501" s="236" t="s">
        <v>512</v>
      </c>
      <c r="E501" s="236" t="s">
        <v>1569</v>
      </c>
      <c r="F501" s="236" t="s">
        <v>977</v>
      </c>
      <c r="G501" s="237">
        <v>16.0</v>
      </c>
      <c r="H501" s="237">
        <v>15.0</v>
      </c>
      <c r="I501" s="237">
        <v>1.0</v>
      </c>
      <c r="J501" s="237">
        <v>16.0</v>
      </c>
      <c r="K501" s="237">
        <v>15.0</v>
      </c>
      <c r="L501" s="237">
        <v>1.0</v>
      </c>
      <c r="M501" s="237">
        <v>55.0</v>
      </c>
      <c r="N501" s="237">
        <v>52.0</v>
      </c>
      <c r="O501" s="1"/>
    </row>
    <row r="502">
      <c r="A502" s="260" t="str">
        <f t="shared" si="1"/>
        <v>Trepy</v>
      </c>
      <c r="B502" s="237">
        <v>7317.0</v>
      </c>
      <c r="C502" s="236" t="s">
        <v>507</v>
      </c>
      <c r="D502" s="236" t="s">
        <v>512</v>
      </c>
      <c r="E502" s="236" t="s">
        <v>1570</v>
      </c>
      <c r="F502" s="236" t="s">
        <v>975</v>
      </c>
      <c r="G502" s="237">
        <v>1.0</v>
      </c>
      <c r="H502" s="237">
        <v>1.0</v>
      </c>
      <c r="I502" s="237">
        <v>0.0</v>
      </c>
      <c r="J502" s="237">
        <v>1.0</v>
      </c>
      <c r="K502" s="237">
        <v>1.0</v>
      </c>
      <c r="L502" s="237">
        <v>0.0</v>
      </c>
      <c r="M502" s="237">
        <v>1.0</v>
      </c>
      <c r="N502" s="237">
        <v>1.0</v>
      </c>
      <c r="O502" s="1"/>
    </row>
    <row r="503">
      <c r="A503" s="260" t="str">
        <f t="shared" si="1"/>
        <v>Gandelman</v>
      </c>
      <c r="B503" s="237">
        <v>7318.0</v>
      </c>
      <c r="C503" s="236" t="s">
        <v>492</v>
      </c>
      <c r="D503" s="236" t="s">
        <v>934</v>
      </c>
      <c r="E503" s="236" t="s">
        <v>323</v>
      </c>
      <c r="F503" s="236" t="s">
        <v>998</v>
      </c>
      <c r="G503" s="237">
        <v>7.0</v>
      </c>
      <c r="H503" s="237">
        <v>6.0</v>
      </c>
      <c r="I503" s="237">
        <v>1.0</v>
      </c>
      <c r="J503" s="237">
        <v>7.0</v>
      </c>
      <c r="K503" s="237">
        <v>6.0</v>
      </c>
      <c r="L503" s="237">
        <v>1.0</v>
      </c>
      <c r="M503" s="237">
        <v>13.0</v>
      </c>
      <c r="N503" s="237">
        <v>13.0</v>
      </c>
      <c r="O503" s="1"/>
    </row>
    <row r="504">
      <c r="A504" s="260" t="str">
        <f t="shared" si="1"/>
        <v>Fofana Sa.</v>
      </c>
      <c r="B504" s="237">
        <v>7319.0</v>
      </c>
      <c r="C504" s="236" t="s">
        <v>492</v>
      </c>
      <c r="D504" s="236" t="s">
        <v>930</v>
      </c>
      <c r="E504" s="236" t="s">
        <v>1571</v>
      </c>
      <c r="F504" s="236" t="s">
        <v>998</v>
      </c>
      <c r="G504" s="237">
        <v>1.0</v>
      </c>
      <c r="H504" s="237">
        <v>1.0</v>
      </c>
      <c r="I504" s="237">
        <v>0.0</v>
      </c>
      <c r="J504" s="237">
        <v>1.0</v>
      </c>
      <c r="K504" s="237">
        <v>1.0</v>
      </c>
      <c r="L504" s="237">
        <v>0.0</v>
      </c>
      <c r="M504" s="237">
        <v>2.0</v>
      </c>
      <c r="N504" s="237">
        <v>2.0</v>
      </c>
      <c r="O504" s="1"/>
    </row>
    <row r="505">
      <c r="A505" s="260" t="str">
        <f t="shared" si="1"/>
        <v>Ngom</v>
      </c>
      <c r="B505" s="237">
        <v>7322.0</v>
      </c>
      <c r="C505" s="236" t="s">
        <v>492</v>
      </c>
      <c r="D505" s="236" t="s">
        <v>930</v>
      </c>
      <c r="E505" s="236" t="s">
        <v>1572</v>
      </c>
      <c r="F505" s="236" t="s">
        <v>998</v>
      </c>
      <c r="G505" s="237">
        <v>1.0</v>
      </c>
      <c r="H505" s="237">
        <v>1.0</v>
      </c>
      <c r="I505" s="237">
        <v>0.0</v>
      </c>
      <c r="J505" s="237">
        <v>1.0</v>
      </c>
      <c r="K505" s="237">
        <v>1.0</v>
      </c>
      <c r="L505" s="237">
        <v>0.0</v>
      </c>
      <c r="M505" s="237">
        <v>1.0</v>
      </c>
      <c r="N505" s="237">
        <v>1.0</v>
      </c>
      <c r="O505" s="1"/>
    </row>
    <row r="506">
      <c r="A506" s="260" t="str">
        <f t="shared" si="1"/>
        <v>Bozhinov</v>
      </c>
      <c r="B506" s="237">
        <v>7325.0</v>
      </c>
      <c r="C506" s="236" t="s">
        <v>480</v>
      </c>
      <c r="D506" s="236" t="s">
        <v>481</v>
      </c>
      <c r="E506" s="236" t="s">
        <v>1573</v>
      </c>
      <c r="F506" s="236" t="s">
        <v>977</v>
      </c>
      <c r="G506" s="237">
        <v>1.0</v>
      </c>
      <c r="H506" s="237">
        <v>2.0</v>
      </c>
      <c r="I506" s="237">
        <v>-1.0</v>
      </c>
      <c r="J506" s="237">
        <v>1.0</v>
      </c>
      <c r="K506" s="237">
        <v>2.0</v>
      </c>
      <c r="L506" s="237">
        <v>-1.0</v>
      </c>
      <c r="M506" s="237">
        <v>9.0</v>
      </c>
      <c r="N506" s="237">
        <v>9.0</v>
      </c>
      <c r="O506" s="1"/>
    </row>
    <row r="507">
      <c r="A507" s="260" t="str">
        <f t="shared" si="1"/>
        <v>Helland</v>
      </c>
      <c r="B507" s="237">
        <v>7326.0</v>
      </c>
      <c r="C507" s="236" t="s">
        <v>480</v>
      </c>
      <c r="D507" s="236" t="s">
        <v>937</v>
      </c>
      <c r="E507" s="236" t="s">
        <v>419</v>
      </c>
      <c r="F507" s="236" t="s">
        <v>1009</v>
      </c>
      <c r="G507" s="237">
        <v>3.0</v>
      </c>
      <c r="H507" s="237">
        <v>4.0</v>
      </c>
      <c r="I507" s="237">
        <v>-1.0</v>
      </c>
      <c r="J507" s="237">
        <v>3.0</v>
      </c>
      <c r="K507" s="237">
        <v>4.0</v>
      </c>
      <c r="L507" s="237">
        <v>-1.0</v>
      </c>
      <c r="M507" s="237">
        <v>9.0</v>
      </c>
      <c r="N507" s="237">
        <v>10.0</v>
      </c>
      <c r="O507" s="1"/>
    </row>
    <row r="508">
      <c r="A508" s="260" t="str">
        <f t="shared" si="1"/>
        <v>Obrador</v>
      </c>
      <c r="B508" s="237">
        <v>7329.0</v>
      </c>
      <c r="C508" s="236" t="s">
        <v>480</v>
      </c>
      <c r="D508" s="236" t="s">
        <v>931</v>
      </c>
      <c r="E508" s="236" t="s">
        <v>1574</v>
      </c>
      <c r="F508" s="236" t="s">
        <v>972</v>
      </c>
      <c r="G508" s="237">
        <v>6.0</v>
      </c>
      <c r="H508" s="237">
        <v>6.0</v>
      </c>
      <c r="I508" s="237">
        <v>0.0</v>
      </c>
      <c r="J508" s="237">
        <v>6.0</v>
      </c>
      <c r="K508" s="237">
        <v>6.0</v>
      </c>
      <c r="L508" s="237">
        <v>0.0</v>
      </c>
      <c r="M508" s="237">
        <v>15.0</v>
      </c>
      <c r="N508" s="237">
        <v>15.0</v>
      </c>
      <c r="O508" s="1"/>
    </row>
    <row r="509">
      <c r="A509" s="260" t="str">
        <f t="shared" si="1"/>
        <v>Loyola</v>
      </c>
      <c r="B509" s="237">
        <v>7331.0</v>
      </c>
      <c r="C509" s="236" t="s">
        <v>492</v>
      </c>
      <c r="D509" s="236" t="s">
        <v>930</v>
      </c>
      <c r="E509" s="236" t="s">
        <v>1575</v>
      </c>
      <c r="F509" s="236" t="s">
        <v>977</v>
      </c>
      <c r="G509" s="237">
        <v>7.0</v>
      </c>
      <c r="H509" s="237">
        <v>7.0</v>
      </c>
      <c r="I509" s="237">
        <v>0.0</v>
      </c>
      <c r="J509" s="237">
        <v>7.0</v>
      </c>
      <c r="K509" s="237">
        <v>8.0</v>
      </c>
      <c r="L509" s="237">
        <v>-1.0</v>
      </c>
      <c r="M509" s="237">
        <v>16.0</v>
      </c>
      <c r="N509" s="237">
        <v>21.0</v>
      </c>
      <c r="O509" s="1"/>
    </row>
    <row r="510">
      <c r="A510" s="260" t="str">
        <f t="shared" si="1"/>
        <v>Bijlow</v>
      </c>
      <c r="B510" s="237">
        <v>7332.0</v>
      </c>
      <c r="C510" s="236" t="s">
        <v>477</v>
      </c>
      <c r="D510" s="236" t="s">
        <v>478</v>
      </c>
      <c r="E510" s="236" t="s">
        <v>1576</v>
      </c>
      <c r="F510" s="236" t="s">
        <v>1026</v>
      </c>
      <c r="G510" s="237">
        <v>9.0</v>
      </c>
      <c r="H510" s="237">
        <v>10.0</v>
      </c>
      <c r="I510" s="237">
        <v>-1.0</v>
      </c>
      <c r="J510" s="237">
        <v>9.0</v>
      </c>
      <c r="K510" s="237">
        <v>10.0</v>
      </c>
      <c r="L510" s="237">
        <v>-1.0</v>
      </c>
      <c r="M510" s="237">
        <v>11.0</v>
      </c>
      <c r="N510" s="237">
        <v>11.0</v>
      </c>
      <c r="O510" s="1"/>
    </row>
    <row r="511">
      <c r="A511" s="260" t="str">
        <f t="shared" si="1"/>
        <v>Zatterstrom</v>
      </c>
      <c r="B511" s="237">
        <v>7335.0</v>
      </c>
      <c r="C511" s="236" t="s">
        <v>480</v>
      </c>
      <c r="D511" s="236" t="s">
        <v>481</v>
      </c>
      <c r="E511" s="236" t="s">
        <v>459</v>
      </c>
      <c r="F511" s="236" t="s">
        <v>1026</v>
      </c>
      <c r="G511" s="237">
        <v>4.0</v>
      </c>
      <c r="H511" s="237">
        <v>4.0</v>
      </c>
      <c r="I511" s="237">
        <v>0.0</v>
      </c>
      <c r="J511" s="237">
        <v>4.0</v>
      </c>
      <c r="K511" s="237">
        <v>4.0</v>
      </c>
      <c r="L511" s="237">
        <v>0.0</v>
      </c>
      <c r="M511" s="237">
        <v>10.0</v>
      </c>
      <c r="N511" s="237">
        <v>10.0</v>
      </c>
      <c r="O511" s="1"/>
    </row>
    <row r="512">
      <c r="A512" s="260" t="str">
        <f t="shared" si="1"/>
        <v>Motta</v>
      </c>
      <c r="B512" s="237">
        <v>7337.0</v>
      </c>
      <c r="C512" s="236" t="s">
        <v>477</v>
      </c>
      <c r="D512" s="236" t="s">
        <v>478</v>
      </c>
      <c r="E512" s="236" t="s">
        <v>1577</v>
      </c>
      <c r="F512" s="236" t="s">
        <v>1000</v>
      </c>
      <c r="G512" s="237">
        <v>1.0</v>
      </c>
      <c r="H512" s="237">
        <v>1.0</v>
      </c>
      <c r="I512" s="237">
        <v>0.0</v>
      </c>
      <c r="J512" s="237">
        <v>1.0</v>
      </c>
      <c r="K512" s="237">
        <v>1.0</v>
      </c>
      <c r="L512" s="237">
        <v>0.0</v>
      </c>
      <c r="M512" s="237">
        <v>1.0</v>
      </c>
      <c r="N512" s="237">
        <v>1.0</v>
      </c>
      <c r="O512" s="1"/>
    </row>
    <row r="513">
      <c r="A513" s="260" t="str">
        <f t="shared" si="1"/>
        <v>Albarracin</v>
      </c>
      <c r="B513" s="237">
        <v>7338.0</v>
      </c>
      <c r="C513" s="236" t="s">
        <v>507</v>
      </c>
      <c r="D513" s="236" t="s">
        <v>507</v>
      </c>
      <c r="E513" s="236" t="s">
        <v>1578</v>
      </c>
      <c r="F513" s="236" t="s">
        <v>975</v>
      </c>
      <c r="G513" s="237">
        <v>1.0</v>
      </c>
      <c r="H513" s="237">
        <v>1.0</v>
      </c>
      <c r="I513" s="237">
        <v>0.0</v>
      </c>
      <c r="J513" s="237">
        <v>1.0</v>
      </c>
      <c r="K513" s="237">
        <v>1.0</v>
      </c>
      <c r="L513" s="237">
        <v>0.0</v>
      </c>
      <c r="M513" s="237">
        <v>1.0</v>
      </c>
      <c r="N513" s="237">
        <v>1.0</v>
      </c>
      <c r="O513" s="1"/>
    </row>
    <row r="514">
      <c r="A514" s="260" t="str">
        <f t="shared" si="1"/>
        <v>Amorim</v>
      </c>
      <c r="B514" s="237">
        <v>7341.0</v>
      </c>
      <c r="C514" s="236" t="s">
        <v>492</v>
      </c>
      <c r="D514" s="236" t="s">
        <v>930</v>
      </c>
      <c r="E514" s="236" t="s">
        <v>1579</v>
      </c>
      <c r="F514" s="236" t="s">
        <v>1026</v>
      </c>
      <c r="G514" s="237">
        <v>5.0</v>
      </c>
      <c r="H514" s="237">
        <v>5.0</v>
      </c>
      <c r="I514" s="237">
        <v>0.0</v>
      </c>
      <c r="J514" s="237">
        <v>5.0</v>
      </c>
      <c r="K514" s="237">
        <v>5.0</v>
      </c>
      <c r="L514" s="237">
        <v>0.0</v>
      </c>
      <c r="M514" s="237">
        <v>11.0</v>
      </c>
      <c r="N514" s="237">
        <v>11.0</v>
      </c>
      <c r="O514" s="1"/>
    </row>
    <row r="515">
      <c r="A515" s="260" t="str">
        <f t="shared" si="1"/>
        <v>Elphege</v>
      </c>
      <c r="B515" s="237">
        <v>7342.0</v>
      </c>
      <c r="C515" s="236" t="s">
        <v>507</v>
      </c>
      <c r="D515" s="236" t="s">
        <v>512</v>
      </c>
      <c r="E515" s="236" t="s">
        <v>1580</v>
      </c>
      <c r="F515" s="236" t="s">
        <v>985</v>
      </c>
      <c r="G515" s="237">
        <v>1.0</v>
      </c>
      <c r="H515" s="237">
        <v>1.0</v>
      </c>
      <c r="I515" s="237">
        <v>0.0</v>
      </c>
      <c r="J515" s="237">
        <v>1.0</v>
      </c>
      <c r="K515" s="237">
        <v>1.0</v>
      </c>
      <c r="L515" s="237">
        <v>0.0</v>
      </c>
      <c r="M515" s="237">
        <v>1.0</v>
      </c>
      <c r="N515" s="237">
        <v>1.0</v>
      </c>
      <c r="O515" s="1"/>
    </row>
    <row r="516">
      <c r="A516" s="260" t="str">
        <f t="shared" si="1"/>
        <v>Stojilkovic</v>
      </c>
      <c r="B516" s="237">
        <v>7344.0</v>
      </c>
      <c r="C516" s="236" t="s">
        <v>507</v>
      </c>
      <c r="D516" s="236" t="s">
        <v>512</v>
      </c>
      <c r="E516" s="236" t="s">
        <v>1581</v>
      </c>
      <c r="F516" s="236" t="s">
        <v>977</v>
      </c>
      <c r="G516" s="237">
        <v>4.0</v>
      </c>
      <c r="H516" s="237">
        <v>4.0</v>
      </c>
      <c r="I516" s="237">
        <v>0.0</v>
      </c>
      <c r="J516" s="237">
        <v>4.0</v>
      </c>
      <c r="K516" s="237">
        <v>4.0</v>
      </c>
      <c r="L516" s="237">
        <v>0.0</v>
      </c>
      <c r="M516" s="237">
        <v>11.0</v>
      </c>
      <c r="N516" s="237">
        <v>11.0</v>
      </c>
      <c r="O516" s="1"/>
    </row>
    <row r="517">
      <c r="A517" s="260" t="str">
        <f t="shared" si="1"/>
        <v>Przyborek</v>
      </c>
      <c r="B517" s="237">
        <v>7345.0</v>
      </c>
      <c r="C517" s="236" t="s">
        <v>492</v>
      </c>
      <c r="D517" s="236" t="s">
        <v>1057</v>
      </c>
      <c r="E517" s="236" t="s">
        <v>1582</v>
      </c>
      <c r="F517" s="236" t="s">
        <v>1000</v>
      </c>
      <c r="G517" s="237">
        <v>2.0</v>
      </c>
      <c r="H517" s="237">
        <v>2.0</v>
      </c>
      <c r="I517" s="237">
        <v>0.0</v>
      </c>
      <c r="J517" s="237">
        <v>2.0</v>
      </c>
      <c r="K517" s="237">
        <v>2.0</v>
      </c>
      <c r="L517" s="237">
        <v>0.0</v>
      </c>
      <c r="M517" s="237">
        <v>6.0</v>
      </c>
      <c r="N517" s="237">
        <v>6.0</v>
      </c>
      <c r="O517" s="1"/>
    </row>
    <row r="518">
      <c r="A518" s="260" t="str">
        <f t="shared" si="1"/>
        <v>Raterink</v>
      </c>
      <c r="B518" s="237">
        <v>7346.0</v>
      </c>
      <c r="C518" s="236" t="s">
        <v>480</v>
      </c>
      <c r="D518" s="236" t="s">
        <v>938</v>
      </c>
      <c r="E518" s="236" t="s">
        <v>1583</v>
      </c>
      <c r="F518" s="236" t="s">
        <v>975</v>
      </c>
      <c r="G518" s="237">
        <v>1.0</v>
      </c>
      <c r="H518" s="237">
        <v>1.0</v>
      </c>
      <c r="I518" s="237">
        <v>0.0</v>
      </c>
      <c r="J518" s="237">
        <v>1.0</v>
      </c>
      <c r="K518" s="237">
        <v>1.0</v>
      </c>
      <c r="L518" s="237">
        <v>0.0</v>
      </c>
      <c r="M518" s="237">
        <v>1.0</v>
      </c>
      <c r="N518" s="237">
        <v>1.0</v>
      </c>
      <c r="O518" s="1"/>
    </row>
    <row r="519">
      <c r="A519" s="260" t="str">
        <f t="shared" si="1"/>
        <v>Bowie</v>
      </c>
      <c r="B519" s="237">
        <v>7347.0</v>
      </c>
      <c r="C519" s="236" t="s">
        <v>507</v>
      </c>
      <c r="D519" s="236" t="s">
        <v>507</v>
      </c>
      <c r="E519" s="236" t="s">
        <v>1584</v>
      </c>
      <c r="F519" s="236" t="s">
        <v>983</v>
      </c>
      <c r="G519" s="237">
        <v>6.0</v>
      </c>
      <c r="H519" s="237">
        <v>6.0</v>
      </c>
      <c r="I519" s="237">
        <v>0.0</v>
      </c>
      <c r="J519" s="237">
        <v>6.0</v>
      </c>
      <c r="K519" s="237">
        <v>6.0</v>
      </c>
      <c r="L519" s="237">
        <v>0.0</v>
      </c>
      <c r="M519" s="237">
        <v>13.0</v>
      </c>
      <c r="N519" s="237">
        <v>13.0</v>
      </c>
      <c r="O519" s="1"/>
    </row>
    <row r="520">
      <c r="A520" s="260" t="str">
        <f t="shared" si="1"/>
        <v>Kulenovic</v>
      </c>
      <c r="B520" s="237">
        <v>7349.0</v>
      </c>
      <c r="C520" s="236" t="s">
        <v>507</v>
      </c>
      <c r="D520" s="236" t="s">
        <v>512</v>
      </c>
      <c r="E520" s="236" t="s">
        <v>1585</v>
      </c>
      <c r="F520" s="236" t="s">
        <v>972</v>
      </c>
      <c r="G520" s="237">
        <v>5.0</v>
      </c>
      <c r="H520" s="237">
        <v>5.0</v>
      </c>
      <c r="I520" s="237">
        <v>0.0</v>
      </c>
      <c r="J520" s="237">
        <v>5.0</v>
      </c>
      <c r="K520" s="237">
        <v>5.0</v>
      </c>
      <c r="L520" s="237">
        <v>0.0</v>
      </c>
      <c r="M520" s="237">
        <v>13.0</v>
      </c>
      <c r="N520" s="237">
        <v>10.0</v>
      </c>
      <c r="O520" s="1"/>
    </row>
    <row r="521">
      <c r="A521" s="260" t="str">
        <f t="shared" si="1"/>
        <v>Santos A.</v>
      </c>
      <c r="B521" s="237">
        <v>7351.0</v>
      </c>
      <c r="C521" s="236" t="s">
        <v>492</v>
      </c>
      <c r="D521" s="236" t="s">
        <v>935</v>
      </c>
      <c r="E521" s="236" t="s">
        <v>187</v>
      </c>
      <c r="F521" s="236" t="s">
        <v>987</v>
      </c>
      <c r="G521" s="237">
        <v>7.0</v>
      </c>
      <c r="H521" s="237">
        <v>7.0</v>
      </c>
      <c r="I521" s="237">
        <v>0.0</v>
      </c>
      <c r="J521" s="237">
        <v>6.0</v>
      </c>
      <c r="K521" s="237">
        <v>6.0</v>
      </c>
      <c r="L521" s="237">
        <v>0.0</v>
      </c>
      <c r="M521" s="237">
        <v>15.0</v>
      </c>
      <c r="N521" s="237">
        <v>13.0</v>
      </c>
      <c r="O521" s="1"/>
    </row>
    <row r="522">
      <c r="A522" s="260" t="str">
        <f t="shared" si="1"/>
        <v>Edmundsson</v>
      </c>
      <c r="B522" s="237">
        <v>7352.0</v>
      </c>
      <c r="C522" s="236" t="s">
        <v>480</v>
      </c>
      <c r="D522" s="236" t="s">
        <v>481</v>
      </c>
      <c r="E522" s="236" t="s">
        <v>1586</v>
      </c>
      <c r="F522" s="236" t="s">
        <v>983</v>
      </c>
      <c r="G522" s="237">
        <v>2.0</v>
      </c>
      <c r="H522" s="237">
        <v>2.0</v>
      </c>
      <c r="I522" s="237">
        <v>0.0</v>
      </c>
      <c r="J522" s="237">
        <v>2.0</v>
      </c>
      <c r="K522" s="237">
        <v>2.0</v>
      </c>
      <c r="L522" s="237">
        <v>0.0</v>
      </c>
      <c r="M522" s="237">
        <v>5.0</v>
      </c>
      <c r="N522" s="237">
        <v>5.0</v>
      </c>
      <c r="O522" s="1"/>
    </row>
    <row r="523">
      <c r="A523" s="260" t="str">
        <f t="shared" si="1"/>
        <v>Pedro Felipe</v>
      </c>
      <c r="B523" s="237">
        <v>7353.0</v>
      </c>
      <c r="C523" s="236" t="s">
        <v>480</v>
      </c>
      <c r="D523" s="236" t="s">
        <v>481</v>
      </c>
      <c r="E523" s="236" t="s">
        <v>1587</v>
      </c>
      <c r="F523" s="236" t="s">
        <v>1005</v>
      </c>
      <c r="G523" s="237">
        <v>1.0</v>
      </c>
      <c r="H523" s="237">
        <v>1.0</v>
      </c>
      <c r="I523" s="237">
        <v>0.0</v>
      </c>
      <c r="J523" s="237">
        <v>1.0</v>
      </c>
      <c r="K523" s="237">
        <v>1.0</v>
      </c>
      <c r="L523" s="237">
        <v>0.0</v>
      </c>
      <c r="M523" s="237">
        <v>3.0</v>
      </c>
      <c r="N523" s="237">
        <v>3.0</v>
      </c>
      <c r="O523" s="1"/>
    </row>
    <row r="524">
      <c r="A524" s="260" t="str">
        <f t="shared" si="1"/>
        <v>Mlacic</v>
      </c>
      <c r="B524" s="237">
        <v>7356.0</v>
      </c>
      <c r="C524" s="236" t="s">
        <v>480</v>
      </c>
      <c r="D524" s="236" t="s">
        <v>481</v>
      </c>
      <c r="E524" s="236" t="s">
        <v>136</v>
      </c>
      <c r="F524" s="236" t="s">
        <v>993</v>
      </c>
      <c r="G524" s="237">
        <v>3.0</v>
      </c>
      <c r="H524" s="237">
        <v>3.0</v>
      </c>
      <c r="I524" s="237">
        <v>0.0</v>
      </c>
      <c r="J524" s="237">
        <v>3.0</v>
      </c>
      <c r="K524" s="237">
        <v>3.0</v>
      </c>
      <c r="L524" s="237">
        <v>0.0</v>
      </c>
      <c r="M524" s="237">
        <v>8.0</v>
      </c>
      <c r="N524" s="237">
        <v>8.0</v>
      </c>
      <c r="O524" s="1"/>
    </row>
    <row r="525">
      <c r="A525" s="260" t="str">
        <f t="shared" si="1"/>
        <v>Lahdo</v>
      </c>
      <c r="B525" s="237">
        <v>7357.0</v>
      </c>
      <c r="C525" s="236" t="s">
        <v>492</v>
      </c>
      <c r="D525" s="236" t="s">
        <v>934</v>
      </c>
      <c r="E525" s="236" t="s">
        <v>1588</v>
      </c>
      <c r="F525" s="236" t="s">
        <v>974</v>
      </c>
      <c r="G525" s="237">
        <v>2.0</v>
      </c>
      <c r="H525" s="237">
        <v>2.0</v>
      </c>
      <c r="I525" s="237">
        <v>0.0</v>
      </c>
      <c r="J525" s="237">
        <v>2.0</v>
      </c>
      <c r="K525" s="237">
        <v>2.0</v>
      </c>
      <c r="L525" s="237">
        <v>0.0</v>
      </c>
      <c r="M525" s="237">
        <v>9.0</v>
      </c>
      <c r="N525" s="237">
        <v>9.0</v>
      </c>
      <c r="O525" s="1"/>
    </row>
    <row r="526">
      <c r="A526" s="260" t="str">
        <f t="shared" si="1"/>
        <v>Siviero</v>
      </c>
      <c r="B526" s="237">
        <v>7363.0</v>
      </c>
      <c r="C526" s="236" t="s">
        <v>477</v>
      </c>
      <c r="D526" s="236" t="s">
        <v>478</v>
      </c>
      <c r="E526" s="236" t="s">
        <v>1589</v>
      </c>
      <c r="F526" s="236" t="s">
        <v>972</v>
      </c>
      <c r="G526" s="237">
        <v>1.0</v>
      </c>
      <c r="H526" s="237">
        <v>1.0</v>
      </c>
      <c r="I526" s="237">
        <v>0.0</v>
      </c>
      <c r="J526" s="237">
        <v>1.0</v>
      </c>
      <c r="K526" s="237">
        <v>1.0</v>
      </c>
      <c r="L526" s="237">
        <v>0.0</v>
      </c>
      <c r="M526" s="237">
        <v>1.0</v>
      </c>
      <c r="N526" s="237">
        <v>1.0</v>
      </c>
      <c r="O526" s="1"/>
    </row>
    <row r="527">
      <c r="A527" s="262" t="str">
        <f t="shared" si="1"/>
        <v>Radunovic</v>
      </c>
      <c r="B527" s="263">
        <v>3.0</v>
      </c>
      <c r="C527" s="264" t="s">
        <v>477</v>
      </c>
      <c r="D527" s="264" t="s">
        <v>478</v>
      </c>
      <c r="E527" s="264" t="s">
        <v>1157</v>
      </c>
      <c r="F527" s="264" t="s">
        <v>975</v>
      </c>
      <c r="G527" s="263">
        <v>1.0</v>
      </c>
      <c r="H527" s="263">
        <v>1.0</v>
      </c>
      <c r="I527" s="263">
        <v>0.0</v>
      </c>
      <c r="J527" s="263">
        <v>1.0</v>
      </c>
      <c r="K527" s="263">
        <v>1.0</v>
      </c>
      <c r="L527" s="263">
        <v>0.0</v>
      </c>
      <c r="M527" s="263">
        <v>1.0</v>
      </c>
      <c r="N527" s="263">
        <v>1.0</v>
      </c>
      <c r="O527" s="265" t="s">
        <v>1590</v>
      </c>
    </row>
    <row r="528">
      <c r="A528" s="262" t="str">
        <f t="shared" si="1"/>
        <v>Masina</v>
      </c>
      <c r="B528" s="263">
        <v>49.0</v>
      </c>
      <c r="C528" s="264" t="s">
        <v>480</v>
      </c>
      <c r="D528" s="264" t="s">
        <v>979</v>
      </c>
      <c r="E528" s="264" t="s">
        <v>623</v>
      </c>
      <c r="F528" s="264" t="s">
        <v>972</v>
      </c>
      <c r="G528" s="263">
        <v>2.0</v>
      </c>
      <c r="H528" s="263">
        <v>3.0</v>
      </c>
      <c r="I528" s="263">
        <v>-1.0</v>
      </c>
      <c r="J528" s="263">
        <v>2.0</v>
      </c>
      <c r="K528" s="263">
        <v>4.0</v>
      </c>
      <c r="L528" s="263">
        <v>-2.0</v>
      </c>
      <c r="M528" s="263">
        <v>8.0</v>
      </c>
      <c r="N528" s="263">
        <v>10.0</v>
      </c>
      <c r="O528" s="265" t="s">
        <v>1590</v>
      </c>
    </row>
    <row r="529">
      <c r="A529" s="262" t="str">
        <f t="shared" si="1"/>
        <v>Vecino</v>
      </c>
      <c r="B529" s="263">
        <v>181.0</v>
      </c>
      <c r="C529" s="264" t="s">
        <v>492</v>
      </c>
      <c r="D529" s="264" t="s">
        <v>930</v>
      </c>
      <c r="E529" s="264" t="s">
        <v>771</v>
      </c>
      <c r="F529" s="264" t="s">
        <v>1000</v>
      </c>
      <c r="G529" s="263">
        <v>6.0</v>
      </c>
      <c r="H529" s="263">
        <v>6.0</v>
      </c>
      <c r="I529" s="263">
        <v>0.0</v>
      </c>
      <c r="J529" s="263">
        <v>6.0</v>
      </c>
      <c r="K529" s="263">
        <v>6.0</v>
      </c>
      <c r="L529" s="263">
        <v>0.0</v>
      </c>
      <c r="M529" s="263">
        <v>13.0</v>
      </c>
      <c r="N529" s="263">
        <v>16.0</v>
      </c>
      <c r="O529" s="265" t="s">
        <v>1590</v>
      </c>
    </row>
    <row r="530">
      <c r="A530" s="262" t="str">
        <f t="shared" si="1"/>
        <v>Donnarumma An.</v>
      </c>
      <c r="B530" s="263">
        <v>216.0</v>
      </c>
      <c r="C530" s="264" t="s">
        <v>477</v>
      </c>
      <c r="D530" s="264" t="s">
        <v>478</v>
      </c>
      <c r="E530" s="264" t="s">
        <v>1224</v>
      </c>
      <c r="F530" s="264" t="s">
        <v>972</v>
      </c>
      <c r="G530" s="263">
        <v>1.0</v>
      </c>
      <c r="H530" s="263">
        <v>1.0</v>
      </c>
      <c r="I530" s="263">
        <v>0.0</v>
      </c>
      <c r="J530" s="263">
        <v>1.0</v>
      </c>
      <c r="K530" s="263">
        <v>1.0</v>
      </c>
      <c r="L530" s="263">
        <v>0.0</v>
      </c>
      <c r="M530" s="263">
        <v>1.0</v>
      </c>
      <c r="N530" s="263">
        <v>1.0</v>
      </c>
      <c r="O530" s="265" t="s">
        <v>1590</v>
      </c>
    </row>
    <row r="531">
      <c r="A531" s="262" t="str">
        <f t="shared" si="1"/>
        <v>Vazquez</v>
      </c>
      <c r="B531" s="263">
        <v>449.0</v>
      </c>
      <c r="C531" s="264" t="s">
        <v>492</v>
      </c>
      <c r="D531" s="264" t="s">
        <v>947</v>
      </c>
      <c r="E531" s="264" t="s">
        <v>1209</v>
      </c>
      <c r="F531" s="264" t="s">
        <v>995</v>
      </c>
      <c r="G531" s="263">
        <v>13.0</v>
      </c>
      <c r="H531" s="263">
        <v>10.0</v>
      </c>
      <c r="I531" s="263">
        <v>3.0</v>
      </c>
      <c r="J531" s="263">
        <v>13.0</v>
      </c>
      <c r="K531" s="263">
        <v>10.0</v>
      </c>
      <c r="L531" s="263">
        <v>3.0</v>
      </c>
      <c r="M531" s="263">
        <v>11.0</v>
      </c>
      <c r="N531" s="263">
        <v>11.0</v>
      </c>
      <c r="O531" s="265" t="s">
        <v>1590</v>
      </c>
    </row>
    <row r="532">
      <c r="A532" s="262" t="str">
        <f t="shared" si="1"/>
        <v>Dzeko</v>
      </c>
      <c r="B532" s="263">
        <v>647.0</v>
      </c>
      <c r="C532" s="264" t="s">
        <v>507</v>
      </c>
      <c r="D532" s="264" t="s">
        <v>512</v>
      </c>
      <c r="E532" s="264" t="s">
        <v>1050</v>
      </c>
      <c r="F532" s="264" t="s">
        <v>1033</v>
      </c>
      <c r="G532" s="263">
        <v>3.0</v>
      </c>
      <c r="H532" s="263">
        <v>15.0</v>
      </c>
      <c r="I532" s="263">
        <v>-12.0</v>
      </c>
      <c r="J532" s="263">
        <v>3.0</v>
      </c>
      <c r="K532" s="263">
        <v>15.0</v>
      </c>
      <c r="L532" s="263">
        <v>-12.0</v>
      </c>
      <c r="M532" s="263">
        <v>10.0</v>
      </c>
      <c r="N532" s="263">
        <v>10.0</v>
      </c>
      <c r="O532" s="265" t="s">
        <v>1590</v>
      </c>
    </row>
    <row r="533">
      <c r="A533" s="262" t="str">
        <f t="shared" si="1"/>
        <v>Immobile</v>
      </c>
      <c r="B533" s="263">
        <v>785.0</v>
      </c>
      <c r="C533" s="264" t="s">
        <v>507</v>
      </c>
      <c r="D533" s="264" t="s">
        <v>512</v>
      </c>
      <c r="E533" s="264" t="s">
        <v>1078</v>
      </c>
      <c r="F533" s="264" t="s">
        <v>1009</v>
      </c>
      <c r="G533" s="263">
        <v>4.0</v>
      </c>
      <c r="H533" s="263">
        <v>19.0</v>
      </c>
      <c r="I533" s="263">
        <v>-15.0</v>
      </c>
      <c r="J533" s="263">
        <v>4.0</v>
      </c>
      <c r="K533" s="263">
        <v>19.0</v>
      </c>
      <c r="L533" s="263">
        <v>-15.0</v>
      </c>
      <c r="M533" s="263">
        <v>15.0</v>
      </c>
      <c r="N533" s="263">
        <v>12.0</v>
      </c>
      <c r="O533" s="265" t="s">
        <v>1590</v>
      </c>
    </row>
    <row r="534">
      <c r="A534" s="262" t="str">
        <f t="shared" si="1"/>
        <v>Pierini</v>
      </c>
      <c r="B534" s="263">
        <v>1842.0</v>
      </c>
      <c r="C534" s="264" t="s">
        <v>507</v>
      </c>
      <c r="D534" s="264" t="s">
        <v>507</v>
      </c>
      <c r="E534" s="264" t="s">
        <v>1154</v>
      </c>
      <c r="F534" s="264" t="s">
        <v>1005</v>
      </c>
      <c r="G534" s="263">
        <v>2.0</v>
      </c>
      <c r="H534" s="263">
        <v>5.0</v>
      </c>
      <c r="I534" s="263">
        <v>-3.0</v>
      </c>
      <c r="J534" s="263">
        <v>2.0</v>
      </c>
      <c r="K534" s="263">
        <v>5.0</v>
      </c>
      <c r="L534" s="263">
        <v>-3.0</v>
      </c>
      <c r="M534" s="263">
        <v>8.0</v>
      </c>
      <c r="N534" s="263">
        <v>8.0</v>
      </c>
      <c r="O534" s="265" t="s">
        <v>1590</v>
      </c>
    </row>
    <row r="535">
      <c r="A535" s="262" t="str">
        <f t="shared" si="1"/>
        <v>Rog</v>
      </c>
      <c r="B535" s="263">
        <v>2076.0</v>
      </c>
      <c r="C535" s="264" t="s">
        <v>492</v>
      </c>
      <c r="D535" s="264" t="s">
        <v>930</v>
      </c>
      <c r="E535" s="264" t="s">
        <v>1163</v>
      </c>
      <c r="F535" s="264" t="s">
        <v>975</v>
      </c>
      <c r="G535" s="263">
        <v>1.0</v>
      </c>
      <c r="H535" s="263">
        <v>1.0</v>
      </c>
      <c r="I535" s="263">
        <v>0.0</v>
      </c>
      <c r="J535" s="263">
        <v>1.0</v>
      </c>
      <c r="K535" s="263">
        <v>1.0</v>
      </c>
      <c r="L535" s="263">
        <v>0.0</v>
      </c>
      <c r="M535" s="263">
        <v>1.0</v>
      </c>
      <c r="N535" s="263">
        <v>1.0</v>
      </c>
      <c r="O535" s="265" t="s">
        <v>1590</v>
      </c>
    </row>
    <row r="536">
      <c r="A536" s="262" t="str">
        <f t="shared" si="1"/>
        <v>Kastanos</v>
      </c>
      <c r="B536" s="263">
        <v>2117.0</v>
      </c>
      <c r="C536" s="264" t="s">
        <v>492</v>
      </c>
      <c r="D536" s="264" t="s">
        <v>934</v>
      </c>
      <c r="E536" s="264" t="s">
        <v>1084</v>
      </c>
      <c r="F536" s="264" t="s">
        <v>983</v>
      </c>
      <c r="G536" s="263">
        <v>1.0</v>
      </c>
      <c r="H536" s="263">
        <v>4.0</v>
      </c>
      <c r="I536" s="263">
        <v>-3.0</v>
      </c>
      <c r="J536" s="263">
        <v>1.0</v>
      </c>
      <c r="K536" s="263">
        <v>4.0</v>
      </c>
      <c r="L536" s="263">
        <v>-3.0</v>
      </c>
      <c r="M536" s="263">
        <v>8.0</v>
      </c>
      <c r="N536" s="263">
        <v>8.0</v>
      </c>
      <c r="O536" s="265" t="s">
        <v>1590</v>
      </c>
    </row>
    <row r="537">
      <c r="A537" s="262" t="str">
        <f t="shared" si="1"/>
        <v>Cutrone</v>
      </c>
      <c r="B537" s="263">
        <v>2155.0</v>
      </c>
      <c r="C537" s="264" t="s">
        <v>507</v>
      </c>
      <c r="D537" s="264" t="s">
        <v>512</v>
      </c>
      <c r="E537" s="264" t="s">
        <v>716</v>
      </c>
      <c r="F537" s="264" t="s">
        <v>985</v>
      </c>
      <c r="G537" s="263">
        <v>6.0</v>
      </c>
      <c r="H537" s="263">
        <v>10.0</v>
      </c>
      <c r="I537" s="263">
        <v>-4.0</v>
      </c>
      <c r="J537" s="263">
        <v>6.0</v>
      </c>
      <c r="K537" s="263">
        <v>10.0</v>
      </c>
      <c r="L537" s="263">
        <v>-4.0</v>
      </c>
      <c r="M537" s="263">
        <v>14.0</v>
      </c>
      <c r="N537" s="263">
        <v>11.0</v>
      </c>
      <c r="O537" s="265" t="s">
        <v>1590</v>
      </c>
    </row>
    <row r="538">
      <c r="A538" s="262" t="str">
        <f t="shared" si="1"/>
        <v>Valoti</v>
      </c>
      <c r="B538" s="263">
        <v>2274.0</v>
      </c>
      <c r="C538" s="264" t="s">
        <v>492</v>
      </c>
      <c r="D538" s="264" t="s">
        <v>934</v>
      </c>
      <c r="E538" s="264" t="s">
        <v>1204</v>
      </c>
      <c r="F538" s="264" t="s">
        <v>995</v>
      </c>
      <c r="G538" s="263">
        <v>1.0</v>
      </c>
      <c r="H538" s="263">
        <v>7.0</v>
      </c>
      <c r="I538" s="263">
        <v>-6.0</v>
      </c>
      <c r="J538" s="263">
        <v>1.0</v>
      </c>
      <c r="K538" s="263">
        <v>7.0</v>
      </c>
      <c r="L538" s="263">
        <v>-6.0</v>
      </c>
      <c r="M538" s="263">
        <v>3.0</v>
      </c>
      <c r="N538" s="263">
        <v>3.0</v>
      </c>
      <c r="O538" s="265" t="s">
        <v>1590</v>
      </c>
    </row>
    <row r="539">
      <c r="A539" s="262" t="str">
        <f t="shared" si="1"/>
        <v>Thauvin</v>
      </c>
      <c r="B539" s="263">
        <v>2369.0</v>
      </c>
      <c r="C539" s="264" t="s">
        <v>507</v>
      </c>
      <c r="D539" s="264" t="s">
        <v>507</v>
      </c>
      <c r="E539" s="264" t="s">
        <v>857</v>
      </c>
      <c r="F539" s="264" t="s">
        <v>993</v>
      </c>
      <c r="G539" s="263">
        <v>16.0</v>
      </c>
      <c r="H539" s="263">
        <v>16.0</v>
      </c>
      <c r="I539" s="263">
        <v>0.0</v>
      </c>
      <c r="J539" s="263">
        <v>16.0</v>
      </c>
      <c r="K539" s="263">
        <v>16.0</v>
      </c>
      <c r="L539" s="263">
        <v>0.0</v>
      </c>
      <c r="M539" s="263">
        <v>64.0</v>
      </c>
      <c r="N539" s="263">
        <v>64.0</v>
      </c>
      <c r="O539" s="265" t="s">
        <v>1590</v>
      </c>
    </row>
    <row r="540">
      <c r="A540" s="262" t="str">
        <f t="shared" si="1"/>
        <v>Sanchez</v>
      </c>
      <c r="B540" s="263">
        <v>2475.0</v>
      </c>
      <c r="C540" s="264" t="s">
        <v>507</v>
      </c>
      <c r="D540" s="264" t="s">
        <v>507</v>
      </c>
      <c r="E540" s="264" t="s">
        <v>1252</v>
      </c>
      <c r="F540" s="264" t="s">
        <v>993</v>
      </c>
      <c r="G540" s="263">
        <v>6.0</v>
      </c>
      <c r="H540" s="263">
        <v>7.0</v>
      </c>
      <c r="I540" s="263">
        <v>-1.0</v>
      </c>
      <c r="J540" s="263">
        <v>6.0</v>
      </c>
      <c r="K540" s="263">
        <v>7.0</v>
      </c>
      <c r="L540" s="263">
        <v>-1.0</v>
      </c>
      <c r="M540" s="263">
        <v>10.0</v>
      </c>
      <c r="N540" s="263">
        <v>10.0</v>
      </c>
      <c r="O540" s="265" t="s">
        <v>1590</v>
      </c>
    </row>
    <row r="541">
      <c r="A541" s="262" t="str">
        <f t="shared" si="1"/>
        <v>Alli</v>
      </c>
      <c r="B541" s="263">
        <v>2553.0</v>
      </c>
      <c r="C541" s="264" t="s">
        <v>492</v>
      </c>
      <c r="D541" s="264" t="s">
        <v>543</v>
      </c>
      <c r="E541" s="264" t="s">
        <v>1546</v>
      </c>
      <c r="F541" s="264" t="s">
        <v>974</v>
      </c>
      <c r="G541" s="263">
        <v>1.0</v>
      </c>
      <c r="H541" s="263">
        <v>1.0</v>
      </c>
      <c r="I541" s="263">
        <v>0.0</v>
      </c>
      <c r="J541" s="263">
        <v>1.0</v>
      </c>
      <c r="K541" s="263">
        <v>1.0</v>
      </c>
      <c r="L541" s="263">
        <v>0.0</v>
      </c>
      <c r="M541" s="263">
        <v>1.0</v>
      </c>
      <c r="N541" s="263">
        <v>1.0</v>
      </c>
      <c r="O541" s="265" t="s">
        <v>1590</v>
      </c>
    </row>
    <row r="542">
      <c r="A542" s="262" t="str">
        <f t="shared" si="1"/>
        <v>Bailey</v>
      </c>
      <c r="B542" s="263">
        <v>2670.0</v>
      </c>
      <c r="C542" s="264" t="s">
        <v>492</v>
      </c>
      <c r="D542" s="264" t="s">
        <v>935</v>
      </c>
      <c r="E542" s="264" t="s">
        <v>996</v>
      </c>
      <c r="F542" s="264" t="s">
        <v>988</v>
      </c>
      <c r="G542" s="263">
        <v>8.0</v>
      </c>
      <c r="H542" s="263">
        <v>16.0</v>
      </c>
      <c r="I542" s="263">
        <v>-8.0</v>
      </c>
      <c r="J542" s="263">
        <v>3.0</v>
      </c>
      <c r="K542" s="263">
        <v>15.0</v>
      </c>
      <c r="L542" s="263">
        <v>-12.0</v>
      </c>
      <c r="M542" s="263">
        <v>10.0</v>
      </c>
      <c r="N542" s="263">
        <v>10.0</v>
      </c>
      <c r="O542" s="265" t="s">
        <v>1590</v>
      </c>
    </row>
    <row r="543">
      <c r="A543" s="262" t="str">
        <f t="shared" si="1"/>
        <v>Kouamè</v>
      </c>
      <c r="B543" s="263">
        <v>2762.0</v>
      </c>
      <c r="C543" s="264" t="s">
        <v>507</v>
      </c>
      <c r="D543" s="264" t="s">
        <v>507</v>
      </c>
      <c r="E543" s="264" t="s">
        <v>1591</v>
      </c>
      <c r="F543" s="264" t="s">
        <v>1033</v>
      </c>
      <c r="G543" s="263">
        <v>1.0</v>
      </c>
      <c r="H543" s="263">
        <v>1.0</v>
      </c>
      <c r="I543" s="263">
        <v>0.0</v>
      </c>
      <c r="J543" s="263">
        <v>1.0</v>
      </c>
      <c r="K543" s="263">
        <v>1.0</v>
      </c>
      <c r="L543" s="263">
        <v>0.0</v>
      </c>
      <c r="M543" s="263">
        <v>1.0</v>
      </c>
      <c r="N543" s="263">
        <v>1.0</v>
      </c>
      <c r="O543" s="265" t="s">
        <v>1590</v>
      </c>
    </row>
    <row r="544">
      <c r="A544" s="262" t="str">
        <f t="shared" si="1"/>
        <v>Zanimacchia</v>
      </c>
      <c r="B544" s="263">
        <v>2842.0</v>
      </c>
      <c r="C544" s="264" t="s">
        <v>492</v>
      </c>
      <c r="D544" s="264" t="s">
        <v>563</v>
      </c>
      <c r="E544" s="264" t="s">
        <v>1592</v>
      </c>
      <c r="F544" s="264" t="s">
        <v>995</v>
      </c>
      <c r="G544" s="263">
        <v>5.0</v>
      </c>
      <c r="H544" s="263">
        <v>5.0</v>
      </c>
      <c r="I544" s="263">
        <v>0.0</v>
      </c>
      <c r="J544" s="263">
        <v>4.0</v>
      </c>
      <c r="K544" s="263">
        <v>4.0</v>
      </c>
      <c r="L544" s="263">
        <v>0.0</v>
      </c>
      <c r="M544" s="263">
        <v>5.0</v>
      </c>
      <c r="N544" s="263">
        <v>5.0</v>
      </c>
      <c r="O544" s="265" t="s">
        <v>1590</v>
      </c>
    </row>
    <row r="545">
      <c r="A545" s="262" t="str">
        <f t="shared" si="1"/>
        <v>Sernicola</v>
      </c>
      <c r="B545" s="263">
        <v>2847.0</v>
      </c>
      <c r="C545" s="264" t="s">
        <v>480</v>
      </c>
      <c r="D545" s="264" t="s">
        <v>944</v>
      </c>
      <c r="E545" s="264" t="s">
        <v>1176</v>
      </c>
      <c r="F545" s="264" t="s">
        <v>995</v>
      </c>
      <c r="G545" s="263">
        <v>1.0</v>
      </c>
      <c r="H545" s="263">
        <v>1.0</v>
      </c>
      <c r="I545" s="263">
        <v>0.0</v>
      </c>
      <c r="J545" s="263">
        <v>1.0</v>
      </c>
      <c r="K545" s="263">
        <v>1.0</v>
      </c>
      <c r="L545" s="263">
        <v>0.0</v>
      </c>
      <c r="M545" s="263">
        <v>1.0</v>
      </c>
      <c r="N545" s="263">
        <v>1.0</v>
      </c>
      <c r="O545" s="265" t="s">
        <v>1590</v>
      </c>
    </row>
    <row r="546">
      <c r="A546" s="262" t="str">
        <f t="shared" si="1"/>
        <v>Pavard</v>
      </c>
      <c r="B546" s="263">
        <v>4177.0</v>
      </c>
      <c r="C546" s="264" t="s">
        <v>480</v>
      </c>
      <c r="D546" s="264" t="s">
        <v>937</v>
      </c>
      <c r="E546" s="264" t="s">
        <v>718</v>
      </c>
      <c r="F546" s="264" t="s">
        <v>973</v>
      </c>
      <c r="G546" s="263">
        <v>8.0</v>
      </c>
      <c r="H546" s="263">
        <v>8.0</v>
      </c>
      <c r="I546" s="263">
        <v>0.0</v>
      </c>
      <c r="J546" s="263">
        <v>9.0</v>
      </c>
      <c r="K546" s="263">
        <v>9.0</v>
      </c>
      <c r="L546" s="263">
        <v>0.0</v>
      </c>
      <c r="M546" s="263">
        <v>22.0</v>
      </c>
      <c r="N546" s="263">
        <v>25.0</v>
      </c>
      <c r="O546" s="265" t="s">
        <v>1590</v>
      </c>
    </row>
    <row r="547">
      <c r="A547" s="262" t="str">
        <f t="shared" si="1"/>
        <v>Gonzalez N.</v>
      </c>
      <c r="B547" s="263">
        <v>4179.0</v>
      </c>
      <c r="C547" s="264" t="s">
        <v>507</v>
      </c>
      <c r="D547" s="264" t="s">
        <v>935</v>
      </c>
      <c r="E547" s="264" t="s">
        <v>720</v>
      </c>
      <c r="F547" s="264" t="s">
        <v>976</v>
      </c>
      <c r="G547" s="263">
        <v>11.0</v>
      </c>
      <c r="H547" s="263">
        <v>12.0</v>
      </c>
      <c r="I547" s="263">
        <v>-1.0</v>
      </c>
      <c r="J547" s="263">
        <v>11.0</v>
      </c>
      <c r="K547" s="263">
        <v>12.0</v>
      </c>
      <c r="L547" s="263">
        <v>-1.0</v>
      </c>
      <c r="M547" s="263">
        <v>15.0</v>
      </c>
      <c r="N547" s="263">
        <v>15.0</v>
      </c>
      <c r="O547" s="265" t="s">
        <v>1590</v>
      </c>
    </row>
    <row r="548">
      <c r="A548" s="262" t="str">
        <f t="shared" si="1"/>
        <v>Guendouzi</v>
      </c>
      <c r="B548" s="263">
        <v>4186.0</v>
      </c>
      <c r="C548" s="264" t="s">
        <v>492</v>
      </c>
      <c r="D548" s="264" t="s">
        <v>492</v>
      </c>
      <c r="E548" s="264" t="s">
        <v>438</v>
      </c>
      <c r="F548" s="264" t="s">
        <v>1000</v>
      </c>
      <c r="G548" s="263">
        <v>13.0</v>
      </c>
      <c r="H548" s="263">
        <v>11.0</v>
      </c>
      <c r="I548" s="263">
        <v>2.0</v>
      </c>
      <c r="J548" s="263">
        <v>13.0</v>
      </c>
      <c r="K548" s="263">
        <v>11.0</v>
      </c>
      <c r="L548" s="263">
        <v>2.0</v>
      </c>
      <c r="M548" s="263">
        <v>20.0</v>
      </c>
      <c r="N548" s="263">
        <v>20.0</v>
      </c>
      <c r="O548" s="265" t="s">
        <v>1590</v>
      </c>
    </row>
    <row r="549">
      <c r="A549" s="262" t="str">
        <f t="shared" si="1"/>
        <v>Hernani</v>
      </c>
      <c r="B549" s="263">
        <v>4423.0</v>
      </c>
      <c r="C549" s="264" t="s">
        <v>492</v>
      </c>
      <c r="D549" s="264" t="s">
        <v>492</v>
      </c>
      <c r="E549" s="264" t="s">
        <v>699</v>
      </c>
      <c r="F549" s="264" t="s">
        <v>985</v>
      </c>
      <c r="G549" s="263">
        <v>2.0</v>
      </c>
      <c r="H549" s="263">
        <v>7.0</v>
      </c>
      <c r="I549" s="263">
        <v>-5.0</v>
      </c>
      <c r="J549" s="263">
        <v>2.0</v>
      </c>
      <c r="K549" s="263">
        <v>7.0</v>
      </c>
      <c r="L549" s="263">
        <v>-5.0</v>
      </c>
      <c r="M549" s="263">
        <v>10.0</v>
      </c>
      <c r="N549" s="263">
        <v>10.0</v>
      </c>
      <c r="O549" s="265" t="s">
        <v>1590</v>
      </c>
    </row>
    <row r="550">
      <c r="A550" s="262" t="str">
        <f t="shared" si="1"/>
        <v>Kumbulla</v>
      </c>
      <c r="B550" s="263">
        <v>4495.0</v>
      </c>
      <c r="C550" s="264" t="s">
        <v>480</v>
      </c>
      <c r="D550" s="264" t="s">
        <v>481</v>
      </c>
      <c r="E550" s="264" t="s">
        <v>1438</v>
      </c>
      <c r="F550" s="264" t="s">
        <v>988</v>
      </c>
      <c r="G550" s="263">
        <v>2.0</v>
      </c>
      <c r="H550" s="263">
        <v>2.0</v>
      </c>
      <c r="I550" s="263">
        <v>0.0</v>
      </c>
      <c r="J550" s="263">
        <v>2.0</v>
      </c>
      <c r="K550" s="263">
        <v>2.0</v>
      </c>
      <c r="L550" s="263">
        <v>0.0</v>
      </c>
      <c r="M550" s="263">
        <v>5.0</v>
      </c>
      <c r="N550" s="263">
        <v>5.0</v>
      </c>
      <c r="O550" s="265" t="s">
        <v>1590</v>
      </c>
    </row>
    <row r="551">
      <c r="A551" s="262" t="str">
        <f t="shared" si="1"/>
        <v>Russo A.</v>
      </c>
      <c r="B551" s="263">
        <v>4518.0</v>
      </c>
      <c r="C551" s="264" t="s">
        <v>477</v>
      </c>
      <c r="D551" s="264" t="s">
        <v>478</v>
      </c>
      <c r="E551" s="264" t="s">
        <v>1593</v>
      </c>
      <c r="F551" s="264" t="s">
        <v>1005</v>
      </c>
      <c r="G551" s="263">
        <v>1.0</v>
      </c>
      <c r="H551" s="263">
        <v>1.0</v>
      </c>
      <c r="I551" s="263">
        <v>0.0</v>
      </c>
      <c r="J551" s="263">
        <v>1.0</v>
      </c>
      <c r="K551" s="263">
        <v>1.0</v>
      </c>
      <c r="L551" s="263">
        <v>0.0</v>
      </c>
      <c r="M551" s="263">
        <v>1.0</v>
      </c>
      <c r="N551" s="263">
        <v>1.0</v>
      </c>
      <c r="O551" s="265" t="s">
        <v>1590</v>
      </c>
    </row>
    <row r="552">
      <c r="A552" s="262" t="str">
        <f t="shared" si="1"/>
        <v>Weah</v>
      </c>
      <c r="B552" s="263">
        <v>4662.0</v>
      </c>
      <c r="C552" s="264" t="s">
        <v>492</v>
      </c>
      <c r="D552" s="264" t="s">
        <v>1089</v>
      </c>
      <c r="E552" s="264" t="s">
        <v>846</v>
      </c>
      <c r="F552" s="264" t="s">
        <v>976</v>
      </c>
      <c r="G552" s="263">
        <v>7.0</v>
      </c>
      <c r="H552" s="263">
        <v>7.0</v>
      </c>
      <c r="I552" s="263">
        <v>0.0</v>
      </c>
      <c r="J552" s="263">
        <v>7.0</v>
      </c>
      <c r="K552" s="263">
        <v>7.0</v>
      </c>
      <c r="L552" s="263">
        <v>0.0</v>
      </c>
      <c r="M552" s="263">
        <v>5.0</v>
      </c>
      <c r="N552" s="263">
        <v>5.0</v>
      </c>
      <c r="O552" s="265" t="s">
        <v>1590</v>
      </c>
    </row>
    <row r="553">
      <c r="A553" s="262" t="str">
        <f t="shared" si="1"/>
        <v>Lookman</v>
      </c>
      <c r="B553" s="263">
        <v>4730.0</v>
      </c>
      <c r="C553" s="264" t="s">
        <v>507</v>
      </c>
      <c r="D553" s="264" t="s">
        <v>507</v>
      </c>
      <c r="E553" s="264" t="s">
        <v>753</v>
      </c>
      <c r="F553" s="264" t="s">
        <v>980</v>
      </c>
      <c r="G553" s="263">
        <v>14.0</v>
      </c>
      <c r="H553" s="263">
        <v>29.0</v>
      </c>
      <c r="I553" s="263">
        <v>-15.0</v>
      </c>
      <c r="J553" s="263">
        <v>15.0</v>
      </c>
      <c r="K553" s="263">
        <v>30.0</v>
      </c>
      <c r="L553" s="263">
        <v>-15.0</v>
      </c>
      <c r="M553" s="263">
        <v>65.0</v>
      </c>
      <c r="N553" s="263">
        <v>65.0</v>
      </c>
      <c r="O553" s="265" t="s">
        <v>1590</v>
      </c>
    </row>
    <row r="554">
      <c r="A554" s="262" t="str">
        <f t="shared" si="1"/>
        <v>Chukwueze</v>
      </c>
      <c r="B554" s="263">
        <v>4856.0</v>
      </c>
      <c r="C554" s="264" t="s">
        <v>492</v>
      </c>
      <c r="D554" s="264" t="s">
        <v>563</v>
      </c>
      <c r="E554" s="264" t="s">
        <v>151</v>
      </c>
      <c r="F554" s="264" t="s">
        <v>991</v>
      </c>
      <c r="G554" s="263">
        <v>4.0</v>
      </c>
      <c r="H554" s="263">
        <v>4.0</v>
      </c>
      <c r="I554" s="263">
        <v>0.0</v>
      </c>
      <c r="J554" s="263">
        <v>3.0</v>
      </c>
      <c r="K554" s="263">
        <v>3.0</v>
      </c>
      <c r="L554" s="263">
        <v>0.0</v>
      </c>
      <c r="M554" s="263">
        <v>11.0</v>
      </c>
      <c r="N554" s="263">
        <v>9.0</v>
      </c>
      <c r="O554" s="265" t="s">
        <v>1590</v>
      </c>
    </row>
    <row r="555">
      <c r="A555" s="262" t="str">
        <f t="shared" si="1"/>
        <v>Marì</v>
      </c>
      <c r="B555" s="263">
        <v>4904.0</v>
      </c>
      <c r="C555" s="264" t="s">
        <v>480</v>
      </c>
      <c r="D555" s="264" t="s">
        <v>481</v>
      </c>
      <c r="E555" s="264" t="s">
        <v>1103</v>
      </c>
      <c r="F555" s="264" t="s">
        <v>1033</v>
      </c>
      <c r="G555" s="263">
        <v>2.0</v>
      </c>
      <c r="H555" s="263">
        <v>7.0</v>
      </c>
      <c r="I555" s="263">
        <v>-5.0</v>
      </c>
      <c r="J555" s="263">
        <v>2.0</v>
      </c>
      <c r="K555" s="263">
        <v>7.0</v>
      </c>
      <c r="L555" s="263">
        <v>-5.0</v>
      </c>
      <c r="M555" s="263">
        <v>8.0</v>
      </c>
      <c r="N555" s="263">
        <v>8.0</v>
      </c>
      <c r="O555" s="265" t="s">
        <v>1590</v>
      </c>
    </row>
    <row r="556">
      <c r="A556" s="262" t="str">
        <f t="shared" si="1"/>
        <v>Douglas Luiz</v>
      </c>
      <c r="B556" s="263">
        <v>4911.0</v>
      </c>
      <c r="C556" s="264" t="s">
        <v>492</v>
      </c>
      <c r="D556" s="264" t="s">
        <v>492</v>
      </c>
      <c r="E556" s="264" t="s">
        <v>754</v>
      </c>
      <c r="F556" s="264" t="s">
        <v>976</v>
      </c>
      <c r="G556" s="263">
        <v>3.0</v>
      </c>
      <c r="H556" s="263">
        <v>3.0</v>
      </c>
      <c r="I556" s="263">
        <v>0.0</v>
      </c>
      <c r="J556" s="263">
        <v>3.0</v>
      </c>
      <c r="K556" s="263">
        <v>3.0</v>
      </c>
      <c r="L556" s="263">
        <v>0.0</v>
      </c>
      <c r="M556" s="263">
        <v>6.0</v>
      </c>
      <c r="N556" s="263">
        <v>6.0</v>
      </c>
      <c r="O556" s="265" t="s">
        <v>1590</v>
      </c>
    </row>
    <row r="557">
      <c r="A557" s="262" t="str">
        <f t="shared" si="1"/>
        <v>Ghion</v>
      </c>
      <c r="B557" s="263">
        <v>4930.0</v>
      </c>
      <c r="C557" s="264" t="s">
        <v>492</v>
      </c>
      <c r="D557" s="264" t="s">
        <v>930</v>
      </c>
      <c r="E557" s="264" t="s">
        <v>1594</v>
      </c>
      <c r="F557" s="264" t="s">
        <v>1005</v>
      </c>
      <c r="G557" s="263">
        <v>4.0</v>
      </c>
      <c r="H557" s="263">
        <v>4.0</v>
      </c>
      <c r="I557" s="263">
        <v>0.0</v>
      </c>
      <c r="J557" s="263">
        <v>4.0</v>
      </c>
      <c r="K557" s="263">
        <v>4.0</v>
      </c>
      <c r="L557" s="263">
        <v>0.0</v>
      </c>
      <c r="M557" s="263">
        <v>9.0</v>
      </c>
      <c r="N557" s="263">
        <v>12.0</v>
      </c>
      <c r="O557" s="265" t="s">
        <v>1590</v>
      </c>
    </row>
    <row r="558">
      <c r="A558" s="262" t="str">
        <f t="shared" si="1"/>
        <v>Erlic</v>
      </c>
      <c r="B558" s="263">
        <v>4982.0</v>
      </c>
      <c r="C558" s="264" t="s">
        <v>480</v>
      </c>
      <c r="D558" s="264" t="s">
        <v>481</v>
      </c>
      <c r="E558" s="264" t="s">
        <v>811</v>
      </c>
      <c r="F558" s="264" t="s">
        <v>1009</v>
      </c>
      <c r="G558" s="263">
        <v>3.0</v>
      </c>
      <c r="H558" s="263">
        <v>3.0</v>
      </c>
      <c r="I558" s="263">
        <v>0.0</v>
      </c>
      <c r="J558" s="263">
        <v>3.0</v>
      </c>
      <c r="K558" s="263">
        <v>3.0</v>
      </c>
      <c r="L558" s="263">
        <v>0.0</v>
      </c>
      <c r="M558" s="263">
        <v>7.0</v>
      </c>
      <c r="N558" s="263">
        <v>7.0</v>
      </c>
      <c r="O558" s="265" t="s">
        <v>1590</v>
      </c>
    </row>
    <row r="559">
      <c r="A559" s="262" t="str">
        <f t="shared" si="1"/>
        <v>Guaita</v>
      </c>
      <c r="B559" s="263">
        <v>5135.0</v>
      </c>
      <c r="C559" s="264" t="s">
        <v>477</v>
      </c>
      <c r="D559" s="264" t="s">
        <v>478</v>
      </c>
      <c r="E559" s="264" t="s">
        <v>1595</v>
      </c>
      <c r="F559" s="264" t="s">
        <v>985</v>
      </c>
      <c r="G559" s="263">
        <v>3.0</v>
      </c>
      <c r="H559" s="263">
        <v>5.0</v>
      </c>
      <c r="I559" s="263">
        <v>-2.0</v>
      </c>
      <c r="J559" s="263">
        <v>3.0</v>
      </c>
      <c r="K559" s="263">
        <v>5.0</v>
      </c>
      <c r="L559" s="263">
        <v>-2.0</v>
      </c>
      <c r="M559" s="263">
        <v>1.0</v>
      </c>
      <c r="N559" s="263">
        <v>1.0</v>
      </c>
      <c r="O559" s="265" t="s">
        <v>1590</v>
      </c>
    </row>
    <row r="560">
      <c r="A560" s="262" t="str">
        <f t="shared" si="1"/>
        <v>Luvumbo</v>
      </c>
      <c r="B560" s="263">
        <v>5297.0</v>
      </c>
      <c r="C560" s="264" t="s">
        <v>507</v>
      </c>
      <c r="D560" s="264" t="s">
        <v>507</v>
      </c>
      <c r="E560" s="264" t="s">
        <v>684</v>
      </c>
      <c r="F560" s="264" t="s">
        <v>975</v>
      </c>
      <c r="G560" s="263">
        <v>3.0</v>
      </c>
      <c r="H560" s="263">
        <v>12.0</v>
      </c>
      <c r="I560" s="263">
        <v>-9.0</v>
      </c>
      <c r="J560" s="263">
        <v>3.0</v>
      </c>
      <c r="K560" s="263">
        <v>12.0</v>
      </c>
      <c r="L560" s="263">
        <v>-9.0</v>
      </c>
      <c r="M560" s="263">
        <v>10.0</v>
      </c>
      <c r="N560" s="263">
        <v>10.0</v>
      </c>
      <c r="O560" s="265" t="s">
        <v>1590</v>
      </c>
    </row>
    <row r="561">
      <c r="A561" s="262" t="str">
        <f t="shared" si="1"/>
        <v>Godfrey</v>
      </c>
      <c r="B561" s="263">
        <v>5324.0</v>
      </c>
      <c r="C561" s="264" t="s">
        <v>480</v>
      </c>
      <c r="D561" s="264" t="s">
        <v>1227</v>
      </c>
      <c r="E561" s="264" t="s">
        <v>689</v>
      </c>
      <c r="F561" s="264" t="s">
        <v>980</v>
      </c>
      <c r="G561" s="263">
        <v>1.0</v>
      </c>
      <c r="H561" s="263">
        <v>1.0</v>
      </c>
      <c r="I561" s="263">
        <v>0.0</v>
      </c>
      <c r="J561" s="263">
        <v>1.0</v>
      </c>
      <c r="K561" s="263">
        <v>1.0</v>
      </c>
      <c r="L561" s="263">
        <v>0.0</v>
      </c>
      <c r="M561" s="263">
        <v>1.0</v>
      </c>
      <c r="N561" s="263">
        <v>1.0</v>
      </c>
      <c r="O561" s="265" t="s">
        <v>1590</v>
      </c>
    </row>
    <row r="562">
      <c r="A562" s="262" t="str">
        <f t="shared" si="1"/>
        <v>Balogh</v>
      </c>
      <c r="B562" s="263">
        <v>5353.0</v>
      </c>
      <c r="C562" s="264" t="s">
        <v>480</v>
      </c>
      <c r="D562" s="264" t="s">
        <v>481</v>
      </c>
      <c r="E562" s="264" t="s">
        <v>844</v>
      </c>
      <c r="F562" s="264" t="s">
        <v>985</v>
      </c>
      <c r="G562" s="263">
        <v>3.0</v>
      </c>
      <c r="H562" s="263">
        <v>3.0</v>
      </c>
      <c r="I562" s="263">
        <v>0.0</v>
      </c>
      <c r="J562" s="263">
        <v>3.0</v>
      </c>
      <c r="K562" s="263">
        <v>3.0</v>
      </c>
      <c r="L562" s="263">
        <v>0.0</v>
      </c>
      <c r="M562" s="263">
        <v>7.0</v>
      </c>
      <c r="N562" s="263">
        <v>7.0</v>
      </c>
      <c r="O562" s="265" t="s">
        <v>1590</v>
      </c>
    </row>
    <row r="563">
      <c r="A563" s="262" t="str">
        <f t="shared" si="1"/>
        <v>Man</v>
      </c>
      <c r="B563" s="263">
        <v>5393.0</v>
      </c>
      <c r="C563" s="264" t="s">
        <v>492</v>
      </c>
      <c r="D563" s="264" t="s">
        <v>935</v>
      </c>
      <c r="E563" s="264" t="s">
        <v>843</v>
      </c>
      <c r="F563" s="264" t="s">
        <v>985</v>
      </c>
      <c r="G563" s="263">
        <v>11.0</v>
      </c>
      <c r="H563" s="263">
        <v>11.0</v>
      </c>
      <c r="I563" s="263">
        <v>0.0</v>
      </c>
      <c r="J563" s="263">
        <v>11.0</v>
      </c>
      <c r="K563" s="263">
        <v>11.0</v>
      </c>
      <c r="L563" s="263">
        <v>0.0</v>
      </c>
      <c r="M563" s="263">
        <v>15.0</v>
      </c>
      <c r="N563" s="263">
        <v>15.0</v>
      </c>
      <c r="O563" s="265" t="s">
        <v>1590</v>
      </c>
    </row>
    <row r="564">
      <c r="A564" s="262" t="str">
        <f t="shared" si="1"/>
        <v>Di Pardo</v>
      </c>
      <c r="B564" s="263">
        <v>5406.0</v>
      </c>
      <c r="C564" s="264" t="s">
        <v>480</v>
      </c>
      <c r="D564" s="264" t="s">
        <v>938</v>
      </c>
      <c r="E564" s="264" t="s">
        <v>1047</v>
      </c>
      <c r="F564" s="264" t="s">
        <v>975</v>
      </c>
      <c r="G564" s="263">
        <v>2.0</v>
      </c>
      <c r="H564" s="263">
        <v>2.0</v>
      </c>
      <c r="I564" s="263">
        <v>0.0</v>
      </c>
      <c r="J564" s="263">
        <v>2.0</v>
      </c>
      <c r="K564" s="263">
        <v>2.0</v>
      </c>
      <c r="L564" s="263">
        <v>0.0</v>
      </c>
      <c r="M564" s="263">
        <v>4.0</v>
      </c>
      <c r="N564" s="263">
        <v>4.0</v>
      </c>
      <c r="O564" s="265" t="s">
        <v>1590</v>
      </c>
    </row>
    <row r="565">
      <c r="A565" s="262" t="str">
        <f t="shared" si="1"/>
        <v>Johnsen</v>
      </c>
      <c r="B565" s="263">
        <v>5496.0</v>
      </c>
      <c r="C565" s="264" t="s">
        <v>507</v>
      </c>
      <c r="D565" s="264" t="s">
        <v>507</v>
      </c>
      <c r="E565" s="264" t="s">
        <v>1082</v>
      </c>
      <c r="F565" s="264" t="s">
        <v>995</v>
      </c>
      <c r="G565" s="263">
        <v>7.0</v>
      </c>
      <c r="H565" s="263">
        <v>7.0</v>
      </c>
      <c r="I565" s="263">
        <v>0.0</v>
      </c>
      <c r="J565" s="263">
        <v>7.0</v>
      </c>
      <c r="K565" s="263">
        <v>7.0</v>
      </c>
      <c r="L565" s="263">
        <v>0.0</v>
      </c>
      <c r="M565" s="263">
        <v>8.0</v>
      </c>
      <c r="N565" s="263">
        <v>8.0</v>
      </c>
      <c r="O565" s="265" t="s">
        <v>1590</v>
      </c>
    </row>
    <row r="566">
      <c r="A566" s="262" t="str">
        <f t="shared" si="1"/>
        <v>De Luca</v>
      </c>
      <c r="B566" s="263">
        <v>5512.0</v>
      </c>
      <c r="C566" s="264" t="s">
        <v>507</v>
      </c>
      <c r="D566" s="264" t="s">
        <v>512</v>
      </c>
      <c r="E566" s="264" t="s">
        <v>1042</v>
      </c>
      <c r="F566" s="264" t="s">
        <v>995</v>
      </c>
      <c r="G566" s="263">
        <v>3.0</v>
      </c>
      <c r="H566" s="263">
        <v>8.0</v>
      </c>
      <c r="I566" s="263">
        <v>-5.0</v>
      </c>
      <c r="J566" s="263">
        <v>2.0</v>
      </c>
      <c r="K566" s="263">
        <v>7.0</v>
      </c>
      <c r="L566" s="263">
        <v>-5.0</v>
      </c>
      <c r="M566" s="263">
        <v>3.0</v>
      </c>
      <c r="N566" s="263">
        <v>3.0</v>
      </c>
      <c r="O566" s="265" t="s">
        <v>1590</v>
      </c>
    </row>
    <row r="567">
      <c r="A567" s="262" t="str">
        <f t="shared" si="1"/>
        <v>Bianco</v>
      </c>
      <c r="B567" s="263">
        <v>5516.0</v>
      </c>
      <c r="C567" s="264" t="s">
        <v>492</v>
      </c>
      <c r="D567" s="264" t="s">
        <v>930</v>
      </c>
      <c r="E567" s="264" t="s">
        <v>1277</v>
      </c>
      <c r="F567" s="264" t="s">
        <v>1033</v>
      </c>
      <c r="G567" s="263">
        <v>1.0</v>
      </c>
      <c r="H567" s="263">
        <v>1.0</v>
      </c>
      <c r="I567" s="263">
        <v>0.0</v>
      </c>
      <c r="J567" s="263">
        <v>1.0</v>
      </c>
      <c r="K567" s="263">
        <v>1.0</v>
      </c>
      <c r="L567" s="263">
        <v>0.0</v>
      </c>
      <c r="M567" s="263">
        <v>2.0</v>
      </c>
      <c r="N567" s="263">
        <v>3.0</v>
      </c>
      <c r="O567" s="265" t="s">
        <v>1590</v>
      </c>
    </row>
    <row r="568">
      <c r="A568" s="262" t="str">
        <f t="shared" si="1"/>
        <v>Ndoye</v>
      </c>
      <c r="B568" s="263">
        <v>5564.0</v>
      </c>
      <c r="C568" s="264" t="s">
        <v>492</v>
      </c>
      <c r="D568" s="264" t="s">
        <v>563</v>
      </c>
      <c r="E568" s="264" t="s">
        <v>614</v>
      </c>
      <c r="F568" s="264" t="s">
        <v>1009</v>
      </c>
      <c r="G568" s="263">
        <v>19.0</v>
      </c>
      <c r="H568" s="263">
        <v>19.0</v>
      </c>
      <c r="I568" s="263">
        <v>0.0</v>
      </c>
      <c r="J568" s="263">
        <v>18.0</v>
      </c>
      <c r="K568" s="263">
        <v>18.0</v>
      </c>
      <c r="L568" s="263">
        <v>0.0</v>
      </c>
      <c r="M568" s="263">
        <v>60.0</v>
      </c>
      <c r="N568" s="263">
        <v>60.0</v>
      </c>
      <c r="O568" s="265" t="s">
        <v>1590</v>
      </c>
    </row>
    <row r="569">
      <c r="A569" s="262" t="str">
        <f t="shared" si="1"/>
        <v>Viti</v>
      </c>
      <c r="B569" s="263">
        <v>5718.0</v>
      </c>
      <c r="C569" s="264" t="s">
        <v>480</v>
      </c>
      <c r="D569" s="264" t="s">
        <v>481</v>
      </c>
      <c r="E569" s="264" t="s">
        <v>652</v>
      </c>
      <c r="F569" s="264" t="s">
        <v>1033</v>
      </c>
      <c r="G569" s="263">
        <v>2.0</v>
      </c>
      <c r="H569" s="263">
        <v>4.0</v>
      </c>
      <c r="I569" s="263">
        <v>-2.0</v>
      </c>
      <c r="J569" s="263">
        <v>2.0</v>
      </c>
      <c r="K569" s="263">
        <v>4.0</v>
      </c>
      <c r="L569" s="263">
        <v>-2.0</v>
      </c>
      <c r="M569" s="263">
        <v>7.0</v>
      </c>
      <c r="N569" s="263">
        <v>7.0</v>
      </c>
      <c r="O569" s="265" t="s">
        <v>1590</v>
      </c>
    </row>
    <row r="570">
      <c r="A570" s="262" t="str">
        <f t="shared" si="1"/>
        <v>Asllani</v>
      </c>
      <c r="B570" s="263">
        <v>5719.0</v>
      </c>
      <c r="C570" s="264" t="s">
        <v>492</v>
      </c>
      <c r="D570" s="264" t="s">
        <v>930</v>
      </c>
      <c r="E570" s="264" t="s">
        <v>713</v>
      </c>
      <c r="F570" s="264" t="s">
        <v>972</v>
      </c>
      <c r="G570" s="263">
        <v>2.0</v>
      </c>
      <c r="H570" s="263">
        <v>4.0</v>
      </c>
      <c r="I570" s="263">
        <v>-2.0</v>
      </c>
      <c r="J570" s="263">
        <v>2.0</v>
      </c>
      <c r="K570" s="263">
        <v>4.0</v>
      </c>
      <c r="L570" s="263">
        <v>-2.0</v>
      </c>
      <c r="M570" s="263">
        <v>14.0</v>
      </c>
      <c r="N570" s="263">
        <v>19.0</v>
      </c>
      <c r="O570" s="265" t="s">
        <v>1590</v>
      </c>
    </row>
    <row r="571">
      <c r="A571" s="262" t="str">
        <f t="shared" si="1"/>
        <v>Pafundi</v>
      </c>
      <c r="B571" s="263">
        <v>5824.0</v>
      </c>
      <c r="C571" s="264" t="s">
        <v>492</v>
      </c>
      <c r="D571" s="264" t="s">
        <v>947</v>
      </c>
      <c r="E571" s="264" t="s">
        <v>1474</v>
      </c>
      <c r="F571" s="264" t="s">
        <v>993</v>
      </c>
      <c r="G571" s="263">
        <v>1.0</v>
      </c>
      <c r="H571" s="263">
        <v>1.0</v>
      </c>
      <c r="I571" s="263">
        <v>0.0</v>
      </c>
      <c r="J571" s="263">
        <v>1.0</v>
      </c>
      <c r="K571" s="263">
        <v>1.0</v>
      </c>
      <c r="L571" s="263">
        <v>0.0</v>
      </c>
      <c r="M571" s="263">
        <v>6.0</v>
      </c>
      <c r="N571" s="263">
        <v>6.0</v>
      </c>
      <c r="O571" s="265" t="s">
        <v>1590</v>
      </c>
    </row>
    <row r="572">
      <c r="A572" s="262" t="str">
        <f t="shared" si="1"/>
        <v>Alvarez A.</v>
      </c>
      <c r="B572" s="263">
        <v>5845.0</v>
      </c>
      <c r="C572" s="264" t="s">
        <v>507</v>
      </c>
      <c r="D572" s="264" t="s">
        <v>512</v>
      </c>
      <c r="E572" s="264" t="s">
        <v>1333</v>
      </c>
      <c r="F572" s="264" t="s">
        <v>1005</v>
      </c>
      <c r="G572" s="263">
        <v>2.0</v>
      </c>
      <c r="H572" s="263">
        <v>2.0</v>
      </c>
      <c r="I572" s="263">
        <v>0.0</v>
      </c>
      <c r="J572" s="263">
        <v>1.0</v>
      </c>
      <c r="K572" s="263">
        <v>1.0</v>
      </c>
      <c r="L572" s="263">
        <v>0.0</v>
      </c>
      <c r="M572" s="263">
        <v>4.0</v>
      </c>
      <c r="N572" s="263">
        <v>3.0</v>
      </c>
      <c r="O572" s="265" t="s">
        <v>1590</v>
      </c>
    </row>
    <row r="573">
      <c r="A573" s="262" t="str">
        <f t="shared" si="1"/>
        <v>Pickel</v>
      </c>
      <c r="B573" s="263">
        <v>5857.0</v>
      </c>
      <c r="C573" s="264" t="s">
        <v>492</v>
      </c>
      <c r="D573" s="264" t="s">
        <v>930</v>
      </c>
      <c r="E573" s="264" t="s">
        <v>1596</v>
      </c>
      <c r="F573" s="264" t="s">
        <v>995</v>
      </c>
      <c r="G573" s="263">
        <v>2.0</v>
      </c>
      <c r="H573" s="263">
        <v>2.0</v>
      </c>
      <c r="I573" s="263">
        <v>0.0</v>
      </c>
      <c r="J573" s="263">
        <v>2.0</v>
      </c>
      <c r="K573" s="263">
        <v>2.0</v>
      </c>
      <c r="L573" s="263">
        <v>0.0</v>
      </c>
      <c r="M573" s="263">
        <v>3.0</v>
      </c>
      <c r="N573" s="263">
        <v>3.0</v>
      </c>
      <c r="O573" s="265" t="s">
        <v>1590</v>
      </c>
    </row>
    <row r="574">
      <c r="A574" s="262" t="str">
        <f t="shared" si="1"/>
        <v>Ravanelli</v>
      </c>
      <c r="B574" s="263">
        <v>5860.0</v>
      </c>
      <c r="C574" s="264" t="s">
        <v>480</v>
      </c>
      <c r="D574" s="264" t="s">
        <v>481</v>
      </c>
      <c r="E574" s="264" t="s">
        <v>1597</v>
      </c>
      <c r="F574" s="264" t="s">
        <v>995</v>
      </c>
      <c r="G574" s="263">
        <v>2.0</v>
      </c>
      <c r="H574" s="263">
        <v>2.0</v>
      </c>
      <c r="I574" s="263">
        <v>0.0</v>
      </c>
      <c r="J574" s="263">
        <v>2.0</v>
      </c>
      <c r="K574" s="263">
        <v>2.0</v>
      </c>
      <c r="L574" s="263">
        <v>0.0</v>
      </c>
      <c r="M574" s="263">
        <v>3.0</v>
      </c>
      <c r="N574" s="263">
        <v>3.0</v>
      </c>
      <c r="O574" s="265" t="s">
        <v>1590</v>
      </c>
    </row>
    <row r="575">
      <c r="A575" s="262" t="str">
        <f t="shared" si="1"/>
        <v>Castagnetti</v>
      </c>
      <c r="B575" s="263">
        <v>5863.0</v>
      </c>
      <c r="C575" s="264" t="s">
        <v>492</v>
      </c>
      <c r="D575" s="264" t="s">
        <v>930</v>
      </c>
      <c r="E575" s="264" t="s">
        <v>1598</v>
      </c>
      <c r="F575" s="264" t="s">
        <v>995</v>
      </c>
      <c r="G575" s="263">
        <v>3.0</v>
      </c>
      <c r="H575" s="263">
        <v>3.0</v>
      </c>
      <c r="I575" s="263">
        <v>0.0</v>
      </c>
      <c r="J575" s="263">
        <v>3.0</v>
      </c>
      <c r="K575" s="263">
        <v>3.0</v>
      </c>
      <c r="L575" s="263">
        <v>0.0</v>
      </c>
      <c r="M575" s="263">
        <v>5.0</v>
      </c>
      <c r="N575" s="263">
        <v>5.0</v>
      </c>
      <c r="O575" s="265" t="s">
        <v>1590</v>
      </c>
    </row>
    <row r="576">
      <c r="A576" s="262" t="str">
        <f t="shared" si="1"/>
        <v>Quagliata</v>
      </c>
      <c r="B576" s="263">
        <v>5891.0</v>
      </c>
      <c r="C576" s="264" t="s">
        <v>480</v>
      </c>
      <c r="D576" s="264" t="s">
        <v>931</v>
      </c>
      <c r="E576" s="264" t="s">
        <v>1599</v>
      </c>
      <c r="F576" s="264" t="s">
        <v>995</v>
      </c>
      <c r="G576" s="263">
        <v>1.0</v>
      </c>
      <c r="H576" s="263">
        <v>1.0</v>
      </c>
      <c r="I576" s="263">
        <v>0.0</v>
      </c>
      <c r="J576" s="263">
        <v>1.0</v>
      </c>
      <c r="K576" s="263">
        <v>1.0</v>
      </c>
      <c r="L576" s="263">
        <v>0.0</v>
      </c>
      <c r="M576" s="263">
        <v>2.0</v>
      </c>
      <c r="N576" s="263">
        <v>2.0</v>
      </c>
      <c r="O576" s="265" t="s">
        <v>1590</v>
      </c>
    </row>
    <row r="577">
      <c r="A577" s="262" t="str">
        <f t="shared" si="1"/>
        <v>Schuurs</v>
      </c>
      <c r="B577" s="263">
        <v>6041.0</v>
      </c>
      <c r="C577" s="264" t="s">
        <v>480</v>
      </c>
      <c r="D577" s="264" t="s">
        <v>481</v>
      </c>
      <c r="E577" s="264" t="s">
        <v>1174</v>
      </c>
      <c r="F577" s="264" t="s">
        <v>972</v>
      </c>
      <c r="G577" s="263">
        <v>1.0</v>
      </c>
      <c r="H577" s="263">
        <v>3.0</v>
      </c>
      <c r="I577" s="263">
        <v>-2.0</v>
      </c>
      <c r="J577" s="263">
        <v>1.0</v>
      </c>
      <c r="K577" s="263">
        <v>3.0</v>
      </c>
      <c r="L577" s="263">
        <v>-2.0</v>
      </c>
      <c r="M577" s="263">
        <v>5.0</v>
      </c>
      <c r="N577" s="263">
        <v>5.0</v>
      </c>
      <c r="O577" s="265" t="s">
        <v>1590</v>
      </c>
    </row>
    <row r="578">
      <c r="A578" s="262" t="str">
        <f t="shared" si="1"/>
        <v>Thiaw</v>
      </c>
      <c r="B578" s="263">
        <v>6055.0</v>
      </c>
      <c r="C578" s="264" t="s">
        <v>480</v>
      </c>
      <c r="D578" s="264" t="s">
        <v>481</v>
      </c>
      <c r="E578" s="264" t="s">
        <v>933</v>
      </c>
      <c r="F578" s="264" t="s">
        <v>991</v>
      </c>
      <c r="G578" s="263">
        <v>4.0</v>
      </c>
      <c r="H578" s="263">
        <v>4.0</v>
      </c>
      <c r="I578" s="263">
        <v>0.0</v>
      </c>
      <c r="J578" s="263">
        <v>4.0</v>
      </c>
      <c r="K578" s="263">
        <v>4.0</v>
      </c>
      <c r="L578" s="263">
        <v>0.0</v>
      </c>
      <c r="M578" s="263">
        <v>8.0</v>
      </c>
      <c r="N578" s="263">
        <v>8.0</v>
      </c>
      <c r="O578" s="265" t="s">
        <v>1590</v>
      </c>
    </row>
    <row r="579">
      <c r="A579" s="262" t="str">
        <f t="shared" si="1"/>
        <v>Posch</v>
      </c>
      <c r="B579" s="263">
        <v>6066.0</v>
      </c>
      <c r="C579" s="264" t="s">
        <v>480</v>
      </c>
      <c r="D579" s="264" t="s">
        <v>937</v>
      </c>
      <c r="E579" s="264" t="s">
        <v>346</v>
      </c>
      <c r="F579" s="264" t="s">
        <v>974</v>
      </c>
      <c r="G579" s="263">
        <v>9.0</v>
      </c>
      <c r="H579" s="263">
        <v>5.0</v>
      </c>
      <c r="I579" s="263">
        <v>4.0</v>
      </c>
      <c r="J579" s="263">
        <v>9.0</v>
      </c>
      <c r="K579" s="263">
        <v>6.0</v>
      </c>
      <c r="L579" s="263">
        <v>3.0</v>
      </c>
      <c r="M579" s="263">
        <v>7.0</v>
      </c>
      <c r="N579" s="263">
        <v>9.0</v>
      </c>
      <c r="O579" s="265" t="s">
        <v>1590</v>
      </c>
    </row>
    <row r="580">
      <c r="A580" s="262" t="str">
        <f t="shared" si="1"/>
        <v>Carboni V.</v>
      </c>
      <c r="B580" s="263">
        <v>6106.0</v>
      </c>
      <c r="C580" s="264" t="s">
        <v>492</v>
      </c>
      <c r="D580" s="264" t="s">
        <v>947</v>
      </c>
      <c r="E580" s="264" t="s">
        <v>1025</v>
      </c>
      <c r="F580" s="264" t="s">
        <v>1026</v>
      </c>
      <c r="G580" s="263">
        <v>4.0</v>
      </c>
      <c r="H580" s="263">
        <v>11.0</v>
      </c>
      <c r="I580" s="263">
        <v>-7.0</v>
      </c>
      <c r="J580" s="263">
        <v>4.0</v>
      </c>
      <c r="K580" s="263">
        <v>11.0</v>
      </c>
      <c r="L580" s="263">
        <v>-7.0</v>
      </c>
      <c r="M580" s="263">
        <v>12.0</v>
      </c>
      <c r="N580" s="263">
        <v>12.0</v>
      </c>
      <c r="O580" s="265" t="s">
        <v>1590</v>
      </c>
    </row>
    <row r="581">
      <c r="A581" s="262" t="str">
        <f t="shared" si="1"/>
        <v>Vasquez D.</v>
      </c>
      <c r="B581" s="263">
        <v>6125.0</v>
      </c>
      <c r="C581" s="264" t="s">
        <v>477</v>
      </c>
      <c r="D581" s="264" t="s">
        <v>478</v>
      </c>
      <c r="E581" s="264" t="s">
        <v>1208</v>
      </c>
      <c r="F581" s="264" t="s">
        <v>988</v>
      </c>
      <c r="G581" s="263">
        <v>1.0</v>
      </c>
      <c r="H581" s="263">
        <v>1.0</v>
      </c>
      <c r="I581" s="263">
        <v>0.0</v>
      </c>
      <c r="J581" s="263">
        <v>1.0</v>
      </c>
      <c r="K581" s="263">
        <v>1.0</v>
      </c>
      <c r="L581" s="263">
        <v>0.0</v>
      </c>
      <c r="M581" s="263">
        <v>1.0</v>
      </c>
      <c r="N581" s="263">
        <v>1.0</v>
      </c>
      <c r="O581" s="265" t="s">
        <v>1590</v>
      </c>
    </row>
    <row r="582">
      <c r="A582" s="262" t="str">
        <f t="shared" si="1"/>
        <v>Ngonge</v>
      </c>
      <c r="B582" s="263">
        <v>6145.0</v>
      </c>
      <c r="C582" s="264" t="s">
        <v>507</v>
      </c>
      <c r="D582" s="264" t="s">
        <v>507</v>
      </c>
      <c r="E582" s="264" t="s">
        <v>949</v>
      </c>
      <c r="F582" s="264" t="s">
        <v>972</v>
      </c>
      <c r="G582" s="263">
        <v>9.0</v>
      </c>
      <c r="H582" s="263">
        <v>9.0</v>
      </c>
      <c r="I582" s="263">
        <v>0.0</v>
      </c>
      <c r="J582" s="263">
        <v>9.0</v>
      </c>
      <c r="K582" s="263">
        <v>9.0</v>
      </c>
      <c r="L582" s="263">
        <v>0.0</v>
      </c>
      <c r="M582" s="263">
        <v>11.0</v>
      </c>
      <c r="N582" s="263">
        <v>11.0</v>
      </c>
      <c r="O582" s="265" t="s">
        <v>1590</v>
      </c>
    </row>
    <row r="583">
      <c r="A583" s="262" t="str">
        <f t="shared" si="1"/>
        <v>Martinelli T.</v>
      </c>
      <c r="B583" s="263">
        <v>6184.0</v>
      </c>
      <c r="C583" s="264" t="s">
        <v>477</v>
      </c>
      <c r="D583" s="264" t="s">
        <v>478</v>
      </c>
      <c r="E583" s="264" t="s">
        <v>796</v>
      </c>
      <c r="F583" s="264" t="s">
        <v>1033</v>
      </c>
      <c r="G583" s="263">
        <v>1.0</v>
      </c>
      <c r="H583" s="263">
        <v>1.0</v>
      </c>
      <c r="I583" s="263">
        <v>0.0</v>
      </c>
      <c r="J583" s="263">
        <v>1.0</v>
      </c>
      <c r="K583" s="263">
        <v>1.0</v>
      </c>
      <c r="L583" s="263">
        <v>0.0</v>
      </c>
      <c r="M583" s="263">
        <v>1.0</v>
      </c>
      <c r="N583" s="263">
        <v>1.0</v>
      </c>
      <c r="O583" s="265" t="s">
        <v>1590</v>
      </c>
    </row>
    <row r="584">
      <c r="A584" s="262" t="str">
        <f t="shared" si="1"/>
        <v>Missori</v>
      </c>
      <c r="B584" s="263">
        <v>6189.0</v>
      </c>
      <c r="C584" s="264" t="s">
        <v>480</v>
      </c>
      <c r="D584" s="264" t="s">
        <v>938</v>
      </c>
      <c r="E584" s="264" t="s">
        <v>1461</v>
      </c>
      <c r="F584" s="264" t="s">
        <v>1005</v>
      </c>
      <c r="G584" s="263">
        <v>2.0</v>
      </c>
      <c r="H584" s="263">
        <v>2.0</v>
      </c>
      <c r="I584" s="263">
        <v>0.0</v>
      </c>
      <c r="J584" s="263">
        <v>2.0</v>
      </c>
      <c r="K584" s="263">
        <v>2.0</v>
      </c>
      <c r="L584" s="263">
        <v>0.0</v>
      </c>
      <c r="M584" s="263">
        <v>5.0</v>
      </c>
      <c r="N584" s="263">
        <v>5.0</v>
      </c>
      <c r="O584" s="265" t="s">
        <v>1590</v>
      </c>
    </row>
    <row r="585">
      <c r="A585" s="262" t="str">
        <f t="shared" si="1"/>
        <v>Mulattieri</v>
      </c>
      <c r="B585" s="263">
        <v>6205.0</v>
      </c>
      <c r="C585" s="264" t="s">
        <v>507</v>
      </c>
      <c r="D585" s="264" t="s">
        <v>512</v>
      </c>
      <c r="E585" s="264" t="s">
        <v>1463</v>
      </c>
      <c r="F585" s="264" t="s">
        <v>1005</v>
      </c>
      <c r="G585" s="263">
        <v>5.0</v>
      </c>
      <c r="H585" s="263">
        <v>5.0</v>
      </c>
      <c r="I585" s="263">
        <v>0.0</v>
      </c>
      <c r="J585" s="263">
        <v>4.0</v>
      </c>
      <c r="K585" s="263">
        <v>4.0</v>
      </c>
      <c r="L585" s="263">
        <v>0.0</v>
      </c>
      <c r="M585" s="263">
        <v>10.0</v>
      </c>
      <c r="N585" s="263">
        <v>10.0</v>
      </c>
      <c r="O585" s="265" t="s">
        <v>1590</v>
      </c>
    </row>
    <row r="586">
      <c r="A586" s="262" t="str">
        <f t="shared" si="1"/>
        <v>Popa</v>
      </c>
      <c r="B586" s="263">
        <v>6210.0</v>
      </c>
      <c r="C586" s="264" t="s">
        <v>477</v>
      </c>
      <c r="D586" s="264" t="s">
        <v>478</v>
      </c>
      <c r="E586" s="264" t="s">
        <v>1156</v>
      </c>
      <c r="F586" s="264" t="s">
        <v>972</v>
      </c>
      <c r="G586" s="263">
        <v>1.0</v>
      </c>
      <c r="H586" s="263">
        <v>1.0</v>
      </c>
      <c r="I586" s="263">
        <v>0.0</v>
      </c>
      <c r="J586" s="263">
        <v>1.0</v>
      </c>
      <c r="K586" s="263">
        <v>1.0</v>
      </c>
      <c r="L586" s="263">
        <v>0.0</v>
      </c>
      <c r="M586" s="263">
        <v>1.0</v>
      </c>
      <c r="N586" s="263">
        <v>1.0</v>
      </c>
      <c r="O586" s="265" t="s">
        <v>1590</v>
      </c>
    </row>
    <row r="587">
      <c r="A587" s="262" t="str">
        <f t="shared" si="1"/>
        <v>Brenner</v>
      </c>
      <c r="B587" s="263">
        <v>6213.0</v>
      </c>
      <c r="C587" s="264" t="s">
        <v>507</v>
      </c>
      <c r="D587" s="264" t="s">
        <v>507</v>
      </c>
      <c r="E587" s="264" t="s">
        <v>859</v>
      </c>
      <c r="F587" s="264" t="s">
        <v>993</v>
      </c>
      <c r="G587" s="263">
        <v>3.0</v>
      </c>
      <c r="H587" s="263">
        <v>3.0</v>
      </c>
      <c r="I587" s="263">
        <v>0.0</v>
      </c>
      <c r="J587" s="263">
        <v>3.0</v>
      </c>
      <c r="K587" s="263">
        <v>3.0</v>
      </c>
      <c r="L587" s="263">
        <v>0.0</v>
      </c>
      <c r="M587" s="263">
        <v>5.0</v>
      </c>
      <c r="N587" s="263">
        <v>5.0</v>
      </c>
      <c r="O587" s="265" t="s">
        <v>1590</v>
      </c>
    </row>
    <row r="588">
      <c r="A588" s="262" t="str">
        <f t="shared" si="1"/>
        <v>Lucca</v>
      </c>
      <c r="B588" s="263">
        <v>6215.0</v>
      </c>
      <c r="C588" s="264" t="s">
        <v>507</v>
      </c>
      <c r="D588" s="264" t="s">
        <v>512</v>
      </c>
      <c r="E588" s="264" t="s">
        <v>66</v>
      </c>
      <c r="F588" s="264" t="s">
        <v>987</v>
      </c>
      <c r="G588" s="263">
        <v>5.0</v>
      </c>
      <c r="H588" s="263">
        <v>15.0</v>
      </c>
      <c r="I588" s="263">
        <v>-10.0</v>
      </c>
      <c r="J588" s="263">
        <v>5.0</v>
      </c>
      <c r="K588" s="263">
        <v>14.0</v>
      </c>
      <c r="L588" s="263">
        <v>-9.0</v>
      </c>
      <c r="M588" s="263">
        <v>11.0</v>
      </c>
      <c r="N588" s="263">
        <v>10.0</v>
      </c>
      <c r="O588" s="265" t="s">
        <v>1590</v>
      </c>
    </row>
    <row r="589">
      <c r="A589" s="262" t="str">
        <f t="shared" si="1"/>
        <v>Rafia</v>
      </c>
      <c r="B589" s="263">
        <v>6222.0</v>
      </c>
      <c r="C589" s="264" t="s">
        <v>492</v>
      </c>
      <c r="D589" s="264" t="s">
        <v>934</v>
      </c>
      <c r="E589" s="264" t="s">
        <v>1158</v>
      </c>
      <c r="F589" s="264" t="s">
        <v>998</v>
      </c>
      <c r="G589" s="263">
        <v>1.0</v>
      </c>
      <c r="H589" s="263">
        <v>3.0</v>
      </c>
      <c r="I589" s="263">
        <v>-2.0</v>
      </c>
      <c r="J589" s="263">
        <v>1.0</v>
      </c>
      <c r="K589" s="263">
        <v>3.0</v>
      </c>
      <c r="L589" s="263">
        <v>-2.0</v>
      </c>
      <c r="M589" s="263">
        <v>7.0</v>
      </c>
      <c r="N589" s="263">
        <v>7.0</v>
      </c>
      <c r="O589" s="265" t="s">
        <v>1590</v>
      </c>
    </row>
    <row r="590">
      <c r="A590" s="262" t="str">
        <f t="shared" si="1"/>
        <v>El Azzouzi</v>
      </c>
      <c r="B590" s="263">
        <v>6225.0</v>
      </c>
      <c r="C590" s="264" t="s">
        <v>492</v>
      </c>
      <c r="D590" s="264" t="s">
        <v>930</v>
      </c>
      <c r="E590" s="264" t="s">
        <v>659</v>
      </c>
      <c r="F590" s="264" t="s">
        <v>1009</v>
      </c>
      <c r="G590" s="263">
        <v>3.0</v>
      </c>
      <c r="H590" s="263">
        <v>3.0</v>
      </c>
      <c r="I590" s="263">
        <v>0.0</v>
      </c>
      <c r="J590" s="263">
        <v>3.0</v>
      </c>
      <c r="K590" s="263">
        <v>3.0</v>
      </c>
      <c r="L590" s="263">
        <v>0.0</v>
      </c>
      <c r="M590" s="263">
        <v>7.0</v>
      </c>
      <c r="N590" s="263">
        <v>7.0</v>
      </c>
      <c r="O590" s="265" t="s">
        <v>1590</v>
      </c>
    </row>
    <row r="591">
      <c r="A591" s="262" t="str">
        <f t="shared" si="1"/>
        <v>Castellanos</v>
      </c>
      <c r="B591" s="263">
        <v>6226.0</v>
      </c>
      <c r="C591" s="264" t="s">
        <v>507</v>
      </c>
      <c r="D591" s="264" t="s">
        <v>512</v>
      </c>
      <c r="E591" s="264" t="s">
        <v>361</v>
      </c>
      <c r="F591" s="264" t="s">
        <v>1000</v>
      </c>
      <c r="G591" s="263">
        <v>18.0</v>
      </c>
      <c r="H591" s="263">
        <v>21.0</v>
      </c>
      <c r="I591" s="263">
        <v>-3.0</v>
      </c>
      <c r="J591" s="263">
        <v>18.0</v>
      </c>
      <c r="K591" s="263">
        <v>21.0</v>
      </c>
      <c r="L591" s="263">
        <v>-3.0</v>
      </c>
      <c r="M591" s="263">
        <v>65.0</v>
      </c>
      <c r="N591" s="263">
        <v>65.0</v>
      </c>
      <c r="O591" s="265" t="s">
        <v>1590</v>
      </c>
    </row>
    <row r="592">
      <c r="A592" s="262" t="str">
        <f t="shared" si="1"/>
        <v>Okafor</v>
      </c>
      <c r="B592" s="263">
        <v>6227.0</v>
      </c>
      <c r="C592" s="264" t="s">
        <v>507</v>
      </c>
      <c r="D592" s="264" t="s">
        <v>507</v>
      </c>
      <c r="E592" s="264" t="s">
        <v>738</v>
      </c>
      <c r="F592" s="264" t="s">
        <v>991</v>
      </c>
      <c r="G592" s="263">
        <v>4.0</v>
      </c>
      <c r="H592" s="263">
        <v>4.0</v>
      </c>
      <c r="I592" s="263">
        <v>0.0</v>
      </c>
      <c r="J592" s="263">
        <v>4.0</v>
      </c>
      <c r="K592" s="263">
        <v>4.0</v>
      </c>
      <c r="L592" s="263">
        <v>0.0</v>
      </c>
      <c r="M592" s="263">
        <v>5.0</v>
      </c>
      <c r="N592" s="263">
        <v>5.0</v>
      </c>
      <c r="O592" s="265" t="s">
        <v>1590</v>
      </c>
    </row>
    <row r="593">
      <c r="A593" s="262" t="str">
        <f t="shared" si="1"/>
        <v>Tourè E.</v>
      </c>
      <c r="B593" s="263">
        <v>6229.0</v>
      </c>
      <c r="C593" s="264" t="s">
        <v>507</v>
      </c>
      <c r="D593" s="264" t="s">
        <v>512</v>
      </c>
      <c r="E593" s="264" t="s">
        <v>1600</v>
      </c>
      <c r="F593" s="264" t="s">
        <v>980</v>
      </c>
      <c r="G593" s="263">
        <v>7.0</v>
      </c>
      <c r="H593" s="263">
        <v>7.0</v>
      </c>
      <c r="I593" s="263">
        <v>0.0</v>
      </c>
      <c r="J593" s="263">
        <v>6.0</v>
      </c>
      <c r="K593" s="263">
        <v>6.0</v>
      </c>
      <c r="L593" s="263">
        <v>0.0</v>
      </c>
      <c r="M593" s="263">
        <v>9.0</v>
      </c>
      <c r="N593" s="263">
        <v>9.0</v>
      </c>
      <c r="O593" s="265" t="s">
        <v>1590</v>
      </c>
    </row>
    <row r="594">
      <c r="A594" s="262" t="str">
        <f t="shared" si="1"/>
        <v>Azzi</v>
      </c>
      <c r="B594" s="263">
        <v>6231.0</v>
      </c>
      <c r="C594" s="264" t="s">
        <v>480</v>
      </c>
      <c r="D594" s="264" t="s">
        <v>931</v>
      </c>
      <c r="E594" s="264" t="s">
        <v>1294</v>
      </c>
      <c r="F594" s="264" t="s">
        <v>995</v>
      </c>
      <c r="G594" s="263">
        <v>3.0</v>
      </c>
      <c r="H594" s="263">
        <v>3.0</v>
      </c>
      <c r="I594" s="263">
        <v>0.0</v>
      </c>
      <c r="J594" s="263">
        <v>3.0</v>
      </c>
      <c r="K594" s="263">
        <v>3.0</v>
      </c>
      <c r="L594" s="263">
        <v>0.0</v>
      </c>
      <c r="M594" s="263">
        <v>7.0</v>
      </c>
      <c r="N594" s="263">
        <v>7.0</v>
      </c>
      <c r="O594" s="265" t="s">
        <v>1590</v>
      </c>
    </row>
    <row r="595">
      <c r="A595" s="262" t="str">
        <f t="shared" si="1"/>
        <v>Vogliacco</v>
      </c>
      <c r="B595" s="263">
        <v>6245.0</v>
      </c>
      <c r="C595" s="264" t="s">
        <v>480</v>
      </c>
      <c r="D595" s="264" t="s">
        <v>937</v>
      </c>
      <c r="E595" s="264" t="s">
        <v>896</v>
      </c>
      <c r="F595" s="264" t="s">
        <v>1026</v>
      </c>
      <c r="G595" s="263">
        <v>3.0</v>
      </c>
      <c r="H595" s="263">
        <v>3.0</v>
      </c>
      <c r="I595" s="263">
        <v>0.0</v>
      </c>
      <c r="J595" s="263">
        <v>4.0</v>
      </c>
      <c r="K595" s="263">
        <v>4.0</v>
      </c>
      <c r="L595" s="263">
        <v>0.0</v>
      </c>
      <c r="M595" s="263">
        <v>3.0</v>
      </c>
      <c r="N595" s="263">
        <v>4.0</v>
      </c>
      <c r="O595" s="265" t="s">
        <v>1590</v>
      </c>
    </row>
    <row r="596">
      <c r="A596" s="262" t="str">
        <f t="shared" si="1"/>
        <v>Beltran L.</v>
      </c>
      <c r="B596" s="263">
        <v>6409.0</v>
      </c>
      <c r="C596" s="264" t="s">
        <v>507</v>
      </c>
      <c r="D596" s="264" t="s">
        <v>507</v>
      </c>
      <c r="E596" s="264" t="s">
        <v>745</v>
      </c>
      <c r="F596" s="264" t="s">
        <v>1033</v>
      </c>
      <c r="G596" s="263">
        <v>6.0</v>
      </c>
      <c r="H596" s="263">
        <v>7.0</v>
      </c>
      <c r="I596" s="263">
        <v>-1.0</v>
      </c>
      <c r="J596" s="263">
        <v>6.0</v>
      </c>
      <c r="K596" s="263">
        <v>7.0</v>
      </c>
      <c r="L596" s="263">
        <v>-1.0</v>
      </c>
      <c r="M596" s="263">
        <v>10.0</v>
      </c>
      <c r="N596" s="263">
        <v>10.0</v>
      </c>
      <c r="O596" s="265" t="s">
        <v>1590</v>
      </c>
    </row>
    <row r="597">
      <c r="A597" s="262" t="str">
        <f t="shared" si="1"/>
        <v>Kaba</v>
      </c>
      <c r="B597" s="263">
        <v>6410.0</v>
      </c>
      <c r="C597" s="264" t="s">
        <v>492</v>
      </c>
      <c r="D597" s="264" t="s">
        <v>930</v>
      </c>
      <c r="E597" s="264" t="s">
        <v>1083</v>
      </c>
      <c r="F597" s="264" t="s">
        <v>998</v>
      </c>
      <c r="G597" s="263">
        <v>3.0</v>
      </c>
      <c r="H597" s="263">
        <v>1.0</v>
      </c>
      <c r="I597" s="263">
        <v>2.0</v>
      </c>
      <c r="J597" s="263">
        <v>3.0</v>
      </c>
      <c r="K597" s="263">
        <v>1.0</v>
      </c>
      <c r="L597" s="263">
        <v>2.0</v>
      </c>
      <c r="M597" s="263">
        <v>12.0</v>
      </c>
      <c r="N597" s="263">
        <v>15.0</v>
      </c>
      <c r="O597" s="265" t="s">
        <v>1590</v>
      </c>
    </row>
    <row r="598">
      <c r="A598" s="262" t="str">
        <f t="shared" si="1"/>
        <v>Mateus Lusuardi</v>
      </c>
      <c r="B598" s="263">
        <v>6411.0</v>
      </c>
      <c r="C598" s="264" t="s">
        <v>480</v>
      </c>
      <c r="D598" s="264" t="s">
        <v>481</v>
      </c>
      <c r="E598" s="264" t="s">
        <v>1105</v>
      </c>
      <c r="F598" s="264" t="s">
        <v>977</v>
      </c>
      <c r="G598" s="263">
        <v>2.0</v>
      </c>
      <c r="H598" s="263">
        <v>4.0</v>
      </c>
      <c r="I598" s="263">
        <v>-2.0</v>
      </c>
      <c r="J598" s="263">
        <v>2.0</v>
      </c>
      <c r="K598" s="263">
        <v>4.0</v>
      </c>
      <c r="L598" s="263">
        <v>-2.0</v>
      </c>
      <c r="M598" s="263">
        <v>5.0</v>
      </c>
      <c r="N598" s="263">
        <v>5.0</v>
      </c>
      <c r="O598" s="265" t="s">
        <v>1590</v>
      </c>
    </row>
    <row r="599">
      <c r="A599" s="262" t="str">
        <f t="shared" si="1"/>
        <v>Paz Y.</v>
      </c>
      <c r="B599" s="263">
        <v>6431.0</v>
      </c>
      <c r="C599" s="264" t="s">
        <v>480</v>
      </c>
      <c r="D599" s="264" t="s">
        <v>938</v>
      </c>
      <c r="E599" s="264" t="s">
        <v>1143</v>
      </c>
      <c r="F599" s="264" t="s">
        <v>1005</v>
      </c>
      <c r="G599" s="263">
        <v>1.0</v>
      </c>
      <c r="H599" s="263">
        <v>1.0</v>
      </c>
      <c r="I599" s="263">
        <v>0.0</v>
      </c>
      <c r="J599" s="263">
        <v>1.0</v>
      </c>
      <c r="K599" s="263">
        <v>1.0</v>
      </c>
      <c r="L599" s="263">
        <v>0.0</v>
      </c>
      <c r="M599" s="263">
        <v>3.0</v>
      </c>
      <c r="N599" s="263">
        <v>3.0</v>
      </c>
      <c r="O599" s="265" t="s">
        <v>1590</v>
      </c>
    </row>
    <row r="600">
      <c r="A600" s="262" t="str">
        <f t="shared" si="1"/>
        <v>Bonfanti</v>
      </c>
      <c r="B600" s="263">
        <v>6444.0</v>
      </c>
      <c r="C600" s="264" t="s">
        <v>480</v>
      </c>
      <c r="D600" s="264" t="s">
        <v>481</v>
      </c>
      <c r="E600" s="264" t="s">
        <v>1014</v>
      </c>
      <c r="F600" s="264" t="s">
        <v>977</v>
      </c>
      <c r="G600" s="263">
        <v>2.0</v>
      </c>
      <c r="H600" s="263">
        <v>2.0</v>
      </c>
      <c r="I600" s="263">
        <v>0.0</v>
      </c>
      <c r="J600" s="263">
        <v>2.0</v>
      </c>
      <c r="K600" s="263">
        <v>2.0</v>
      </c>
      <c r="L600" s="263">
        <v>0.0</v>
      </c>
      <c r="M600" s="263">
        <v>8.0</v>
      </c>
      <c r="N600" s="263">
        <v>8.0</v>
      </c>
      <c r="O600" s="265" t="s">
        <v>1590</v>
      </c>
    </row>
    <row r="601">
      <c r="A601" s="262" t="str">
        <f t="shared" si="1"/>
        <v>Karlsson</v>
      </c>
      <c r="B601" s="263">
        <v>6459.0</v>
      </c>
      <c r="C601" s="264" t="s">
        <v>507</v>
      </c>
      <c r="D601" s="264" t="s">
        <v>935</v>
      </c>
      <c r="E601" s="264" t="s">
        <v>792</v>
      </c>
      <c r="F601" s="264" t="s">
        <v>1009</v>
      </c>
      <c r="G601" s="263">
        <v>3.0</v>
      </c>
      <c r="H601" s="263">
        <v>3.0</v>
      </c>
      <c r="I601" s="263">
        <v>0.0</v>
      </c>
      <c r="J601" s="263">
        <v>3.0</v>
      </c>
      <c r="K601" s="263">
        <v>3.0</v>
      </c>
      <c r="L601" s="263">
        <v>0.0</v>
      </c>
      <c r="M601" s="263">
        <v>7.0</v>
      </c>
      <c r="N601" s="263">
        <v>7.0</v>
      </c>
      <c r="O601" s="265" t="s">
        <v>1590</v>
      </c>
    </row>
    <row r="602">
      <c r="A602" s="262" t="str">
        <f t="shared" si="1"/>
        <v>Wieteska</v>
      </c>
      <c r="B602" s="263">
        <v>6464.0</v>
      </c>
      <c r="C602" s="264" t="s">
        <v>480</v>
      </c>
      <c r="D602" s="264" t="s">
        <v>481</v>
      </c>
      <c r="E602" s="264" t="s">
        <v>1299</v>
      </c>
      <c r="F602" s="264" t="s">
        <v>975</v>
      </c>
      <c r="G602" s="263">
        <v>1.0</v>
      </c>
      <c r="H602" s="263">
        <v>1.0</v>
      </c>
      <c r="I602" s="263">
        <v>0.0</v>
      </c>
      <c r="J602" s="263">
        <v>1.0</v>
      </c>
      <c r="K602" s="263">
        <v>1.0</v>
      </c>
      <c r="L602" s="263">
        <v>0.0</v>
      </c>
      <c r="M602" s="263">
        <v>2.0</v>
      </c>
      <c r="N602" s="263">
        <v>2.0</v>
      </c>
      <c r="O602" s="265" t="s">
        <v>1590</v>
      </c>
    </row>
    <row r="603">
      <c r="A603" s="262" t="str">
        <f t="shared" si="1"/>
        <v>Tchatchoua</v>
      </c>
      <c r="B603" s="263">
        <v>6480.0</v>
      </c>
      <c r="C603" s="264" t="s">
        <v>480</v>
      </c>
      <c r="D603" s="264" t="s">
        <v>938</v>
      </c>
      <c r="E603" s="264" t="s">
        <v>845</v>
      </c>
      <c r="F603" s="264" t="s">
        <v>983</v>
      </c>
      <c r="G603" s="263">
        <v>8.0</v>
      </c>
      <c r="H603" s="263">
        <v>8.0</v>
      </c>
      <c r="I603" s="263">
        <v>0.0</v>
      </c>
      <c r="J603" s="263">
        <v>8.0</v>
      </c>
      <c r="K603" s="263">
        <v>8.0</v>
      </c>
      <c r="L603" s="263">
        <v>0.0</v>
      </c>
      <c r="M603" s="263">
        <v>17.0</v>
      </c>
      <c r="N603" s="263">
        <v>17.0</v>
      </c>
      <c r="O603" s="265" t="s">
        <v>1590</v>
      </c>
    </row>
    <row r="604">
      <c r="A604" s="262" t="str">
        <f t="shared" si="1"/>
        <v>Mandas</v>
      </c>
      <c r="B604" s="263">
        <v>6482.0</v>
      </c>
      <c r="C604" s="264" t="s">
        <v>477</v>
      </c>
      <c r="D604" s="264" t="s">
        <v>478</v>
      </c>
      <c r="E604" s="264" t="s">
        <v>814</v>
      </c>
      <c r="F604" s="264" t="s">
        <v>1000</v>
      </c>
      <c r="G604" s="263">
        <v>1.0</v>
      </c>
      <c r="H604" s="263">
        <v>3.0</v>
      </c>
      <c r="I604" s="263">
        <v>-2.0</v>
      </c>
      <c r="J604" s="263">
        <v>1.0</v>
      </c>
      <c r="K604" s="263">
        <v>3.0</v>
      </c>
      <c r="L604" s="263">
        <v>-2.0</v>
      </c>
      <c r="M604" s="263">
        <v>1.0</v>
      </c>
      <c r="N604" s="263">
        <v>1.0</v>
      </c>
      <c r="O604" s="265" t="s">
        <v>1590</v>
      </c>
    </row>
    <row r="605">
      <c r="A605" s="262" t="str">
        <f t="shared" si="1"/>
        <v>Fini</v>
      </c>
      <c r="B605" s="263">
        <v>6506.0</v>
      </c>
      <c r="C605" s="264" t="s">
        <v>492</v>
      </c>
      <c r="D605" s="264" t="s">
        <v>1089</v>
      </c>
      <c r="E605" s="264" t="s">
        <v>1601</v>
      </c>
      <c r="F605" s="264" t="s">
        <v>1026</v>
      </c>
      <c r="G605" s="263">
        <v>2.0</v>
      </c>
      <c r="H605" s="263">
        <v>1.0</v>
      </c>
      <c r="I605" s="263">
        <v>1.0</v>
      </c>
      <c r="J605" s="263">
        <v>2.0</v>
      </c>
      <c r="K605" s="263">
        <v>1.0</v>
      </c>
      <c r="L605" s="263">
        <v>1.0</v>
      </c>
      <c r="M605" s="263">
        <v>1.0</v>
      </c>
      <c r="N605" s="263">
        <v>1.0</v>
      </c>
      <c r="O605" s="265" t="s">
        <v>1590</v>
      </c>
    </row>
    <row r="606">
      <c r="A606" s="262" t="str">
        <f t="shared" si="1"/>
        <v>Sarmiento J.</v>
      </c>
      <c r="B606" s="263">
        <v>6528.0</v>
      </c>
      <c r="C606" s="264" t="s">
        <v>492</v>
      </c>
      <c r="D606" s="264" t="s">
        <v>1057</v>
      </c>
      <c r="E606" s="264" t="s">
        <v>1171</v>
      </c>
      <c r="F606" s="264" t="s">
        <v>995</v>
      </c>
      <c r="G606" s="263">
        <v>3.0</v>
      </c>
      <c r="H606" s="263">
        <v>4.0</v>
      </c>
      <c r="I606" s="263">
        <v>-1.0</v>
      </c>
      <c r="J606" s="263">
        <v>3.0</v>
      </c>
      <c r="K606" s="263">
        <v>4.0</v>
      </c>
      <c r="L606" s="263">
        <v>-1.0</v>
      </c>
      <c r="M606" s="263">
        <v>8.0</v>
      </c>
      <c r="N606" s="263">
        <v>8.0</v>
      </c>
      <c r="O606" s="265" t="s">
        <v>1590</v>
      </c>
    </row>
    <row r="607">
      <c r="A607" s="262" t="str">
        <f t="shared" si="1"/>
        <v>Jimenez A.</v>
      </c>
      <c r="B607" s="263">
        <v>6531.0</v>
      </c>
      <c r="C607" s="264" t="s">
        <v>480</v>
      </c>
      <c r="D607" s="264" t="s">
        <v>944</v>
      </c>
      <c r="E607" s="264" t="s">
        <v>655</v>
      </c>
      <c r="F607" s="264" t="s">
        <v>991</v>
      </c>
      <c r="G607" s="263">
        <v>5.0</v>
      </c>
      <c r="H607" s="263">
        <v>5.0</v>
      </c>
      <c r="I607" s="263">
        <v>0.0</v>
      </c>
      <c r="J607" s="263">
        <v>5.0</v>
      </c>
      <c r="K607" s="263">
        <v>6.0</v>
      </c>
      <c r="L607" s="263">
        <v>-1.0</v>
      </c>
      <c r="M607" s="263">
        <v>10.0</v>
      </c>
      <c r="N607" s="263">
        <v>10.0</v>
      </c>
      <c r="O607" s="265" t="s">
        <v>1590</v>
      </c>
    </row>
    <row r="608">
      <c r="A608" s="262" t="str">
        <f t="shared" si="1"/>
        <v>Giannetti L.</v>
      </c>
      <c r="B608" s="263">
        <v>6533.0</v>
      </c>
      <c r="C608" s="264" t="s">
        <v>480</v>
      </c>
      <c r="D608" s="264" t="s">
        <v>481</v>
      </c>
      <c r="E608" s="264" t="s">
        <v>660</v>
      </c>
      <c r="F608" s="264" t="s">
        <v>993</v>
      </c>
      <c r="G608" s="263">
        <v>3.0</v>
      </c>
      <c r="H608" s="263">
        <v>3.0</v>
      </c>
      <c r="I608" s="263">
        <v>0.0</v>
      </c>
      <c r="J608" s="263">
        <v>3.0</v>
      </c>
      <c r="K608" s="263">
        <v>3.0</v>
      </c>
      <c r="L608" s="263">
        <v>0.0</v>
      </c>
      <c r="M608" s="263">
        <v>5.0</v>
      </c>
      <c r="N608" s="263">
        <v>5.0</v>
      </c>
      <c r="O608" s="265" t="s">
        <v>1590</v>
      </c>
    </row>
    <row r="609">
      <c r="A609" s="262" t="str">
        <f t="shared" si="1"/>
        <v>Goglichidze</v>
      </c>
      <c r="B609" s="263">
        <v>6537.0</v>
      </c>
      <c r="C609" s="264" t="s">
        <v>480</v>
      </c>
      <c r="D609" s="264" t="s">
        <v>937</v>
      </c>
      <c r="E609" s="264" t="s">
        <v>435</v>
      </c>
      <c r="F609" s="264" t="s">
        <v>993</v>
      </c>
      <c r="G609" s="263">
        <v>2.0</v>
      </c>
      <c r="H609" s="263">
        <v>4.0</v>
      </c>
      <c r="I609" s="263">
        <v>-2.0</v>
      </c>
      <c r="J609" s="263">
        <v>2.0</v>
      </c>
      <c r="K609" s="263">
        <v>4.0</v>
      </c>
      <c r="L609" s="263">
        <v>-2.0</v>
      </c>
      <c r="M609" s="263">
        <v>7.0</v>
      </c>
      <c r="N609" s="263">
        <v>9.0</v>
      </c>
      <c r="O609" s="265" t="s">
        <v>1590</v>
      </c>
    </row>
    <row r="610">
      <c r="A610" s="262" t="str">
        <f t="shared" si="1"/>
        <v>Ilic M.</v>
      </c>
      <c r="B610" s="263">
        <v>6551.0</v>
      </c>
      <c r="C610" s="264" t="s">
        <v>480</v>
      </c>
      <c r="D610" s="264" t="s">
        <v>481</v>
      </c>
      <c r="E610" s="264" t="s">
        <v>1077</v>
      </c>
      <c r="F610" s="264" t="s">
        <v>1009</v>
      </c>
      <c r="G610" s="263">
        <v>1.0</v>
      </c>
      <c r="H610" s="263">
        <v>1.0</v>
      </c>
      <c r="I610" s="263">
        <v>0.0</v>
      </c>
      <c r="J610" s="263">
        <v>1.0</v>
      </c>
      <c r="K610" s="263">
        <v>1.0</v>
      </c>
      <c r="L610" s="263">
        <v>0.0</v>
      </c>
      <c r="M610" s="263">
        <v>2.0</v>
      </c>
      <c r="N610" s="263">
        <v>2.0</v>
      </c>
      <c r="O610" s="265" t="s">
        <v>1590</v>
      </c>
    </row>
    <row r="611">
      <c r="A611" s="262" t="str">
        <f t="shared" si="1"/>
        <v>Cissè A.</v>
      </c>
      <c r="B611" s="263">
        <v>6618.0</v>
      </c>
      <c r="C611" s="264" t="s">
        <v>492</v>
      </c>
      <c r="D611" s="264" t="s">
        <v>1057</v>
      </c>
      <c r="E611" s="264" t="s">
        <v>1602</v>
      </c>
      <c r="F611" s="264" t="s">
        <v>983</v>
      </c>
      <c r="G611" s="263">
        <v>1.0</v>
      </c>
      <c r="H611" s="263">
        <v>1.0</v>
      </c>
      <c r="I611" s="263">
        <v>0.0</v>
      </c>
      <c r="J611" s="263">
        <v>1.0</v>
      </c>
      <c r="K611" s="263">
        <v>1.0</v>
      </c>
      <c r="L611" s="263">
        <v>0.0</v>
      </c>
      <c r="M611" s="263">
        <v>1.0</v>
      </c>
      <c r="N611" s="263">
        <v>1.0</v>
      </c>
      <c r="O611" s="265" t="s">
        <v>1590</v>
      </c>
    </row>
    <row r="612">
      <c r="A612" s="262" t="str">
        <f t="shared" si="1"/>
        <v>Taremi</v>
      </c>
      <c r="B612" s="263">
        <v>6628.0</v>
      </c>
      <c r="C612" s="264" t="s">
        <v>507</v>
      </c>
      <c r="D612" s="264" t="s">
        <v>512</v>
      </c>
      <c r="E612" s="264" t="s">
        <v>856</v>
      </c>
      <c r="F612" s="264" t="s">
        <v>973</v>
      </c>
      <c r="G612" s="263">
        <v>4.0</v>
      </c>
      <c r="H612" s="263">
        <v>4.0</v>
      </c>
      <c r="I612" s="263">
        <v>0.0</v>
      </c>
      <c r="J612" s="263">
        <v>3.0</v>
      </c>
      <c r="K612" s="263">
        <v>3.0</v>
      </c>
      <c r="L612" s="263">
        <v>0.0</v>
      </c>
      <c r="M612" s="263">
        <v>5.0</v>
      </c>
      <c r="N612" s="263">
        <v>4.0</v>
      </c>
      <c r="O612" s="265" t="s">
        <v>1590</v>
      </c>
    </row>
    <row r="613">
      <c r="A613" s="262" t="str">
        <f t="shared" si="1"/>
        <v>Pierret</v>
      </c>
      <c r="B613" s="263">
        <v>6633.0</v>
      </c>
      <c r="C613" s="264" t="s">
        <v>492</v>
      </c>
      <c r="D613" s="264" t="s">
        <v>930</v>
      </c>
      <c r="E613" s="264" t="s">
        <v>672</v>
      </c>
      <c r="F613" s="264" t="s">
        <v>998</v>
      </c>
      <c r="G613" s="263">
        <v>1.0</v>
      </c>
      <c r="H613" s="263">
        <v>6.0</v>
      </c>
      <c r="I613" s="263">
        <v>-5.0</v>
      </c>
      <c r="J613" s="263">
        <v>1.0</v>
      </c>
      <c r="K613" s="263">
        <v>7.0</v>
      </c>
      <c r="L613" s="263">
        <v>-6.0</v>
      </c>
      <c r="M613" s="263">
        <v>9.0</v>
      </c>
      <c r="N613" s="263">
        <v>11.0</v>
      </c>
      <c r="O613" s="265" t="s">
        <v>1590</v>
      </c>
    </row>
    <row r="614">
      <c r="A614" s="262" t="str">
        <f t="shared" si="1"/>
        <v>Tete Morente</v>
      </c>
      <c r="B614" s="263">
        <v>6634.0</v>
      </c>
      <c r="C614" s="264" t="s">
        <v>492</v>
      </c>
      <c r="D614" s="264" t="s">
        <v>563</v>
      </c>
      <c r="E614" s="264" t="s">
        <v>1193</v>
      </c>
      <c r="F614" s="264" t="s">
        <v>998</v>
      </c>
      <c r="G614" s="263">
        <v>3.0</v>
      </c>
      <c r="H614" s="263">
        <v>9.0</v>
      </c>
      <c r="I614" s="263">
        <v>-6.0</v>
      </c>
      <c r="J614" s="263">
        <v>3.0</v>
      </c>
      <c r="K614" s="263">
        <v>8.0</v>
      </c>
      <c r="L614" s="263">
        <v>-5.0</v>
      </c>
      <c r="M614" s="263">
        <v>12.0</v>
      </c>
      <c r="N614" s="263">
        <v>10.0</v>
      </c>
      <c r="O614" s="265" t="s">
        <v>1590</v>
      </c>
    </row>
    <row r="615">
      <c r="A615" s="262" t="str">
        <f t="shared" si="1"/>
        <v>Pizarro</v>
      </c>
      <c r="B615" s="263">
        <v>6635.0</v>
      </c>
      <c r="C615" s="264" t="s">
        <v>507</v>
      </c>
      <c r="D615" s="264" t="s">
        <v>512</v>
      </c>
      <c r="E615" s="264" t="s">
        <v>1309</v>
      </c>
      <c r="F615" s="264" t="s">
        <v>993</v>
      </c>
      <c r="G615" s="263">
        <v>1.0</v>
      </c>
      <c r="H615" s="263">
        <v>1.0</v>
      </c>
      <c r="I615" s="263">
        <v>0.0</v>
      </c>
      <c r="J615" s="263">
        <v>1.0</v>
      </c>
      <c r="K615" s="263">
        <v>1.0</v>
      </c>
      <c r="L615" s="263">
        <v>0.0</v>
      </c>
      <c r="M615" s="263">
        <v>3.0</v>
      </c>
      <c r="N615" s="263">
        <v>2.0</v>
      </c>
      <c r="O615" s="265" t="s">
        <v>1590</v>
      </c>
    </row>
    <row r="616">
      <c r="A616" s="262" t="str">
        <f t="shared" si="1"/>
        <v>Veroli</v>
      </c>
      <c r="B616" s="263">
        <v>6636.0</v>
      </c>
      <c r="C616" s="264" t="s">
        <v>480</v>
      </c>
      <c r="D616" s="264" t="s">
        <v>1022</v>
      </c>
      <c r="E616" s="264" t="s">
        <v>1603</v>
      </c>
      <c r="F616" s="264" t="s">
        <v>975</v>
      </c>
      <c r="G616" s="263">
        <v>1.0</v>
      </c>
      <c r="H616" s="263">
        <v>1.0</v>
      </c>
      <c r="I616" s="263">
        <v>0.0</v>
      </c>
      <c r="J616" s="263">
        <v>1.0</v>
      </c>
      <c r="K616" s="263">
        <v>1.0</v>
      </c>
      <c r="L616" s="263">
        <v>0.0</v>
      </c>
      <c r="M616" s="263">
        <v>1.0</v>
      </c>
      <c r="N616" s="263">
        <v>1.0</v>
      </c>
      <c r="O616" s="265" t="s">
        <v>1590</v>
      </c>
    </row>
    <row r="617">
      <c r="A617" s="262" t="str">
        <f t="shared" si="1"/>
        <v>Rocha Livramento</v>
      </c>
      <c r="B617" s="263">
        <v>6644.0</v>
      </c>
      <c r="C617" s="264" t="s">
        <v>507</v>
      </c>
      <c r="D617" s="264" t="s">
        <v>512</v>
      </c>
      <c r="E617" s="264" t="s">
        <v>855</v>
      </c>
      <c r="F617" s="264" t="s">
        <v>983</v>
      </c>
      <c r="G617" s="263">
        <v>3.0</v>
      </c>
      <c r="H617" s="263">
        <v>3.0</v>
      </c>
      <c r="I617" s="263">
        <v>0.0</v>
      </c>
      <c r="J617" s="263">
        <v>2.0</v>
      </c>
      <c r="K617" s="263">
        <v>2.0</v>
      </c>
      <c r="L617" s="263">
        <v>0.0</v>
      </c>
      <c r="M617" s="263">
        <v>8.0</v>
      </c>
      <c r="N617" s="263">
        <v>6.0</v>
      </c>
      <c r="O617" s="265" t="s">
        <v>1590</v>
      </c>
    </row>
    <row r="618">
      <c r="A618" s="262" t="str">
        <f t="shared" si="1"/>
        <v>Bravo</v>
      </c>
      <c r="B618" s="263">
        <v>6653.0</v>
      </c>
      <c r="C618" s="264" t="s">
        <v>507</v>
      </c>
      <c r="D618" s="264" t="s">
        <v>507</v>
      </c>
      <c r="E618" s="264" t="s">
        <v>289</v>
      </c>
      <c r="F618" s="264" t="s">
        <v>993</v>
      </c>
      <c r="G618" s="263">
        <v>4.0</v>
      </c>
      <c r="H618" s="263">
        <v>6.0</v>
      </c>
      <c r="I618" s="263">
        <v>-2.0</v>
      </c>
      <c r="J618" s="263">
        <v>4.0</v>
      </c>
      <c r="K618" s="263">
        <v>6.0</v>
      </c>
      <c r="L618" s="263">
        <v>-2.0</v>
      </c>
      <c r="M618" s="263">
        <v>12.0</v>
      </c>
      <c r="N618" s="263">
        <v>12.0</v>
      </c>
      <c r="O618" s="265" t="s">
        <v>1590</v>
      </c>
    </row>
    <row r="619">
      <c r="A619" s="262" t="str">
        <f t="shared" si="1"/>
        <v>Braunoder</v>
      </c>
      <c r="B619" s="263">
        <v>6656.0</v>
      </c>
      <c r="C619" s="264" t="s">
        <v>492</v>
      </c>
      <c r="D619" s="264" t="s">
        <v>930</v>
      </c>
      <c r="E619" s="264" t="s">
        <v>774</v>
      </c>
      <c r="F619" s="264" t="s">
        <v>974</v>
      </c>
      <c r="G619" s="263">
        <v>1.0</v>
      </c>
      <c r="H619" s="263">
        <v>1.0</v>
      </c>
      <c r="I619" s="263">
        <v>0.0</v>
      </c>
      <c r="J619" s="263">
        <v>1.0</v>
      </c>
      <c r="K619" s="263">
        <v>1.0</v>
      </c>
      <c r="L619" s="263">
        <v>0.0</v>
      </c>
      <c r="M619" s="263">
        <v>1.0</v>
      </c>
      <c r="N619" s="263">
        <v>1.0</v>
      </c>
      <c r="O619" s="265" t="s">
        <v>1590</v>
      </c>
    </row>
    <row r="620">
      <c r="A620" s="262" t="str">
        <f t="shared" si="1"/>
        <v>Gabrielloni</v>
      </c>
      <c r="B620" s="263">
        <v>6657.0</v>
      </c>
      <c r="C620" s="264" t="s">
        <v>507</v>
      </c>
      <c r="D620" s="264" t="s">
        <v>512</v>
      </c>
      <c r="E620" s="264" t="s">
        <v>1314</v>
      </c>
      <c r="F620" s="264" t="s">
        <v>974</v>
      </c>
      <c r="G620" s="263">
        <v>1.0</v>
      </c>
      <c r="H620" s="263">
        <v>1.0</v>
      </c>
      <c r="I620" s="263">
        <v>0.0</v>
      </c>
      <c r="J620" s="263">
        <v>1.0</v>
      </c>
      <c r="K620" s="263">
        <v>1.0</v>
      </c>
      <c r="L620" s="263">
        <v>0.0</v>
      </c>
      <c r="M620" s="263">
        <v>1.0</v>
      </c>
      <c r="N620" s="263">
        <v>1.0</v>
      </c>
      <c r="O620" s="265" t="s">
        <v>1590</v>
      </c>
    </row>
    <row r="621">
      <c r="A621" s="262" t="str">
        <f t="shared" si="1"/>
        <v>Benedyczak</v>
      </c>
      <c r="B621" s="263">
        <v>6667.0</v>
      </c>
      <c r="C621" s="264" t="s">
        <v>507</v>
      </c>
      <c r="D621" s="264" t="s">
        <v>507</v>
      </c>
      <c r="E621" s="264" t="s">
        <v>1004</v>
      </c>
      <c r="F621" s="264" t="s">
        <v>985</v>
      </c>
      <c r="G621" s="263">
        <v>8.0</v>
      </c>
      <c r="H621" s="263">
        <v>1.0</v>
      </c>
      <c r="I621" s="263">
        <v>7.0</v>
      </c>
      <c r="J621" s="263">
        <v>8.0</v>
      </c>
      <c r="K621" s="263">
        <v>1.0</v>
      </c>
      <c r="L621" s="263">
        <v>7.0</v>
      </c>
      <c r="M621" s="263">
        <v>10.0</v>
      </c>
      <c r="N621" s="263">
        <v>10.0</v>
      </c>
      <c r="O621" s="265" t="s">
        <v>1590</v>
      </c>
    </row>
    <row r="622">
      <c r="A622" s="262" t="str">
        <f t="shared" si="1"/>
        <v>Engelhardt</v>
      </c>
      <c r="B622" s="263">
        <v>6676.0</v>
      </c>
      <c r="C622" s="264" t="s">
        <v>492</v>
      </c>
      <c r="D622" s="264" t="s">
        <v>930</v>
      </c>
      <c r="E622" s="264" t="s">
        <v>1320</v>
      </c>
      <c r="F622" s="264" t="s">
        <v>974</v>
      </c>
      <c r="G622" s="263">
        <v>2.0</v>
      </c>
      <c r="H622" s="263">
        <v>2.0</v>
      </c>
      <c r="I622" s="263">
        <v>0.0</v>
      </c>
      <c r="J622" s="263">
        <v>2.0</v>
      </c>
      <c r="K622" s="263">
        <v>2.0</v>
      </c>
      <c r="L622" s="263">
        <v>0.0</v>
      </c>
      <c r="M622" s="263">
        <v>3.0</v>
      </c>
      <c r="N622" s="263">
        <v>3.0</v>
      </c>
      <c r="O622" s="265" t="s">
        <v>1590</v>
      </c>
    </row>
    <row r="623">
      <c r="A623" s="262" t="str">
        <f t="shared" si="1"/>
        <v>Liberali</v>
      </c>
      <c r="B623" s="263">
        <v>6678.0</v>
      </c>
      <c r="C623" s="264" t="s">
        <v>492</v>
      </c>
      <c r="D623" s="264" t="s">
        <v>1057</v>
      </c>
      <c r="E623" s="264" t="s">
        <v>647</v>
      </c>
      <c r="F623" s="264" t="s">
        <v>991</v>
      </c>
      <c r="G623" s="263">
        <v>1.0</v>
      </c>
      <c r="H623" s="263">
        <v>1.0</v>
      </c>
      <c r="I623" s="263">
        <v>0.0</v>
      </c>
      <c r="J623" s="263">
        <v>1.0</v>
      </c>
      <c r="K623" s="263">
        <v>1.0</v>
      </c>
      <c r="L623" s="263">
        <v>0.0</v>
      </c>
      <c r="M623" s="263">
        <v>1.0</v>
      </c>
      <c r="N623" s="263">
        <v>1.0</v>
      </c>
      <c r="O623" s="265" t="s">
        <v>1590</v>
      </c>
    </row>
    <row r="624">
      <c r="A624" s="262" t="str">
        <f t="shared" si="1"/>
        <v>Gronbaek</v>
      </c>
      <c r="B624" s="263">
        <v>6722.0</v>
      </c>
      <c r="C624" s="264" t="s">
        <v>492</v>
      </c>
      <c r="D624" s="264" t="s">
        <v>1057</v>
      </c>
      <c r="E624" s="264" t="s">
        <v>1069</v>
      </c>
      <c r="F624" s="264" t="s">
        <v>1026</v>
      </c>
      <c r="G624" s="263">
        <v>2.0</v>
      </c>
      <c r="H624" s="263">
        <v>12.0</v>
      </c>
      <c r="I624" s="263">
        <v>-10.0</v>
      </c>
      <c r="J624" s="263">
        <v>2.0</v>
      </c>
      <c r="K624" s="263">
        <v>12.0</v>
      </c>
      <c r="L624" s="263">
        <v>-10.0</v>
      </c>
      <c r="M624" s="263">
        <v>4.0</v>
      </c>
      <c r="N624" s="263">
        <v>4.0</v>
      </c>
      <c r="O624" s="265" t="s">
        <v>1590</v>
      </c>
    </row>
    <row r="625">
      <c r="A625" s="262" t="str">
        <f t="shared" si="1"/>
        <v>Savona</v>
      </c>
      <c r="B625" s="263">
        <v>6802.0</v>
      </c>
      <c r="C625" s="264" t="s">
        <v>480</v>
      </c>
      <c r="D625" s="264" t="s">
        <v>1019</v>
      </c>
      <c r="E625" s="264" t="s">
        <v>696</v>
      </c>
      <c r="F625" s="264" t="s">
        <v>976</v>
      </c>
      <c r="G625" s="263">
        <v>3.0</v>
      </c>
      <c r="H625" s="263">
        <v>3.0</v>
      </c>
      <c r="I625" s="263">
        <v>0.0</v>
      </c>
      <c r="J625" s="263">
        <v>4.0</v>
      </c>
      <c r="K625" s="263">
        <v>4.0</v>
      </c>
      <c r="L625" s="263">
        <v>0.0</v>
      </c>
      <c r="M625" s="263">
        <v>9.0</v>
      </c>
      <c r="N625" s="263">
        <v>11.0</v>
      </c>
      <c r="O625" s="265" t="s">
        <v>1590</v>
      </c>
    </row>
    <row r="626">
      <c r="A626" s="262" t="str">
        <f t="shared" si="1"/>
        <v>Rouhi</v>
      </c>
      <c r="B626" s="263">
        <v>6803.0</v>
      </c>
      <c r="C626" s="264" t="s">
        <v>480</v>
      </c>
      <c r="D626" s="264" t="s">
        <v>931</v>
      </c>
      <c r="E626" s="264" t="s">
        <v>174</v>
      </c>
      <c r="F626" s="264" t="s">
        <v>976</v>
      </c>
      <c r="G626" s="263">
        <v>1.0</v>
      </c>
      <c r="H626" s="263">
        <v>1.0</v>
      </c>
      <c r="I626" s="263">
        <v>0.0</v>
      </c>
      <c r="J626" s="263">
        <v>1.0</v>
      </c>
      <c r="K626" s="263">
        <v>1.0</v>
      </c>
      <c r="L626" s="263">
        <v>0.0</v>
      </c>
      <c r="M626" s="263">
        <v>4.0</v>
      </c>
      <c r="N626" s="263">
        <v>4.0</v>
      </c>
      <c r="O626" s="265" t="s">
        <v>1590</v>
      </c>
    </row>
    <row r="627">
      <c r="A627" s="262" t="str">
        <f t="shared" si="1"/>
        <v>Richardson</v>
      </c>
      <c r="B627" s="263">
        <v>6804.0</v>
      </c>
      <c r="C627" s="264" t="s">
        <v>492</v>
      </c>
      <c r="D627" s="264" t="s">
        <v>930</v>
      </c>
      <c r="E627" s="264" t="s">
        <v>854</v>
      </c>
      <c r="F627" s="264" t="s">
        <v>1033</v>
      </c>
      <c r="G627" s="263">
        <v>2.0</v>
      </c>
      <c r="H627" s="263">
        <v>4.0</v>
      </c>
      <c r="I627" s="263">
        <v>-2.0</v>
      </c>
      <c r="J627" s="263">
        <v>2.0</v>
      </c>
      <c r="K627" s="263">
        <v>4.0</v>
      </c>
      <c r="L627" s="263">
        <v>-2.0</v>
      </c>
      <c r="M627" s="263">
        <v>8.0</v>
      </c>
      <c r="N627" s="263">
        <v>9.0</v>
      </c>
      <c r="O627" s="265" t="s">
        <v>1590</v>
      </c>
    </row>
    <row r="628">
      <c r="A628" s="262" t="str">
        <f t="shared" si="1"/>
        <v>Hainaut</v>
      </c>
      <c r="B628" s="263">
        <v>6821.0</v>
      </c>
      <c r="C628" s="264" t="s">
        <v>480</v>
      </c>
      <c r="D628" s="264" t="s">
        <v>938</v>
      </c>
      <c r="E628" s="264" t="s">
        <v>1543</v>
      </c>
      <c r="F628" s="264" t="s">
        <v>985</v>
      </c>
      <c r="G628" s="263">
        <v>2.0</v>
      </c>
      <c r="H628" s="263">
        <v>2.0</v>
      </c>
      <c r="I628" s="263">
        <v>0.0</v>
      </c>
      <c r="J628" s="263">
        <v>2.0</v>
      </c>
      <c r="K628" s="263">
        <v>2.0</v>
      </c>
      <c r="L628" s="263">
        <v>0.0</v>
      </c>
      <c r="M628" s="263">
        <v>5.0</v>
      </c>
      <c r="N628" s="263">
        <v>5.0</v>
      </c>
      <c r="O628" s="265" t="s">
        <v>1590</v>
      </c>
    </row>
    <row r="629">
      <c r="A629" s="262" t="str">
        <f t="shared" si="1"/>
        <v>Dembelè A.</v>
      </c>
      <c r="B629" s="263">
        <v>6826.0</v>
      </c>
      <c r="C629" s="264" t="s">
        <v>480</v>
      </c>
      <c r="D629" s="264" t="s">
        <v>938</v>
      </c>
      <c r="E629" s="264" t="s">
        <v>1045</v>
      </c>
      <c r="F629" s="264" t="s">
        <v>972</v>
      </c>
      <c r="G629" s="263">
        <v>1.0</v>
      </c>
      <c r="H629" s="263">
        <v>1.0</v>
      </c>
      <c r="I629" s="263">
        <v>0.0</v>
      </c>
      <c r="J629" s="263">
        <v>1.0</v>
      </c>
      <c r="K629" s="263">
        <v>1.0</v>
      </c>
      <c r="L629" s="263">
        <v>0.0</v>
      </c>
      <c r="M629" s="263">
        <v>2.0</v>
      </c>
      <c r="N629" s="263">
        <v>2.0</v>
      </c>
      <c r="O629" s="265" t="s">
        <v>1590</v>
      </c>
    </row>
    <row r="630">
      <c r="A630" s="262" t="str">
        <f t="shared" si="1"/>
        <v>Palacios T.</v>
      </c>
      <c r="B630" s="263">
        <v>6874.0</v>
      </c>
      <c r="C630" s="264" t="s">
        <v>480</v>
      </c>
      <c r="D630" s="264" t="s">
        <v>481</v>
      </c>
      <c r="E630" s="264" t="s">
        <v>798</v>
      </c>
      <c r="F630" s="264" t="s">
        <v>973</v>
      </c>
      <c r="G630" s="263">
        <v>1.0</v>
      </c>
      <c r="H630" s="263">
        <v>1.0</v>
      </c>
      <c r="I630" s="263">
        <v>0.0</v>
      </c>
      <c r="J630" s="263">
        <v>1.0</v>
      </c>
      <c r="K630" s="263">
        <v>1.0</v>
      </c>
      <c r="L630" s="263">
        <v>0.0</v>
      </c>
      <c r="M630" s="263">
        <v>1.0</v>
      </c>
      <c r="N630" s="263">
        <v>1.0</v>
      </c>
      <c r="O630" s="265" t="s">
        <v>1590</v>
      </c>
    </row>
    <row r="631">
      <c r="A631" s="262" t="str">
        <f t="shared" si="1"/>
        <v>Abdulhamid</v>
      </c>
      <c r="B631" s="263">
        <v>6885.0</v>
      </c>
      <c r="C631" s="264" t="s">
        <v>480</v>
      </c>
      <c r="D631" s="264" t="s">
        <v>938</v>
      </c>
      <c r="E631" s="264" t="s">
        <v>711</v>
      </c>
      <c r="F631" s="264" t="s">
        <v>988</v>
      </c>
      <c r="G631" s="263">
        <v>1.0</v>
      </c>
      <c r="H631" s="263">
        <v>1.0</v>
      </c>
      <c r="I631" s="263">
        <v>0.0</v>
      </c>
      <c r="J631" s="263">
        <v>1.0</v>
      </c>
      <c r="K631" s="263">
        <v>1.0</v>
      </c>
      <c r="L631" s="263">
        <v>0.0</v>
      </c>
      <c r="M631" s="263">
        <v>1.0</v>
      </c>
      <c r="N631" s="263">
        <v>1.0</v>
      </c>
      <c r="O631" s="265" t="s">
        <v>1590</v>
      </c>
    </row>
    <row r="632">
      <c r="A632" s="262" t="str">
        <f t="shared" si="1"/>
        <v>Leoni</v>
      </c>
      <c r="B632" s="263">
        <v>6887.0</v>
      </c>
      <c r="C632" s="264" t="s">
        <v>480</v>
      </c>
      <c r="D632" s="264" t="s">
        <v>481</v>
      </c>
      <c r="E632" s="264" t="s">
        <v>1325</v>
      </c>
      <c r="F632" s="264" t="s">
        <v>985</v>
      </c>
      <c r="G632" s="263">
        <v>7.0</v>
      </c>
      <c r="H632" s="263">
        <v>7.0</v>
      </c>
      <c r="I632" s="263">
        <v>0.0</v>
      </c>
      <c r="J632" s="263">
        <v>7.0</v>
      </c>
      <c r="K632" s="263">
        <v>7.0</v>
      </c>
      <c r="L632" s="263">
        <v>0.0</v>
      </c>
      <c r="M632" s="263">
        <v>13.0</v>
      </c>
      <c r="N632" s="263">
        <v>13.0</v>
      </c>
      <c r="O632" s="265" t="s">
        <v>1590</v>
      </c>
    </row>
    <row r="633">
      <c r="A633" s="262" t="str">
        <f t="shared" si="1"/>
        <v>Unai Nunez</v>
      </c>
      <c r="B633" s="263">
        <v>6894.0</v>
      </c>
      <c r="C633" s="264" t="s">
        <v>480</v>
      </c>
      <c r="D633" s="264" t="s">
        <v>481</v>
      </c>
      <c r="E633" s="264" t="s">
        <v>1202</v>
      </c>
      <c r="F633" s="264" t="s">
        <v>983</v>
      </c>
      <c r="G633" s="263">
        <v>4.0</v>
      </c>
      <c r="H633" s="263">
        <v>5.0</v>
      </c>
      <c r="I633" s="263">
        <v>-1.0</v>
      </c>
      <c r="J633" s="263">
        <v>4.0</v>
      </c>
      <c r="K633" s="263">
        <v>5.0</v>
      </c>
      <c r="L633" s="263">
        <v>-1.0</v>
      </c>
      <c r="M633" s="263">
        <v>8.0</v>
      </c>
      <c r="N633" s="263">
        <v>8.0</v>
      </c>
      <c r="O633" s="265" t="s">
        <v>1590</v>
      </c>
    </row>
    <row r="634">
      <c r="A634" s="262" t="str">
        <f t="shared" si="1"/>
        <v>Rui Modesto</v>
      </c>
      <c r="B634" s="263">
        <v>6900.0</v>
      </c>
      <c r="C634" s="264" t="s">
        <v>480</v>
      </c>
      <c r="D634" s="264" t="s">
        <v>521</v>
      </c>
      <c r="E634" s="264" t="s">
        <v>1167</v>
      </c>
      <c r="F634" s="264" t="s">
        <v>993</v>
      </c>
      <c r="G634" s="263">
        <v>1.0</v>
      </c>
      <c r="H634" s="263">
        <v>3.0</v>
      </c>
      <c r="I634" s="263">
        <v>-2.0</v>
      </c>
      <c r="J634" s="263">
        <v>1.0</v>
      </c>
      <c r="K634" s="263">
        <v>2.0</v>
      </c>
      <c r="L634" s="263">
        <v>-1.0</v>
      </c>
      <c r="M634" s="263">
        <v>7.0</v>
      </c>
      <c r="N634" s="263">
        <v>7.0</v>
      </c>
      <c r="O634" s="265" t="s">
        <v>1590</v>
      </c>
    </row>
    <row r="635">
      <c r="A635" s="262" t="str">
        <f t="shared" si="1"/>
        <v>Palma</v>
      </c>
      <c r="B635" s="263">
        <v>6925.0</v>
      </c>
      <c r="C635" s="264" t="s">
        <v>480</v>
      </c>
      <c r="D635" s="264" t="s">
        <v>481</v>
      </c>
      <c r="E635" s="264" t="s">
        <v>451</v>
      </c>
      <c r="F635" s="264" t="s">
        <v>993</v>
      </c>
      <c r="G635" s="263">
        <v>2.0</v>
      </c>
      <c r="H635" s="263">
        <v>1.0</v>
      </c>
      <c r="I635" s="263">
        <v>1.0</v>
      </c>
      <c r="J635" s="263">
        <v>2.0</v>
      </c>
      <c r="K635" s="263">
        <v>1.0</v>
      </c>
      <c r="L635" s="263">
        <v>1.0</v>
      </c>
      <c r="M635" s="263">
        <v>4.0</v>
      </c>
      <c r="N635" s="263">
        <v>4.0</v>
      </c>
      <c r="O635" s="265" t="s">
        <v>1590</v>
      </c>
    </row>
    <row r="636">
      <c r="A636" s="262" t="str">
        <f t="shared" si="1"/>
        <v>Jack</v>
      </c>
      <c r="B636" s="263">
        <v>6944.0</v>
      </c>
      <c r="C636" s="264" t="s">
        <v>480</v>
      </c>
      <c r="D636" s="264" t="s">
        <v>1022</v>
      </c>
      <c r="E636" s="264" t="s">
        <v>1541</v>
      </c>
      <c r="F636" s="264" t="s">
        <v>974</v>
      </c>
      <c r="G636" s="263">
        <v>2.0</v>
      </c>
      <c r="H636" s="263">
        <v>2.0</v>
      </c>
      <c r="I636" s="263">
        <v>0.0</v>
      </c>
      <c r="J636" s="263">
        <v>2.0</v>
      </c>
      <c r="K636" s="263">
        <v>2.0</v>
      </c>
      <c r="L636" s="263">
        <v>0.0</v>
      </c>
      <c r="M636" s="263">
        <v>4.0</v>
      </c>
      <c r="N636" s="263">
        <v>5.0</v>
      </c>
      <c r="O636" s="265" t="s">
        <v>1590</v>
      </c>
    </row>
    <row r="637">
      <c r="A637" s="262" t="str">
        <f t="shared" si="1"/>
        <v>Lovik</v>
      </c>
      <c r="B637" s="263">
        <v>6965.0</v>
      </c>
      <c r="C637" s="264" t="s">
        <v>480</v>
      </c>
      <c r="D637" s="264" t="s">
        <v>931</v>
      </c>
      <c r="E637" s="264" t="s">
        <v>1099</v>
      </c>
      <c r="F637" s="264" t="s">
        <v>985</v>
      </c>
      <c r="G637" s="263">
        <v>2.0</v>
      </c>
      <c r="H637" s="263">
        <v>2.0</v>
      </c>
      <c r="I637" s="263">
        <v>0.0</v>
      </c>
      <c r="J637" s="263">
        <v>2.0</v>
      </c>
      <c r="K637" s="263">
        <v>2.0</v>
      </c>
      <c r="L637" s="263">
        <v>0.0</v>
      </c>
      <c r="M637" s="263">
        <v>7.0</v>
      </c>
      <c r="N637" s="263">
        <v>7.0</v>
      </c>
      <c r="O637" s="265" t="s">
        <v>1590</v>
      </c>
    </row>
    <row r="638">
      <c r="A638" s="262" t="str">
        <f t="shared" si="1"/>
        <v>Salah-Eddine</v>
      </c>
      <c r="B638" s="263">
        <v>7020.0</v>
      </c>
      <c r="C638" s="264" t="s">
        <v>480</v>
      </c>
      <c r="D638" s="264" t="s">
        <v>521</v>
      </c>
      <c r="E638" s="264" t="s">
        <v>1604</v>
      </c>
      <c r="F638" s="264" t="s">
        <v>988</v>
      </c>
      <c r="G638" s="263">
        <v>4.0</v>
      </c>
      <c r="H638" s="263">
        <v>4.0</v>
      </c>
      <c r="I638" s="263">
        <v>0.0</v>
      </c>
      <c r="J638" s="263">
        <v>3.0</v>
      </c>
      <c r="K638" s="263">
        <v>3.0</v>
      </c>
      <c r="L638" s="263">
        <v>0.0</v>
      </c>
      <c r="M638" s="263">
        <v>7.0</v>
      </c>
      <c r="N638" s="263">
        <v>7.0</v>
      </c>
      <c r="O638" s="265" t="s">
        <v>1590</v>
      </c>
    </row>
    <row r="639">
      <c r="A639" s="262" t="str">
        <f t="shared" si="1"/>
        <v>Cuenca H.</v>
      </c>
      <c r="B639" s="263">
        <v>7025.0</v>
      </c>
      <c r="C639" s="264" t="s">
        <v>492</v>
      </c>
      <c r="D639" s="264" t="s">
        <v>1057</v>
      </c>
      <c r="E639" s="264" t="s">
        <v>1605</v>
      </c>
      <c r="F639" s="264" t="s">
        <v>1026</v>
      </c>
      <c r="G639" s="263">
        <v>1.0</v>
      </c>
      <c r="H639" s="263">
        <v>1.0</v>
      </c>
      <c r="I639" s="263">
        <v>0.0</v>
      </c>
      <c r="J639" s="263">
        <v>1.0</v>
      </c>
      <c r="K639" s="263">
        <v>1.0</v>
      </c>
      <c r="L639" s="263">
        <v>0.0</v>
      </c>
      <c r="M639" s="263">
        <v>1.0</v>
      </c>
      <c r="N639" s="263">
        <v>1.0</v>
      </c>
      <c r="O639" s="265" t="s">
        <v>1590</v>
      </c>
    </row>
    <row r="640">
      <c r="A640" s="262" t="str">
        <f t="shared" si="1"/>
        <v>Azon</v>
      </c>
      <c r="B640" s="263">
        <v>7027.0</v>
      </c>
      <c r="C640" s="264" t="s">
        <v>507</v>
      </c>
      <c r="D640" s="264" t="s">
        <v>512</v>
      </c>
      <c r="E640" s="264" t="s">
        <v>1606</v>
      </c>
      <c r="F640" s="264" t="s">
        <v>974</v>
      </c>
      <c r="G640" s="263">
        <v>1.0</v>
      </c>
      <c r="H640" s="263">
        <v>1.0</v>
      </c>
      <c r="I640" s="263">
        <v>0.0</v>
      </c>
      <c r="J640" s="263">
        <v>1.0</v>
      </c>
      <c r="K640" s="263">
        <v>1.0</v>
      </c>
      <c r="L640" s="263">
        <v>0.0</v>
      </c>
      <c r="M640" s="263">
        <v>5.0</v>
      </c>
      <c r="N640" s="263">
        <v>3.0</v>
      </c>
      <c r="O640" s="265" t="s">
        <v>1590</v>
      </c>
    </row>
    <row r="641">
      <c r="A641" s="262" t="str">
        <f t="shared" si="1"/>
        <v>Lang</v>
      </c>
      <c r="B641" s="263">
        <v>7120.0</v>
      </c>
      <c r="C641" s="264" t="s">
        <v>507</v>
      </c>
      <c r="D641" s="264" t="s">
        <v>507</v>
      </c>
      <c r="E641" s="264" t="s">
        <v>1095</v>
      </c>
      <c r="F641" s="264" t="s">
        <v>987</v>
      </c>
      <c r="G641" s="263">
        <v>13.0</v>
      </c>
      <c r="H641" s="263">
        <v>19.0</v>
      </c>
      <c r="I641" s="263">
        <v>-6.0</v>
      </c>
      <c r="J641" s="263">
        <v>13.0</v>
      </c>
      <c r="K641" s="263">
        <v>20.0</v>
      </c>
      <c r="L641" s="263">
        <v>-7.0</v>
      </c>
      <c r="M641" s="263">
        <v>20.0</v>
      </c>
      <c r="N641" s="263">
        <v>20.0</v>
      </c>
      <c r="O641" s="265" t="s">
        <v>1590</v>
      </c>
    </row>
    <row r="642">
      <c r="A642" s="262" t="str">
        <f t="shared" si="1"/>
        <v>Nasti</v>
      </c>
      <c r="B642" s="263">
        <v>7134.0</v>
      </c>
      <c r="C642" s="264" t="s">
        <v>507</v>
      </c>
      <c r="D642" s="264" t="s">
        <v>512</v>
      </c>
      <c r="E642" s="264" t="s">
        <v>1607</v>
      </c>
      <c r="F642" s="264" t="s">
        <v>995</v>
      </c>
      <c r="G642" s="263">
        <v>1.0</v>
      </c>
      <c r="H642" s="263">
        <v>1.0</v>
      </c>
      <c r="I642" s="263">
        <v>0.0</v>
      </c>
      <c r="J642" s="263">
        <v>1.0</v>
      </c>
      <c r="K642" s="263">
        <v>1.0</v>
      </c>
      <c r="L642" s="263">
        <v>0.0</v>
      </c>
      <c r="M642" s="263">
        <v>3.0</v>
      </c>
      <c r="N642" s="263">
        <v>2.0</v>
      </c>
      <c r="O642" s="265" t="s">
        <v>1590</v>
      </c>
    </row>
    <row r="643">
      <c r="A643" s="262" t="str">
        <f t="shared" si="1"/>
        <v>Stanciu</v>
      </c>
      <c r="B643" s="263">
        <v>7135.0</v>
      </c>
      <c r="C643" s="264" t="s">
        <v>492</v>
      </c>
      <c r="D643" s="264" t="s">
        <v>934</v>
      </c>
      <c r="E643" s="264" t="s">
        <v>1187</v>
      </c>
      <c r="F643" s="264" t="s">
        <v>1026</v>
      </c>
      <c r="G643" s="263">
        <v>1.0</v>
      </c>
      <c r="H643" s="263">
        <v>8.0</v>
      </c>
      <c r="I643" s="263">
        <v>-7.0</v>
      </c>
      <c r="J643" s="263">
        <v>1.0</v>
      </c>
      <c r="K643" s="263">
        <v>8.0</v>
      </c>
      <c r="L643" s="263">
        <v>-7.0</v>
      </c>
      <c r="M643" s="263">
        <v>5.0</v>
      </c>
      <c r="N643" s="263">
        <v>5.0</v>
      </c>
      <c r="O643" s="265" t="s">
        <v>1590</v>
      </c>
    </row>
    <row r="644">
      <c r="A644" s="262" t="str">
        <f t="shared" si="1"/>
        <v>Kouassi</v>
      </c>
      <c r="B644" s="263">
        <v>7136.0</v>
      </c>
      <c r="C644" s="264" t="s">
        <v>480</v>
      </c>
      <c r="D644" s="264" t="s">
        <v>937</v>
      </c>
      <c r="E644" s="264" t="s">
        <v>1091</v>
      </c>
      <c r="F644" s="264" t="s">
        <v>998</v>
      </c>
      <c r="G644" s="263">
        <v>1.0</v>
      </c>
      <c r="H644" s="263">
        <v>4.0</v>
      </c>
      <c r="I644" s="263">
        <v>-3.0</v>
      </c>
      <c r="J644" s="263">
        <v>1.0</v>
      </c>
      <c r="K644" s="263">
        <v>5.0</v>
      </c>
      <c r="L644" s="263">
        <v>-4.0</v>
      </c>
      <c r="M644" s="263">
        <v>4.0</v>
      </c>
      <c r="N644" s="263">
        <v>4.0</v>
      </c>
      <c r="O644" s="265" t="s">
        <v>1590</v>
      </c>
    </row>
    <row r="645">
      <c r="A645" s="262" t="str">
        <f t="shared" si="1"/>
        <v>Rus</v>
      </c>
      <c r="B645" s="263">
        <v>7141.0</v>
      </c>
      <c r="C645" s="264" t="s">
        <v>480</v>
      </c>
      <c r="D645" s="264" t="s">
        <v>937</v>
      </c>
      <c r="E645" s="264" t="s">
        <v>1608</v>
      </c>
      <c r="F645" s="264" t="s">
        <v>977</v>
      </c>
      <c r="G645" s="263">
        <v>2.0</v>
      </c>
      <c r="H645" s="263">
        <v>2.0</v>
      </c>
      <c r="I645" s="263">
        <v>0.0</v>
      </c>
      <c r="J645" s="263">
        <v>2.0</v>
      </c>
      <c r="K645" s="263">
        <v>2.0</v>
      </c>
      <c r="L645" s="263">
        <v>0.0</v>
      </c>
      <c r="M645" s="263">
        <v>3.0</v>
      </c>
      <c r="N645" s="263">
        <v>4.0</v>
      </c>
      <c r="O645" s="265" t="s">
        <v>1590</v>
      </c>
    </row>
    <row r="646">
      <c r="A646" s="262" t="str">
        <f t="shared" si="1"/>
        <v>Esteves T.</v>
      </c>
      <c r="B646" s="263">
        <v>7142.0</v>
      </c>
      <c r="C646" s="264" t="s">
        <v>480</v>
      </c>
      <c r="D646" s="264" t="s">
        <v>938</v>
      </c>
      <c r="E646" s="264" t="s">
        <v>1059</v>
      </c>
      <c r="F646" s="264" t="s">
        <v>977</v>
      </c>
      <c r="G646" s="263">
        <v>1.0</v>
      </c>
      <c r="H646" s="263">
        <v>1.0</v>
      </c>
      <c r="I646" s="263">
        <v>0.0</v>
      </c>
      <c r="J646" s="263">
        <v>1.0</v>
      </c>
      <c r="K646" s="263">
        <v>1.0</v>
      </c>
      <c r="L646" s="263">
        <v>0.0</v>
      </c>
      <c r="M646" s="263">
        <v>2.0</v>
      </c>
      <c r="N646" s="263">
        <v>2.0</v>
      </c>
      <c r="O646" s="265" t="s">
        <v>1590</v>
      </c>
    </row>
    <row r="647">
      <c r="A647" s="262" t="str">
        <f t="shared" si="1"/>
        <v>Arena</v>
      </c>
      <c r="B647" s="263">
        <v>7151.0</v>
      </c>
      <c r="C647" s="264" t="s">
        <v>492</v>
      </c>
      <c r="D647" s="264" t="s">
        <v>1057</v>
      </c>
      <c r="E647" s="264" t="s">
        <v>1609</v>
      </c>
      <c r="F647" s="264" t="s">
        <v>977</v>
      </c>
      <c r="G647" s="263">
        <v>1.0</v>
      </c>
      <c r="H647" s="263">
        <v>1.0</v>
      </c>
      <c r="I647" s="263">
        <v>0.0</v>
      </c>
      <c r="J647" s="263">
        <v>1.0</v>
      </c>
      <c r="K647" s="263">
        <v>1.0</v>
      </c>
      <c r="L647" s="263">
        <v>0.0</v>
      </c>
      <c r="M647" s="263">
        <v>1.0</v>
      </c>
      <c r="N647" s="263">
        <v>1.0</v>
      </c>
      <c r="O647" s="265" t="s">
        <v>1590</v>
      </c>
    </row>
    <row r="648">
      <c r="A648" s="262" t="str">
        <f t="shared" si="1"/>
        <v>Bonfanti N.</v>
      </c>
      <c r="B648" s="263">
        <v>7152.0</v>
      </c>
      <c r="C648" s="264" t="s">
        <v>507</v>
      </c>
      <c r="D648" s="264" t="s">
        <v>512</v>
      </c>
      <c r="E648" s="264" t="s">
        <v>1610</v>
      </c>
      <c r="F648" s="264" t="s">
        <v>977</v>
      </c>
      <c r="G648" s="263">
        <v>1.0</v>
      </c>
      <c r="H648" s="263">
        <v>1.0</v>
      </c>
      <c r="I648" s="263">
        <v>0.0</v>
      </c>
      <c r="J648" s="263">
        <v>1.0</v>
      </c>
      <c r="K648" s="263">
        <v>1.0</v>
      </c>
      <c r="L648" s="263">
        <v>0.0</v>
      </c>
      <c r="M648" s="263">
        <v>2.0</v>
      </c>
      <c r="N648" s="263">
        <v>2.0</v>
      </c>
      <c r="O648" s="265" t="s">
        <v>1590</v>
      </c>
    </row>
    <row r="649">
      <c r="A649" s="262" t="str">
        <f t="shared" si="1"/>
        <v>Lind</v>
      </c>
      <c r="B649" s="263">
        <v>7153.0</v>
      </c>
      <c r="C649" s="264" t="s">
        <v>507</v>
      </c>
      <c r="D649" s="264" t="s">
        <v>512</v>
      </c>
      <c r="E649" s="264" t="s">
        <v>1611</v>
      </c>
      <c r="F649" s="264" t="s">
        <v>977</v>
      </c>
      <c r="G649" s="263">
        <v>4.0</v>
      </c>
      <c r="H649" s="263">
        <v>4.0</v>
      </c>
      <c r="I649" s="263">
        <v>0.0</v>
      </c>
      <c r="J649" s="263">
        <v>4.0</v>
      </c>
      <c r="K649" s="263">
        <v>4.0</v>
      </c>
      <c r="L649" s="263">
        <v>0.0</v>
      </c>
      <c r="M649" s="263">
        <v>7.0</v>
      </c>
      <c r="N649" s="263">
        <v>7.0</v>
      </c>
      <c r="O649" s="265" t="s">
        <v>1590</v>
      </c>
    </row>
    <row r="650">
      <c r="A650" s="262" t="str">
        <f t="shared" si="1"/>
        <v>Odenthal</v>
      </c>
      <c r="B650" s="263">
        <v>7154.0</v>
      </c>
      <c r="C650" s="264" t="s">
        <v>480</v>
      </c>
      <c r="D650" s="264" t="s">
        <v>481</v>
      </c>
      <c r="E650" s="264" t="s">
        <v>1130</v>
      </c>
      <c r="F650" s="264" t="s">
        <v>1005</v>
      </c>
      <c r="G650" s="263">
        <v>1.0</v>
      </c>
      <c r="H650" s="263">
        <v>3.0</v>
      </c>
      <c r="I650" s="263">
        <v>-2.0</v>
      </c>
      <c r="J650" s="263">
        <v>1.0</v>
      </c>
      <c r="K650" s="263">
        <v>3.0</v>
      </c>
      <c r="L650" s="263">
        <v>-2.0</v>
      </c>
      <c r="M650" s="263">
        <v>7.0</v>
      </c>
      <c r="N650" s="263">
        <v>7.0</v>
      </c>
      <c r="O650" s="265" t="s">
        <v>1590</v>
      </c>
    </row>
    <row r="651">
      <c r="A651" s="262" t="str">
        <f t="shared" si="1"/>
        <v>Skjellerup</v>
      </c>
      <c r="B651" s="263">
        <v>7159.0</v>
      </c>
      <c r="C651" s="264" t="s">
        <v>507</v>
      </c>
      <c r="D651" s="264" t="s">
        <v>512</v>
      </c>
      <c r="E651" s="264" t="s">
        <v>1181</v>
      </c>
      <c r="F651" s="264" t="s">
        <v>1005</v>
      </c>
      <c r="G651" s="263">
        <v>1.0</v>
      </c>
      <c r="H651" s="263">
        <v>1.0</v>
      </c>
      <c r="I651" s="263">
        <v>0.0</v>
      </c>
      <c r="J651" s="263">
        <v>1.0</v>
      </c>
      <c r="K651" s="263">
        <v>1.0</v>
      </c>
      <c r="L651" s="263">
        <v>0.0</v>
      </c>
      <c r="M651" s="263">
        <v>1.0</v>
      </c>
      <c r="N651" s="263">
        <v>1.0</v>
      </c>
      <c r="O651" s="265" t="s">
        <v>1590</v>
      </c>
    </row>
    <row r="652">
      <c r="A652" s="262" t="str">
        <f t="shared" si="1"/>
        <v>Mbambi</v>
      </c>
      <c r="B652" s="263">
        <v>7170.0</v>
      </c>
      <c r="C652" s="264" t="s">
        <v>480</v>
      </c>
      <c r="D652" s="264" t="s">
        <v>481</v>
      </c>
      <c r="E652" s="264" t="s">
        <v>1106</v>
      </c>
      <c r="F652" s="264" t="s">
        <v>977</v>
      </c>
      <c r="G652" s="263">
        <v>1.0</v>
      </c>
      <c r="H652" s="263">
        <v>1.0</v>
      </c>
      <c r="I652" s="263">
        <v>0.0</v>
      </c>
      <c r="J652" s="263">
        <v>1.0</v>
      </c>
      <c r="K652" s="263">
        <v>1.0</v>
      </c>
      <c r="L652" s="263">
        <v>0.0</v>
      </c>
      <c r="M652" s="263">
        <v>2.0</v>
      </c>
      <c r="N652" s="263">
        <v>2.0</v>
      </c>
      <c r="O652" s="265" t="s">
        <v>1590</v>
      </c>
    </row>
    <row r="653">
      <c r="A653" s="262" t="str">
        <f t="shared" si="1"/>
        <v>Buffon L.</v>
      </c>
      <c r="B653" s="263">
        <v>7171.0</v>
      </c>
      <c r="C653" s="264" t="s">
        <v>507</v>
      </c>
      <c r="D653" s="264" t="s">
        <v>507</v>
      </c>
      <c r="E653" s="264" t="s">
        <v>360</v>
      </c>
      <c r="F653" s="264" t="s">
        <v>977</v>
      </c>
      <c r="G653" s="263">
        <v>1.0</v>
      </c>
      <c r="H653" s="263">
        <v>1.0</v>
      </c>
      <c r="I653" s="263">
        <v>0.0</v>
      </c>
      <c r="J653" s="263">
        <v>1.0</v>
      </c>
      <c r="K653" s="263">
        <v>1.0</v>
      </c>
      <c r="L653" s="263">
        <v>0.0</v>
      </c>
      <c r="M653" s="263">
        <v>1.0</v>
      </c>
      <c r="N653" s="263">
        <v>1.0</v>
      </c>
      <c r="O653" s="265" t="s">
        <v>1590</v>
      </c>
    </row>
    <row r="654">
      <c r="A654" s="262" t="str">
        <f t="shared" si="1"/>
        <v>Santiago</v>
      </c>
      <c r="B654" s="263">
        <v>7177.0</v>
      </c>
      <c r="C654" s="264" t="s">
        <v>492</v>
      </c>
      <c r="D654" s="264" t="s">
        <v>492</v>
      </c>
      <c r="E654" s="264" t="s">
        <v>1170</v>
      </c>
      <c r="F654" s="264" t="s">
        <v>983</v>
      </c>
      <c r="G654" s="263">
        <v>1.0</v>
      </c>
      <c r="H654" s="263">
        <v>2.0</v>
      </c>
      <c r="I654" s="263">
        <v>-1.0</v>
      </c>
      <c r="J654" s="263">
        <v>1.0</v>
      </c>
      <c r="K654" s="263">
        <v>2.0</v>
      </c>
      <c r="L654" s="263">
        <v>-1.0</v>
      </c>
      <c r="M654" s="263">
        <v>2.0</v>
      </c>
      <c r="N654" s="263">
        <v>2.0</v>
      </c>
      <c r="O654" s="265" t="s">
        <v>1590</v>
      </c>
    </row>
    <row r="655">
      <c r="A655" s="262" t="str">
        <f t="shared" si="1"/>
        <v>Ambrosino</v>
      </c>
      <c r="B655" s="263">
        <v>7264.0</v>
      </c>
      <c r="C655" s="264" t="s">
        <v>507</v>
      </c>
      <c r="D655" s="264" t="s">
        <v>512</v>
      </c>
      <c r="E655" s="264" t="s">
        <v>986</v>
      </c>
      <c r="F655" s="264" t="s">
        <v>987</v>
      </c>
      <c r="G655" s="263">
        <v>2.0</v>
      </c>
      <c r="H655" s="263">
        <v>1.0</v>
      </c>
      <c r="I655" s="263">
        <v>1.0</v>
      </c>
      <c r="J655" s="263">
        <v>2.0</v>
      </c>
      <c r="K655" s="263">
        <v>1.0</v>
      </c>
      <c r="L655" s="263">
        <v>1.0</v>
      </c>
      <c r="M655" s="263">
        <v>1.0</v>
      </c>
      <c r="N655" s="263">
        <v>1.0</v>
      </c>
      <c r="O655" s="265" t="s">
        <v>1590</v>
      </c>
    </row>
    <row r="656">
      <c r="A656" s="262" t="str">
        <f t="shared" si="1"/>
        <v>Tchoca</v>
      </c>
      <c r="B656" s="263">
        <v>7336.0</v>
      </c>
      <c r="C656" s="264" t="s">
        <v>480</v>
      </c>
      <c r="D656" s="264" t="s">
        <v>481</v>
      </c>
      <c r="E656" s="264" t="s">
        <v>1612</v>
      </c>
      <c r="F656" s="264" t="s">
        <v>972</v>
      </c>
      <c r="G656" s="263">
        <v>2.0</v>
      </c>
      <c r="H656" s="263">
        <v>2.0</v>
      </c>
      <c r="I656" s="263">
        <v>0.0</v>
      </c>
      <c r="J656" s="263">
        <v>2.0</v>
      </c>
      <c r="K656" s="263">
        <v>2.0</v>
      </c>
      <c r="L656" s="263">
        <v>0.0</v>
      </c>
      <c r="M656" s="263">
        <v>5.0</v>
      </c>
      <c r="N656" s="263">
        <v>5.0</v>
      </c>
      <c r="O656" s="265" t="s">
        <v>1590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6" t="s">
        <v>960</v>
      </c>
      <c r="B1" s="236" t="s">
        <v>961</v>
      </c>
      <c r="C1" s="236" t="s">
        <v>962</v>
      </c>
      <c r="D1" s="236" t="s">
        <v>466</v>
      </c>
      <c r="E1" s="236" t="s">
        <v>467</v>
      </c>
      <c r="F1" s="236" t="s">
        <v>963</v>
      </c>
      <c r="G1" s="236" t="s">
        <v>964</v>
      </c>
      <c r="H1" s="236" t="s">
        <v>965</v>
      </c>
      <c r="I1" s="236" t="s">
        <v>966</v>
      </c>
      <c r="J1" s="236" t="s">
        <v>967</v>
      </c>
      <c r="K1" s="236" t="s">
        <v>968</v>
      </c>
      <c r="L1" s="236" t="s">
        <v>969</v>
      </c>
      <c r="M1" s="236" t="s">
        <v>970</v>
      </c>
      <c r="N1" s="1" t="s">
        <v>467</v>
      </c>
      <c r="O1" s="1" t="s">
        <v>1613</v>
      </c>
    </row>
    <row r="2">
      <c r="A2" s="237">
        <v>216.0</v>
      </c>
      <c r="B2" s="236" t="s">
        <v>477</v>
      </c>
      <c r="C2" s="236" t="s">
        <v>478</v>
      </c>
      <c r="D2" s="236" t="s">
        <v>1224</v>
      </c>
      <c r="E2" s="236" t="s">
        <v>972</v>
      </c>
      <c r="F2" s="237">
        <v>1.0</v>
      </c>
      <c r="G2" s="237">
        <v>1.0</v>
      </c>
      <c r="H2" s="237">
        <v>0.0</v>
      </c>
      <c r="I2" s="237">
        <v>1.0</v>
      </c>
      <c r="J2" s="237">
        <v>1.0</v>
      </c>
      <c r="K2" s="237">
        <v>0.0</v>
      </c>
      <c r="L2" s="237">
        <v>1.0</v>
      </c>
      <c r="M2" s="237">
        <v>1.0</v>
      </c>
      <c r="N2" s="141" t="str">
        <f>VLOOKUP(A2,BCK_Gestionale!A:C,3,0)</f>
        <v>#N/A</v>
      </c>
      <c r="O2" s="141">
        <f>COUNTIF(BCK_Gestionale!A:A, A2)</f>
        <v>0</v>
      </c>
    </row>
    <row r="3">
      <c r="A3" s="237">
        <v>2369.0</v>
      </c>
      <c r="B3" s="236" t="s">
        <v>507</v>
      </c>
      <c r="C3" s="236" t="s">
        <v>507</v>
      </c>
      <c r="D3" s="236" t="s">
        <v>857</v>
      </c>
      <c r="E3" s="236" t="s">
        <v>993</v>
      </c>
      <c r="F3" s="237">
        <v>16.0</v>
      </c>
      <c r="G3" s="237">
        <v>16.0</v>
      </c>
      <c r="H3" s="237">
        <v>0.0</v>
      </c>
      <c r="I3" s="237">
        <v>16.0</v>
      </c>
      <c r="J3" s="237">
        <v>16.0</v>
      </c>
      <c r="K3" s="237">
        <v>0.0</v>
      </c>
      <c r="L3" s="237">
        <v>64.0</v>
      </c>
      <c r="M3" s="237">
        <v>64.0</v>
      </c>
      <c r="N3" s="141" t="str">
        <f>VLOOKUP(A3,BCK_Gestionale!A:C,3,0)</f>
        <v>Seven</v>
      </c>
      <c r="O3" s="141">
        <f>COUNTIF(BCK_Gestionale!A:A, A3)</f>
        <v>1</v>
      </c>
    </row>
    <row r="4">
      <c r="A4" s="237">
        <v>2475.0</v>
      </c>
      <c r="B4" s="236" t="s">
        <v>507</v>
      </c>
      <c r="C4" s="236" t="s">
        <v>507</v>
      </c>
      <c r="D4" s="236" t="s">
        <v>1252</v>
      </c>
      <c r="E4" s="236" t="s">
        <v>993</v>
      </c>
      <c r="F4" s="237">
        <v>6.0</v>
      </c>
      <c r="G4" s="237">
        <v>7.0</v>
      </c>
      <c r="H4" s="237">
        <v>-1.0</v>
      </c>
      <c r="I4" s="237">
        <v>6.0</v>
      </c>
      <c r="J4" s="237">
        <v>7.0</v>
      </c>
      <c r="K4" s="237">
        <v>-1.0</v>
      </c>
      <c r="L4" s="237">
        <v>10.0</v>
      </c>
      <c r="M4" s="237">
        <v>10.0</v>
      </c>
      <c r="N4" s="141" t="str">
        <f>VLOOKUP(A4,BCK_Gestionale!A:C,3,0)</f>
        <v>#N/A</v>
      </c>
      <c r="O4" s="141">
        <f>COUNTIF(BCK_Gestionale!A:A, A4)</f>
        <v>0</v>
      </c>
    </row>
    <row r="5">
      <c r="A5" s="237">
        <v>2842.0</v>
      </c>
      <c r="B5" s="236" t="s">
        <v>492</v>
      </c>
      <c r="C5" s="236" t="s">
        <v>563</v>
      </c>
      <c r="D5" s="236" t="s">
        <v>1592</v>
      </c>
      <c r="E5" s="236" t="s">
        <v>995</v>
      </c>
      <c r="F5" s="237">
        <v>5.0</v>
      </c>
      <c r="G5" s="237">
        <v>5.0</v>
      </c>
      <c r="H5" s="237">
        <v>0.0</v>
      </c>
      <c r="I5" s="237">
        <v>4.0</v>
      </c>
      <c r="J5" s="237">
        <v>4.0</v>
      </c>
      <c r="K5" s="237">
        <v>0.0</v>
      </c>
      <c r="L5" s="237">
        <v>5.0</v>
      </c>
      <c r="M5" s="237">
        <v>5.0</v>
      </c>
      <c r="N5" s="141" t="str">
        <f>VLOOKUP(A5,BCK_Gestionale!A:C,3,0)</f>
        <v>#N/A</v>
      </c>
      <c r="O5" s="141">
        <f>COUNTIF(BCK_Gestionale!A:A, A5)</f>
        <v>0</v>
      </c>
    </row>
    <row r="6">
      <c r="A6" s="237">
        <v>4177.0</v>
      </c>
      <c r="B6" s="236" t="s">
        <v>480</v>
      </c>
      <c r="C6" s="236" t="s">
        <v>937</v>
      </c>
      <c r="D6" s="236" t="s">
        <v>718</v>
      </c>
      <c r="E6" s="236" t="s">
        <v>973</v>
      </c>
      <c r="F6" s="237">
        <v>8.0</v>
      </c>
      <c r="G6" s="237">
        <v>8.0</v>
      </c>
      <c r="H6" s="237">
        <v>0.0</v>
      </c>
      <c r="I6" s="237">
        <v>9.0</v>
      </c>
      <c r="J6" s="237">
        <v>9.0</v>
      </c>
      <c r="K6" s="237">
        <v>0.0</v>
      </c>
      <c r="L6" s="237">
        <v>22.0</v>
      </c>
      <c r="M6" s="237">
        <v>25.0</v>
      </c>
      <c r="N6" s="141" t="str">
        <f>VLOOKUP(A6,BCK_Gestionale!A:C,3,0)</f>
        <v>Darmian</v>
      </c>
      <c r="O6" s="141">
        <f>COUNTIF(BCK_Gestionale!A:A, A6)</f>
        <v>1</v>
      </c>
    </row>
    <row r="7">
      <c r="A7" s="237">
        <v>4179.0</v>
      </c>
      <c r="B7" s="236" t="s">
        <v>507</v>
      </c>
      <c r="C7" s="236" t="s">
        <v>935</v>
      </c>
      <c r="D7" s="236" t="s">
        <v>720</v>
      </c>
      <c r="E7" s="236" t="s">
        <v>976</v>
      </c>
      <c r="F7" s="237">
        <v>11.0</v>
      </c>
      <c r="G7" s="237">
        <v>12.0</v>
      </c>
      <c r="H7" s="237">
        <v>-1.0</v>
      </c>
      <c r="I7" s="237">
        <v>11.0</v>
      </c>
      <c r="J7" s="237">
        <v>12.0</v>
      </c>
      <c r="K7" s="237">
        <v>-1.0</v>
      </c>
      <c r="L7" s="237">
        <v>15.0</v>
      </c>
      <c r="M7" s="237">
        <v>15.0</v>
      </c>
      <c r="N7" s="141" t="str">
        <f>VLOOKUP(A7,BCK_Gestionale!A:C,3,0)</f>
        <v>Darmian</v>
      </c>
      <c r="O7" s="141">
        <f>COUNTIF(BCK_Gestionale!A:A, A7)</f>
        <v>1</v>
      </c>
    </row>
    <row r="8">
      <c r="A8" s="237">
        <v>4371.0</v>
      </c>
      <c r="B8" s="236" t="s">
        <v>507</v>
      </c>
      <c r="C8" s="236" t="s">
        <v>507</v>
      </c>
      <c r="D8" s="236" t="s">
        <v>423</v>
      </c>
      <c r="E8" s="236" t="s">
        <v>987</v>
      </c>
      <c r="F8" s="237">
        <v>13.0</v>
      </c>
      <c r="G8" s="237">
        <v>13.0</v>
      </c>
      <c r="H8" s="237">
        <v>0.0</v>
      </c>
      <c r="I8" s="237">
        <v>13.0</v>
      </c>
      <c r="J8" s="237">
        <v>13.0</v>
      </c>
      <c r="K8" s="237">
        <v>0.0</v>
      </c>
      <c r="L8" s="237">
        <v>14.0</v>
      </c>
      <c r="M8" s="237">
        <v>14.0</v>
      </c>
      <c r="N8" s="141" t="str">
        <f>VLOOKUP(A8,BCK_Gestionale!A:C,3,0)</f>
        <v>Werder</v>
      </c>
      <c r="O8" s="141">
        <f>COUNTIF(BCK_Gestionale!A:A, A8)</f>
        <v>1</v>
      </c>
    </row>
    <row r="9">
      <c r="A9" s="237">
        <v>4486.0</v>
      </c>
      <c r="B9" s="236" t="s">
        <v>492</v>
      </c>
      <c r="C9" s="236" t="s">
        <v>563</v>
      </c>
      <c r="D9" s="236" t="s">
        <v>629</v>
      </c>
      <c r="E9" s="236" t="s">
        <v>974</v>
      </c>
      <c r="F9" s="237">
        <v>14.0</v>
      </c>
      <c r="G9" s="237">
        <v>14.0</v>
      </c>
      <c r="H9" s="237">
        <v>0.0</v>
      </c>
      <c r="I9" s="237">
        <v>13.0</v>
      </c>
      <c r="J9" s="237">
        <v>13.0</v>
      </c>
      <c r="K9" s="237">
        <v>0.0</v>
      </c>
      <c r="L9" s="237">
        <v>22.0</v>
      </c>
      <c r="M9" s="237">
        <v>22.0</v>
      </c>
      <c r="N9" s="141" t="str">
        <f>VLOOKUP(A9,BCK_Gestionale!A:C,3,0)</f>
        <v>AS Intomatici</v>
      </c>
      <c r="O9" s="141">
        <f>COUNTIF(BCK_Gestionale!A:A, A9)</f>
        <v>1</v>
      </c>
    </row>
    <row r="10">
      <c r="A10" s="237">
        <v>4495.0</v>
      </c>
      <c r="B10" s="236" t="s">
        <v>480</v>
      </c>
      <c r="C10" s="236" t="s">
        <v>481</v>
      </c>
      <c r="D10" s="236" t="s">
        <v>1438</v>
      </c>
      <c r="E10" s="236" t="s">
        <v>988</v>
      </c>
      <c r="F10" s="237">
        <v>2.0</v>
      </c>
      <c r="G10" s="237">
        <v>2.0</v>
      </c>
      <c r="H10" s="237">
        <v>0.0</v>
      </c>
      <c r="I10" s="237">
        <v>2.0</v>
      </c>
      <c r="J10" s="237">
        <v>2.0</v>
      </c>
      <c r="K10" s="237">
        <v>0.0</v>
      </c>
      <c r="L10" s="237">
        <v>5.0</v>
      </c>
      <c r="M10" s="237">
        <v>5.0</v>
      </c>
      <c r="N10" s="141" t="str">
        <f>VLOOKUP(A10,BCK_Gestionale!A:C,3,0)</f>
        <v>#N/A</v>
      </c>
      <c r="O10" s="141">
        <f>COUNTIF(BCK_Gestionale!A:A, A10)</f>
        <v>0</v>
      </c>
    </row>
    <row r="11">
      <c r="A11" s="237">
        <v>4518.0</v>
      </c>
      <c r="B11" s="236" t="s">
        <v>477</v>
      </c>
      <c r="C11" s="236" t="s">
        <v>478</v>
      </c>
      <c r="D11" s="236" t="s">
        <v>1593</v>
      </c>
      <c r="E11" s="236" t="s">
        <v>1005</v>
      </c>
      <c r="F11" s="237">
        <v>1.0</v>
      </c>
      <c r="G11" s="237">
        <v>1.0</v>
      </c>
      <c r="H11" s="237">
        <v>0.0</v>
      </c>
      <c r="I11" s="237">
        <v>1.0</v>
      </c>
      <c r="J11" s="237">
        <v>1.0</v>
      </c>
      <c r="K11" s="237">
        <v>0.0</v>
      </c>
      <c r="L11" s="237">
        <v>1.0</v>
      </c>
      <c r="M11" s="237">
        <v>1.0</v>
      </c>
      <c r="N11" s="141" t="str">
        <f>VLOOKUP(A11,BCK_Gestionale!A:C,3,0)</f>
        <v>#N/A</v>
      </c>
      <c r="O11" s="141">
        <f>COUNTIF(BCK_Gestionale!A:A, A11)</f>
        <v>0</v>
      </c>
    </row>
    <row r="12">
      <c r="A12" s="237">
        <v>4662.0</v>
      </c>
      <c r="B12" s="236" t="s">
        <v>492</v>
      </c>
      <c r="C12" s="236" t="s">
        <v>1089</v>
      </c>
      <c r="D12" s="236" t="s">
        <v>846</v>
      </c>
      <c r="E12" s="236" t="s">
        <v>976</v>
      </c>
      <c r="F12" s="237">
        <v>7.0</v>
      </c>
      <c r="G12" s="237">
        <v>7.0</v>
      </c>
      <c r="H12" s="237">
        <v>0.0</v>
      </c>
      <c r="I12" s="237">
        <v>7.0</v>
      </c>
      <c r="J12" s="237">
        <v>7.0</v>
      </c>
      <c r="K12" s="237">
        <v>0.0</v>
      </c>
      <c r="L12" s="237">
        <v>5.0</v>
      </c>
      <c r="M12" s="237">
        <v>5.0</v>
      </c>
      <c r="N12" s="141" t="str">
        <f>VLOOKUP(A12,BCK_Gestionale!A:C,3,0)</f>
        <v>Seven</v>
      </c>
      <c r="O12" s="141">
        <f>COUNTIF(BCK_Gestionale!A:A, A12)</f>
        <v>1</v>
      </c>
    </row>
    <row r="13">
      <c r="A13" s="237">
        <v>4856.0</v>
      </c>
      <c r="B13" s="236" t="s">
        <v>492</v>
      </c>
      <c r="C13" s="236" t="s">
        <v>563</v>
      </c>
      <c r="D13" s="236" t="s">
        <v>151</v>
      </c>
      <c r="E13" s="236" t="s">
        <v>991</v>
      </c>
      <c r="F13" s="237">
        <v>4.0</v>
      </c>
      <c r="G13" s="237">
        <v>4.0</v>
      </c>
      <c r="H13" s="237">
        <v>0.0</v>
      </c>
      <c r="I13" s="237">
        <v>3.0</v>
      </c>
      <c r="J13" s="237">
        <v>3.0</v>
      </c>
      <c r="K13" s="237">
        <v>0.0</v>
      </c>
      <c r="L13" s="237">
        <v>11.0</v>
      </c>
      <c r="M13" s="237">
        <v>9.0</v>
      </c>
      <c r="N13" s="141" t="str">
        <f>VLOOKUP(A13,BCK_Gestionale!A:C,3,0)</f>
        <v>Ceretolo</v>
      </c>
      <c r="O13" s="141">
        <f>COUNTIF(BCK_Gestionale!A:A, A13)</f>
        <v>1</v>
      </c>
    </row>
    <row r="14">
      <c r="A14" s="237">
        <v>4911.0</v>
      </c>
      <c r="B14" s="236" t="s">
        <v>492</v>
      </c>
      <c r="C14" s="236" t="s">
        <v>492</v>
      </c>
      <c r="D14" s="236" t="s">
        <v>754</v>
      </c>
      <c r="E14" s="236" t="s">
        <v>976</v>
      </c>
      <c r="F14" s="237">
        <v>3.0</v>
      </c>
      <c r="G14" s="237">
        <v>3.0</v>
      </c>
      <c r="H14" s="237">
        <v>0.0</v>
      </c>
      <c r="I14" s="237">
        <v>3.0</v>
      </c>
      <c r="J14" s="237">
        <v>3.0</v>
      </c>
      <c r="K14" s="237">
        <v>0.0</v>
      </c>
      <c r="L14" s="237">
        <v>6.0</v>
      </c>
      <c r="M14" s="237">
        <v>6.0</v>
      </c>
      <c r="N14" s="141" t="str">
        <f>VLOOKUP(A14,BCK_Gestionale!A:C,3,0)</f>
        <v>Iperzola</v>
      </c>
      <c r="O14" s="141">
        <f>COUNTIF(BCK_Gestionale!A:A, A14)</f>
        <v>1</v>
      </c>
    </row>
    <row r="15">
      <c r="A15" s="237">
        <v>4930.0</v>
      </c>
      <c r="B15" s="236" t="s">
        <v>492</v>
      </c>
      <c r="C15" s="236" t="s">
        <v>930</v>
      </c>
      <c r="D15" s="236" t="s">
        <v>1594</v>
      </c>
      <c r="E15" s="236" t="s">
        <v>1005</v>
      </c>
      <c r="F15" s="237">
        <v>4.0</v>
      </c>
      <c r="G15" s="237">
        <v>4.0</v>
      </c>
      <c r="H15" s="237">
        <v>0.0</v>
      </c>
      <c r="I15" s="237">
        <v>4.0</v>
      </c>
      <c r="J15" s="237">
        <v>4.0</v>
      </c>
      <c r="K15" s="237">
        <v>0.0</v>
      </c>
      <c r="L15" s="237">
        <v>9.0</v>
      </c>
      <c r="M15" s="237">
        <v>12.0</v>
      </c>
      <c r="N15" s="141" t="str">
        <f>VLOOKUP(A15,BCK_Gestionale!A:C,3,0)</f>
        <v>#N/A</v>
      </c>
      <c r="O15" s="141">
        <f>COUNTIF(BCK_Gestionale!A:A, A15)</f>
        <v>0</v>
      </c>
    </row>
    <row r="16">
      <c r="A16" s="237">
        <v>4982.0</v>
      </c>
      <c r="B16" s="236" t="s">
        <v>480</v>
      </c>
      <c r="C16" s="236" t="s">
        <v>481</v>
      </c>
      <c r="D16" s="236" t="s">
        <v>811</v>
      </c>
      <c r="E16" s="236" t="s">
        <v>1009</v>
      </c>
      <c r="F16" s="237">
        <v>3.0</v>
      </c>
      <c r="G16" s="237">
        <v>3.0</v>
      </c>
      <c r="H16" s="237">
        <v>0.0</v>
      </c>
      <c r="I16" s="237">
        <v>3.0</v>
      </c>
      <c r="J16" s="237">
        <v>3.0</v>
      </c>
      <c r="K16" s="237">
        <v>0.0</v>
      </c>
      <c r="L16" s="237">
        <v>7.0</v>
      </c>
      <c r="M16" s="237">
        <v>7.0</v>
      </c>
      <c r="N16" s="141" t="str">
        <f>VLOOKUP(A16,BCK_Gestionale!A:C,3,0)</f>
        <v>Nirvana</v>
      </c>
      <c r="O16" s="141">
        <f>COUNTIF(BCK_Gestionale!A:A, A16)</f>
        <v>1</v>
      </c>
    </row>
    <row r="17">
      <c r="A17" s="237">
        <v>5324.0</v>
      </c>
      <c r="B17" s="236" t="s">
        <v>480</v>
      </c>
      <c r="C17" s="236" t="s">
        <v>1227</v>
      </c>
      <c r="D17" s="236" t="s">
        <v>689</v>
      </c>
      <c r="E17" s="236" t="s">
        <v>980</v>
      </c>
      <c r="F17" s="237">
        <v>1.0</v>
      </c>
      <c r="G17" s="237">
        <v>1.0</v>
      </c>
      <c r="H17" s="237">
        <v>0.0</v>
      </c>
      <c r="I17" s="237">
        <v>1.0</v>
      </c>
      <c r="J17" s="237">
        <v>1.0</v>
      </c>
      <c r="K17" s="237">
        <v>0.0</v>
      </c>
      <c r="L17" s="237">
        <v>1.0</v>
      </c>
      <c r="M17" s="237">
        <v>1.0</v>
      </c>
      <c r="N17" s="141" t="str">
        <f>VLOOKUP(A17,BCK_Gestionale!A:C,3,0)</f>
        <v>#N/A</v>
      </c>
      <c r="O17" s="141">
        <f>COUNTIF(BCK_Gestionale!A:A, A17)</f>
        <v>0</v>
      </c>
    </row>
    <row r="18">
      <c r="A18" s="237">
        <v>5393.0</v>
      </c>
      <c r="B18" s="236" t="s">
        <v>492</v>
      </c>
      <c r="C18" s="236" t="s">
        <v>935</v>
      </c>
      <c r="D18" s="236" t="s">
        <v>843</v>
      </c>
      <c r="E18" s="236" t="s">
        <v>985</v>
      </c>
      <c r="F18" s="237">
        <v>11.0</v>
      </c>
      <c r="G18" s="237">
        <v>11.0</v>
      </c>
      <c r="H18" s="237">
        <v>0.0</v>
      </c>
      <c r="I18" s="237">
        <v>11.0</v>
      </c>
      <c r="J18" s="237">
        <v>11.0</v>
      </c>
      <c r="K18" s="237">
        <v>0.0</v>
      </c>
      <c r="L18" s="237">
        <v>15.0</v>
      </c>
      <c r="M18" s="237">
        <v>15.0</v>
      </c>
      <c r="N18" s="141" t="str">
        <f>VLOOKUP(A18,BCK_Gestionale!A:C,3,0)</f>
        <v>Seven</v>
      </c>
      <c r="O18" s="141">
        <f>COUNTIF(BCK_Gestionale!A:A, A18)</f>
        <v>1</v>
      </c>
    </row>
    <row r="19">
      <c r="A19" s="237">
        <v>5516.0</v>
      </c>
      <c r="B19" s="236" t="s">
        <v>492</v>
      </c>
      <c r="C19" s="236" t="s">
        <v>930</v>
      </c>
      <c r="D19" s="236" t="s">
        <v>1277</v>
      </c>
      <c r="E19" s="236" t="s">
        <v>1033</v>
      </c>
      <c r="F19" s="237">
        <v>1.0</v>
      </c>
      <c r="G19" s="237">
        <v>1.0</v>
      </c>
      <c r="H19" s="237">
        <v>0.0</v>
      </c>
      <c r="I19" s="237">
        <v>1.0</v>
      </c>
      <c r="J19" s="237">
        <v>1.0</v>
      </c>
      <c r="K19" s="237">
        <v>0.0</v>
      </c>
      <c r="L19" s="237">
        <v>2.0</v>
      </c>
      <c r="M19" s="237">
        <v>3.0</v>
      </c>
      <c r="N19" s="141" t="str">
        <f>VLOOKUP(A19,BCK_Gestionale!A:C,3,0)</f>
        <v>#N/A</v>
      </c>
      <c r="O19" s="141">
        <f>COUNTIF(BCK_Gestionale!A:A, A19)</f>
        <v>0</v>
      </c>
    </row>
    <row r="20">
      <c r="A20" s="237">
        <v>5564.0</v>
      </c>
      <c r="B20" s="236" t="s">
        <v>492</v>
      </c>
      <c r="C20" s="236" t="s">
        <v>563</v>
      </c>
      <c r="D20" s="236" t="s">
        <v>614</v>
      </c>
      <c r="E20" s="236" t="s">
        <v>1009</v>
      </c>
      <c r="F20" s="237">
        <v>19.0</v>
      </c>
      <c r="G20" s="237">
        <v>19.0</v>
      </c>
      <c r="H20" s="237">
        <v>0.0</v>
      </c>
      <c r="I20" s="237">
        <v>18.0</v>
      </c>
      <c r="J20" s="237">
        <v>18.0</v>
      </c>
      <c r="K20" s="237">
        <v>0.0</v>
      </c>
      <c r="L20" s="237">
        <v>60.0</v>
      </c>
      <c r="M20" s="237">
        <v>60.0</v>
      </c>
      <c r="N20" s="1" t="s">
        <v>99</v>
      </c>
      <c r="O20" s="141">
        <f>COUNTIF(BCK_Gestionale!A:A, A20)</f>
        <v>2</v>
      </c>
    </row>
    <row r="21">
      <c r="A21" s="237">
        <v>5824.0</v>
      </c>
      <c r="B21" s="236" t="s">
        <v>492</v>
      </c>
      <c r="C21" s="236" t="s">
        <v>947</v>
      </c>
      <c r="D21" s="236" t="s">
        <v>1474</v>
      </c>
      <c r="E21" s="236" t="s">
        <v>993</v>
      </c>
      <c r="F21" s="237">
        <v>1.0</v>
      </c>
      <c r="G21" s="237">
        <v>1.0</v>
      </c>
      <c r="H21" s="237">
        <v>0.0</v>
      </c>
      <c r="I21" s="237">
        <v>1.0</v>
      </c>
      <c r="J21" s="237">
        <v>1.0</v>
      </c>
      <c r="K21" s="237">
        <v>0.0</v>
      </c>
      <c r="L21" s="237">
        <v>6.0</v>
      </c>
      <c r="M21" s="237">
        <v>6.0</v>
      </c>
      <c r="N21" s="141" t="str">
        <f>VLOOKUP(A21,BCK_Gestionale!A:C,3,0)</f>
        <v>#N/A</v>
      </c>
      <c r="O21" s="141">
        <f>COUNTIF(BCK_Gestionale!A:A, A21)</f>
        <v>0</v>
      </c>
    </row>
    <row r="22">
      <c r="A22" s="237">
        <v>5845.0</v>
      </c>
      <c r="B22" s="236" t="s">
        <v>507</v>
      </c>
      <c r="C22" s="236" t="s">
        <v>512</v>
      </c>
      <c r="D22" s="236" t="s">
        <v>1333</v>
      </c>
      <c r="E22" s="236" t="s">
        <v>1005</v>
      </c>
      <c r="F22" s="237">
        <v>2.0</v>
      </c>
      <c r="G22" s="237">
        <v>2.0</v>
      </c>
      <c r="H22" s="237">
        <v>0.0</v>
      </c>
      <c r="I22" s="237">
        <v>1.0</v>
      </c>
      <c r="J22" s="237">
        <v>1.0</v>
      </c>
      <c r="K22" s="237">
        <v>0.0</v>
      </c>
      <c r="L22" s="237">
        <v>4.0</v>
      </c>
      <c r="M22" s="237">
        <v>3.0</v>
      </c>
      <c r="N22" s="141" t="str">
        <f>VLOOKUP(A22,BCK_Gestionale!A:C,3,0)</f>
        <v>#N/A</v>
      </c>
      <c r="O22" s="141">
        <f>COUNTIF(BCK_Gestionale!A:A, A22)</f>
        <v>0</v>
      </c>
    </row>
    <row r="23">
      <c r="A23" s="237">
        <v>5857.0</v>
      </c>
      <c r="B23" s="236" t="s">
        <v>492</v>
      </c>
      <c r="C23" s="236" t="s">
        <v>930</v>
      </c>
      <c r="D23" s="236" t="s">
        <v>1596</v>
      </c>
      <c r="E23" s="236" t="s">
        <v>995</v>
      </c>
      <c r="F23" s="237">
        <v>2.0</v>
      </c>
      <c r="G23" s="237">
        <v>2.0</v>
      </c>
      <c r="H23" s="237">
        <v>0.0</v>
      </c>
      <c r="I23" s="237">
        <v>2.0</v>
      </c>
      <c r="J23" s="237">
        <v>2.0</v>
      </c>
      <c r="K23" s="237">
        <v>0.0</v>
      </c>
      <c r="L23" s="237">
        <v>3.0</v>
      </c>
      <c r="M23" s="237">
        <v>3.0</v>
      </c>
      <c r="N23" s="141" t="str">
        <f>VLOOKUP(A23,BCK_Gestionale!A:C,3,0)</f>
        <v>#N/A</v>
      </c>
      <c r="O23" s="141">
        <f>COUNTIF(BCK_Gestionale!A:A, A23)</f>
        <v>0</v>
      </c>
    </row>
    <row r="24">
      <c r="A24" s="237">
        <v>5860.0</v>
      </c>
      <c r="B24" s="236" t="s">
        <v>480</v>
      </c>
      <c r="C24" s="236" t="s">
        <v>481</v>
      </c>
      <c r="D24" s="236" t="s">
        <v>1597</v>
      </c>
      <c r="E24" s="236" t="s">
        <v>995</v>
      </c>
      <c r="F24" s="237">
        <v>2.0</v>
      </c>
      <c r="G24" s="237">
        <v>2.0</v>
      </c>
      <c r="H24" s="237">
        <v>0.0</v>
      </c>
      <c r="I24" s="237">
        <v>2.0</v>
      </c>
      <c r="J24" s="237">
        <v>2.0</v>
      </c>
      <c r="K24" s="237">
        <v>0.0</v>
      </c>
      <c r="L24" s="237">
        <v>3.0</v>
      </c>
      <c r="M24" s="237">
        <v>3.0</v>
      </c>
      <c r="N24" s="141" t="str">
        <f>VLOOKUP(A24,BCK_Gestionale!A:C,3,0)</f>
        <v>#N/A</v>
      </c>
      <c r="O24" s="141">
        <f>COUNTIF(BCK_Gestionale!A:A, A24)</f>
        <v>0</v>
      </c>
    </row>
    <row r="25">
      <c r="A25" s="237">
        <v>5863.0</v>
      </c>
      <c r="B25" s="236" t="s">
        <v>492</v>
      </c>
      <c r="C25" s="236" t="s">
        <v>930</v>
      </c>
      <c r="D25" s="236" t="s">
        <v>1598</v>
      </c>
      <c r="E25" s="236" t="s">
        <v>995</v>
      </c>
      <c r="F25" s="237">
        <v>3.0</v>
      </c>
      <c r="G25" s="237">
        <v>3.0</v>
      </c>
      <c r="H25" s="237">
        <v>0.0</v>
      </c>
      <c r="I25" s="237">
        <v>3.0</v>
      </c>
      <c r="J25" s="237">
        <v>3.0</v>
      </c>
      <c r="K25" s="237">
        <v>0.0</v>
      </c>
      <c r="L25" s="237">
        <v>5.0</v>
      </c>
      <c r="M25" s="237">
        <v>5.0</v>
      </c>
      <c r="N25" s="141" t="str">
        <f>VLOOKUP(A25,BCK_Gestionale!A:C,3,0)</f>
        <v>#N/A</v>
      </c>
      <c r="O25" s="141">
        <f>COUNTIF(BCK_Gestionale!A:A, A25)</f>
        <v>0</v>
      </c>
    </row>
    <row r="26">
      <c r="A26" s="237">
        <v>5891.0</v>
      </c>
      <c r="B26" s="236" t="s">
        <v>480</v>
      </c>
      <c r="C26" s="236" t="s">
        <v>931</v>
      </c>
      <c r="D26" s="236" t="s">
        <v>1599</v>
      </c>
      <c r="E26" s="236" t="s">
        <v>995</v>
      </c>
      <c r="F26" s="237">
        <v>1.0</v>
      </c>
      <c r="G26" s="237">
        <v>1.0</v>
      </c>
      <c r="H26" s="237">
        <v>0.0</v>
      </c>
      <c r="I26" s="237">
        <v>1.0</v>
      </c>
      <c r="J26" s="237">
        <v>1.0</v>
      </c>
      <c r="K26" s="237">
        <v>0.0</v>
      </c>
      <c r="L26" s="237">
        <v>2.0</v>
      </c>
      <c r="M26" s="237">
        <v>2.0</v>
      </c>
      <c r="N26" s="141" t="str">
        <f>VLOOKUP(A26,BCK_Gestionale!A:C,3,0)</f>
        <v>#N/A</v>
      </c>
      <c r="O26" s="141">
        <f>COUNTIF(BCK_Gestionale!A:A, A26)</f>
        <v>0</v>
      </c>
    </row>
    <row r="27">
      <c r="A27" s="237">
        <v>6055.0</v>
      </c>
      <c r="B27" s="236" t="s">
        <v>480</v>
      </c>
      <c r="C27" s="236" t="s">
        <v>481</v>
      </c>
      <c r="D27" s="236" t="s">
        <v>933</v>
      </c>
      <c r="E27" s="236" t="s">
        <v>991</v>
      </c>
      <c r="F27" s="237">
        <v>4.0</v>
      </c>
      <c r="G27" s="237">
        <v>4.0</v>
      </c>
      <c r="H27" s="237">
        <v>0.0</v>
      </c>
      <c r="I27" s="237">
        <v>4.0</v>
      </c>
      <c r="J27" s="237">
        <v>4.0</v>
      </c>
      <c r="K27" s="237">
        <v>0.0</v>
      </c>
      <c r="L27" s="237">
        <v>8.0</v>
      </c>
      <c r="M27" s="237">
        <v>8.0</v>
      </c>
      <c r="N27" s="141" t="str">
        <f>VLOOKUP(A27,BCK_Gestionale!A:C,3,0)</f>
        <v>#N/A</v>
      </c>
      <c r="O27" s="141">
        <f>COUNTIF(BCK_Gestionale!A:A, A27)</f>
        <v>0</v>
      </c>
    </row>
    <row r="28">
      <c r="A28" s="237">
        <v>6189.0</v>
      </c>
      <c r="B28" s="236" t="s">
        <v>480</v>
      </c>
      <c r="C28" s="236" t="s">
        <v>938</v>
      </c>
      <c r="D28" s="236" t="s">
        <v>1461</v>
      </c>
      <c r="E28" s="236" t="s">
        <v>1005</v>
      </c>
      <c r="F28" s="237">
        <v>2.0</v>
      </c>
      <c r="G28" s="237">
        <v>2.0</v>
      </c>
      <c r="H28" s="237">
        <v>0.0</v>
      </c>
      <c r="I28" s="237">
        <v>2.0</v>
      </c>
      <c r="J28" s="237">
        <v>2.0</v>
      </c>
      <c r="K28" s="237">
        <v>0.0</v>
      </c>
      <c r="L28" s="237">
        <v>5.0</v>
      </c>
      <c r="M28" s="237">
        <v>5.0</v>
      </c>
      <c r="N28" s="141" t="str">
        <f>VLOOKUP(A28,BCK_Gestionale!A:C,3,0)</f>
        <v>#N/A</v>
      </c>
      <c r="O28" s="141">
        <f>COUNTIF(BCK_Gestionale!A:A, A28)</f>
        <v>0</v>
      </c>
    </row>
    <row r="29">
      <c r="A29" s="237">
        <v>6205.0</v>
      </c>
      <c r="B29" s="236" t="s">
        <v>507</v>
      </c>
      <c r="C29" s="236" t="s">
        <v>512</v>
      </c>
      <c r="D29" s="236" t="s">
        <v>1463</v>
      </c>
      <c r="E29" s="236" t="s">
        <v>1005</v>
      </c>
      <c r="F29" s="237">
        <v>5.0</v>
      </c>
      <c r="G29" s="237">
        <v>5.0</v>
      </c>
      <c r="H29" s="237">
        <v>0.0</v>
      </c>
      <c r="I29" s="237">
        <v>4.0</v>
      </c>
      <c r="J29" s="237">
        <v>4.0</v>
      </c>
      <c r="K29" s="237">
        <v>0.0</v>
      </c>
      <c r="L29" s="237">
        <v>5.0</v>
      </c>
      <c r="M29" s="237">
        <v>5.0</v>
      </c>
      <c r="N29" s="141" t="str">
        <f>VLOOKUP(A29,BCK_Gestionale!A:C,3,0)</f>
        <v>#N/A</v>
      </c>
      <c r="O29" s="141">
        <f>COUNTIF(BCK_Gestionale!A:A, A29)</f>
        <v>0</v>
      </c>
    </row>
    <row r="30">
      <c r="A30" s="237">
        <v>6213.0</v>
      </c>
      <c r="B30" s="236" t="s">
        <v>507</v>
      </c>
      <c r="C30" s="236" t="s">
        <v>507</v>
      </c>
      <c r="D30" s="236" t="s">
        <v>859</v>
      </c>
      <c r="E30" s="236" t="s">
        <v>993</v>
      </c>
      <c r="F30" s="237">
        <v>3.0</v>
      </c>
      <c r="G30" s="237">
        <v>3.0</v>
      </c>
      <c r="H30" s="237">
        <v>0.0</v>
      </c>
      <c r="I30" s="237">
        <v>3.0</v>
      </c>
      <c r="J30" s="237">
        <v>3.0</v>
      </c>
      <c r="K30" s="237">
        <v>0.0</v>
      </c>
      <c r="L30" s="237">
        <v>10.0</v>
      </c>
      <c r="M30" s="237">
        <v>10.0</v>
      </c>
      <c r="N30" s="141" t="str">
        <f>VLOOKUP(A30,BCK_Gestionale!A:C,3,0)</f>
        <v>Werder</v>
      </c>
      <c r="O30" s="141">
        <f>COUNTIF(BCK_Gestionale!A:A, A30)</f>
        <v>1</v>
      </c>
    </row>
    <row r="31">
      <c r="A31" s="237">
        <v>6225.0</v>
      </c>
      <c r="B31" s="236" t="s">
        <v>492</v>
      </c>
      <c r="C31" s="236" t="s">
        <v>930</v>
      </c>
      <c r="D31" s="236" t="s">
        <v>659</v>
      </c>
      <c r="E31" s="236" t="s">
        <v>1009</v>
      </c>
      <c r="F31" s="237">
        <v>3.0</v>
      </c>
      <c r="G31" s="237">
        <v>3.0</v>
      </c>
      <c r="H31" s="237">
        <v>0.0</v>
      </c>
      <c r="I31" s="237">
        <v>3.0</v>
      </c>
      <c r="J31" s="237">
        <v>3.0</v>
      </c>
      <c r="K31" s="237">
        <v>0.0</v>
      </c>
      <c r="L31" s="237">
        <v>7.0</v>
      </c>
      <c r="M31" s="237">
        <v>7.0</v>
      </c>
      <c r="N31" s="141" t="str">
        <f>VLOOKUP(A31,BCK_Gestionale!A:C,3,0)</f>
        <v>Bimbe di Tonali</v>
      </c>
      <c r="O31" s="141">
        <f>COUNTIF(BCK_Gestionale!A:A, A31)</f>
        <v>1</v>
      </c>
    </row>
    <row r="32">
      <c r="A32" s="237">
        <v>6227.0</v>
      </c>
      <c r="B32" s="236" t="s">
        <v>507</v>
      </c>
      <c r="C32" s="236" t="s">
        <v>507</v>
      </c>
      <c r="D32" s="236" t="s">
        <v>738</v>
      </c>
      <c r="E32" s="236" t="s">
        <v>991</v>
      </c>
      <c r="F32" s="237">
        <v>4.0</v>
      </c>
      <c r="G32" s="237">
        <v>4.0</v>
      </c>
      <c r="H32" s="237">
        <v>0.0</v>
      </c>
      <c r="I32" s="237">
        <v>4.0</v>
      </c>
      <c r="J32" s="237">
        <v>4.0</v>
      </c>
      <c r="K32" s="237">
        <v>0.0</v>
      </c>
      <c r="L32" s="237">
        <v>5.0</v>
      </c>
      <c r="M32" s="237">
        <v>5.0</v>
      </c>
      <c r="N32" s="141" t="str">
        <f>VLOOKUP(A32,BCK_Gestionale!A:C,3,0)</f>
        <v>Darmian</v>
      </c>
      <c r="O32" s="141">
        <f>COUNTIF(BCK_Gestionale!A:A, A32)</f>
        <v>1</v>
      </c>
    </row>
    <row r="33">
      <c r="A33" s="237">
        <v>6229.0</v>
      </c>
      <c r="B33" s="236" t="s">
        <v>507</v>
      </c>
      <c r="C33" s="236" t="s">
        <v>512</v>
      </c>
      <c r="D33" s="236" t="s">
        <v>1600</v>
      </c>
      <c r="E33" s="236" t="s">
        <v>980</v>
      </c>
      <c r="F33" s="237">
        <v>7.0</v>
      </c>
      <c r="G33" s="237">
        <v>7.0</v>
      </c>
      <c r="H33" s="237">
        <v>0.0</v>
      </c>
      <c r="I33" s="237">
        <v>6.0</v>
      </c>
      <c r="J33" s="237">
        <v>6.0</v>
      </c>
      <c r="K33" s="237">
        <v>0.0</v>
      </c>
      <c r="L33" s="237">
        <v>9.0</v>
      </c>
      <c r="M33" s="237">
        <v>9.0</v>
      </c>
      <c r="N33" s="141" t="str">
        <f>VLOOKUP(A33,BCK_Gestionale!A:C,3,0)</f>
        <v>#N/A</v>
      </c>
      <c r="O33" s="141">
        <f>COUNTIF(BCK_Gestionale!A:A, A33)</f>
        <v>0</v>
      </c>
    </row>
    <row r="34">
      <c r="A34" s="237">
        <v>6231.0</v>
      </c>
      <c r="B34" s="236" t="s">
        <v>480</v>
      </c>
      <c r="C34" s="236" t="s">
        <v>931</v>
      </c>
      <c r="D34" s="236" t="s">
        <v>1294</v>
      </c>
      <c r="E34" s="236" t="s">
        <v>995</v>
      </c>
      <c r="F34" s="237">
        <v>3.0</v>
      </c>
      <c r="G34" s="237">
        <v>3.0</v>
      </c>
      <c r="H34" s="237">
        <v>0.0</v>
      </c>
      <c r="I34" s="237">
        <v>3.0</v>
      </c>
      <c r="J34" s="237">
        <v>3.0</v>
      </c>
      <c r="K34" s="237">
        <v>0.0</v>
      </c>
      <c r="L34" s="237">
        <v>7.0</v>
      </c>
      <c r="M34" s="237">
        <v>7.0</v>
      </c>
      <c r="N34" s="141" t="str">
        <f>VLOOKUP(A34,BCK_Gestionale!A:C,3,0)</f>
        <v>#N/A</v>
      </c>
      <c r="O34" s="141">
        <f>COUNTIF(BCK_Gestionale!A:A, A34)</f>
        <v>0</v>
      </c>
    </row>
    <row r="35">
      <c r="A35" s="237">
        <v>6245.0</v>
      </c>
      <c r="B35" s="236" t="s">
        <v>480</v>
      </c>
      <c r="C35" s="236" t="s">
        <v>937</v>
      </c>
      <c r="D35" s="236" t="s">
        <v>896</v>
      </c>
      <c r="E35" s="236" t="s">
        <v>1026</v>
      </c>
      <c r="F35" s="237">
        <v>3.0</v>
      </c>
      <c r="G35" s="237">
        <v>3.0</v>
      </c>
      <c r="H35" s="237">
        <v>0.0</v>
      </c>
      <c r="I35" s="237">
        <v>4.0</v>
      </c>
      <c r="J35" s="237">
        <v>4.0</v>
      </c>
      <c r="K35" s="237">
        <v>0.0</v>
      </c>
      <c r="L35" s="237">
        <v>5.0</v>
      </c>
      <c r="M35" s="237">
        <v>6.0</v>
      </c>
      <c r="N35" s="141" t="str">
        <f>VLOOKUP(A35,BCK_Gestionale!A:C,3,0)</f>
        <v>Woods</v>
      </c>
      <c r="O35" s="141">
        <f>COUNTIF(BCK_Gestionale!A:A, A35)</f>
        <v>1</v>
      </c>
    </row>
    <row r="36">
      <c r="A36" s="237">
        <v>6403.0</v>
      </c>
      <c r="B36" s="236" t="s">
        <v>477</v>
      </c>
      <c r="C36" s="236" t="s">
        <v>478</v>
      </c>
      <c r="D36" s="236" t="s">
        <v>1297</v>
      </c>
      <c r="E36" s="236" t="s">
        <v>1033</v>
      </c>
      <c r="F36" s="237">
        <v>1.0</v>
      </c>
      <c r="G36" s="237">
        <v>1.0</v>
      </c>
      <c r="H36" s="237">
        <v>0.0</v>
      </c>
      <c r="I36" s="237">
        <v>1.0</v>
      </c>
      <c r="J36" s="237">
        <v>1.0</v>
      </c>
      <c r="K36" s="237">
        <v>0.0</v>
      </c>
      <c r="L36" s="237">
        <v>1.0</v>
      </c>
      <c r="M36" s="237">
        <v>1.0</v>
      </c>
      <c r="N36" s="141" t="str">
        <f>VLOOKUP(A36,BCK_Gestionale!A:C,3,0)</f>
        <v>#N/A</v>
      </c>
      <c r="O36" s="141">
        <f>COUNTIF(BCK_Gestionale!A:A, A36)</f>
        <v>0</v>
      </c>
    </row>
    <row r="37">
      <c r="A37" s="237">
        <v>6409.0</v>
      </c>
      <c r="B37" s="236" t="s">
        <v>507</v>
      </c>
      <c r="C37" s="236" t="s">
        <v>507</v>
      </c>
      <c r="D37" s="236" t="s">
        <v>745</v>
      </c>
      <c r="E37" s="236" t="s">
        <v>1033</v>
      </c>
      <c r="F37" s="237">
        <v>6.0</v>
      </c>
      <c r="G37" s="237">
        <v>7.0</v>
      </c>
      <c r="H37" s="237">
        <v>-1.0</v>
      </c>
      <c r="I37" s="237">
        <v>6.0</v>
      </c>
      <c r="J37" s="237">
        <v>7.0</v>
      </c>
      <c r="K37" s="237">
        <v>-1.0</v>
      </c>
      <c r="L37" s="237">
        <v>10.0</v>
      </c>
      <c r="M37" s="237">
        <v>10.0</v>
      </c>
      <c r="N37" s="141" t="str">
        <f>VLOOKUP(A37,BCK_Gestionale!A:C,3,0)</f>
        <v>Iperzola</v>
      </c>
      <c r="O37" s="141">
        <f>COUNTIF(BCK_Gestionale!A:A, A37)</f>
        <v>1</v>
      </c>
    </row>
    <row r="38">
      <c r="A38" s="237">
        <v>6464.0</v>
      </c>
      <c r="B38" s="236" t="s">
        <v>480</v>
      </c>
      <c r="C38" s="236" t="s">
        <v>481</v>
      </c>
      <c r="D38" s="236" t="s">
        <v>1299</v>
      </c>
      <c r="E38" s="236" t="s">
        <v>975</v>
      </c>
      <c r="F38" s="237">
        <v>1.0</v>
      </c>
      <c r="G38" s="237">
        <v>1.0</v>
      </c>
      <c r="H38" s="237">
        <v>0.0</v>
      </c>
      <c r="I38" s="237">
        <v>1.0</v>
      </c>
      <c r="J38" s="237">
        <v>1.0</v>
      </c>
      <c r="K38" s="237">
        <v>0.0</v>
      </c>
      <c r="L38" s="237">
        <v>2.0</v>
      </c>
      <c r="M38" s="237">
        <v>2.0</v>
      </c>
      <c r="N38" s="141" t="str">
        <f>VLOOKUP(A38,BCK_Gestionale!A:C,3,0)</f>
        <v>#N/A</v>
      </c>
      <c r="O38" s="141">
        <f>COUNTIF(BCK_Gestionale!A:A, A38)</f>
        <v>0</v>
      </c>
    </row>
    <row r="39">
      <c r="A39" s="237">
        <v>6480.0</v>
      </c>
      <c r="B39" s="236" t="s">
        <v>480</v>
      </c>
      <c r="C39" s="236" t="s">
        <v>938</v>
      </c>
      <c r="D39" s="236" t="s">
        <v>845</v>
      </c>
      <c r="E39" s="236" t="s">
        <v>983</v>
      </c>
      <c r="F39" s="237">
        <v>8.0</v>
      </c>
      <c r="G39" s="237">
        <v>8.0</v>
      </c>
      <c r="H39" s="237">
        <v>0.0</v>
      </c>
      <c r="I39" s="237">
        <v>8.0</v>
      </c>
      <c r="J39" s="237">
        <v>8.0</v>
      </c>
      <c r="K39" s="237">
        <v>0.0</v>
      </c>
      <c r="L39" s="237">
        <v>17.0</v>
      </c>
      <c r="M39" s="237">
        <v>17.0</v>
      </c>
      <c r="N39" s="141" t="str">
        <f>VLOOKUP(A39,BCK_Gestionale!A:C,3,0)</f>
        <v>Seven</v>
      </c>
      <c r="O39" s="141">
        <f>COUNTIF(BCK_Gestionale!A:A, A39)</f>
        <v>1</v>
      </c>
    </row>
    <row r="40">
      <c r="A40" s="237">
        <v>6531.0</v>
      </c>
      <c r="B40" s="236" t="s">
        <v>480</v>
      </c>
      <c r="C40" s="236" t="s">
        <v>944</v>
      </c>
      <c r="D40" s="236" t="s">
        <v>655</v>
      </c>
      <c r="E40" s="236" t="s">
        <v>991</v>
      </c>
      <c r="F40" s="237">
        <v>5.0</v>
      </c>
      <c r="G40" s="237">
        <v>5.0</v>
      </c>
      <c r="H40" s="237">
        <v>0.0</v>
      </c>
      <c r="I40" s="237">
        <v>5.0</v>
      </c>
      <c r="J40" s="237">
        <v>6.0</v>
      </c>
      <c r="K40" s="237">
        <v>-1.0</v>
      </c>
      <c r="L40" s="237">
        <v>10.0</v>
      </c>
      <c r="M40" s="237">
        <v>10.0</v>
      </c>
      <c r="N40" s="141" t="str">
        <f>VLOOKUP(A40,BCK_Gestionale!A:C,3,0)</f>
        <v>Bimbe di Tonali</v>
      </c>
      <c r="O40" s="141">
        <f>COUNTIF(BCK_Gestionale!A:A, A40)</f>
        <v>1</v>
      </c>
    </row>
    <row r="41">
      <c r="A41" s="237">
        <v>6533.0</v>
      </c>
      <c r="B41" s="236" t="s">
        <v>480</v>
      </c>
      <c r="C41" s="236" t="s">
        <v>481</v>
      </c>
      <c r="D41" s="236" t="s">
        <v>660</v>
      </c>
      <c r="E41" s="236" t="s">
        <v>993</v>
      </c>
      <c r="F41" s="237">
        <v>3.0</v>
      </c>
      <c r="G41" s="237">
        <v>3.0</v>
      </c>
      <c r="H41" s="237">
        <v>0.0</v>
      </c>
      <c r="I41" s="237">
        <v>3.0</v>
      </c>
      <c r="J41" s="237">
        <v>3.0</v>
      </c>
      <c r="K41" s="237">
        <v>0.0</v>
      </c>
      <c r="L41" s="237">
        <v>7.0</v>
      </c>
      <c r="M41" s="237">
        <v>7.0</v>
      </c>
      <c r="N41" s="141" t="str">
        <f>VLOOKUP(A41,BCK_Gestionale!A:C,3,0)</f>
        <v>Bimbe di Tonali</v>
      </c>
      <c r="O41" s="141">
        <f>COUNTIF(BCK_Gestionale!A:A, A41)</f>
        <v>1</v>
      </c>
    </row>
    <row r="42">
      <c r="A42" s="237">
        <v>6618.0</v>
      </c>
      <c r="B42" s="236" t="s">
        <v>492</v>
      </c>
      <c r="C42" s="236" t="s">
        <v>1057</v>
      </c>
      <c r="D42" s="236" t="s">
        <v>1602</v>
      </c>
      <c r="E42" s="236" t="s">
        <v>983</v>
      </c>
      <c r="F42" s="237">
        <v>1.0</v>
      </c>
      <c r="G42" s="237">
        <v>1.0</v>
      </c>
      <c r="H42" s="237">
        <v>0.0</v>
      </c>
      <c r="I42" s="237">
        <v>1.0</v>
      </c>
      <c r="J42" s="237">
        <v>1.0</v>
      </c>
      <c r="K42" s="237">
        <v>0.0</v>
      </c>
      <c r="L42" s="237">
        <v>1.0</v>
      </c>
      <c r="M42" s="237">
        <v>1.0</v>
      </c>
      <c r="N42" s="141" t="str">
        <f>VLOOKUP(A42,BCK_Gestionale!A:C,3,0)</f>
        <v>#N/A</v>
      </c>
      <c r="O42" s="141">
        <f>COUNTIF(BCK_Gestionale!A:A, A42)</f>
        <v>0</v>
      </c>
    </row>
    <row r="43">
      <c r="A43" s="237">
        <v>6628.0</v>
      </c>
      <c r="B43" s="236" t="s">
        <v>507</v>
      </c>
      <c r="C43" s="236" t="s">
        <v>512</v>
      </c>
      <c r="D43" s="236" t="s">
        <v>856</v>
      </c>
      <c r="E43" s="236" t="s">
        <v>973</v>
      </c>
      <c r="F43" s="237">
        <v>4.0</v>
      </c>
      <c r="G43" s="237">
        <v>4.0</v>
      </c>
      <c r="H43" s="237">
        <v>0.0</v>
      </c>
      <c r="I43" s="237">
        <v>3.0</v>
      </c>
      <c r="J43" s="237">
        <v>3.0</v>
      </c>
      <c r="K43" s="237">
        <v>0.0</v>
      </c>
      <c r="L43" s="237">
        <v>5.0</v>
      </c>
      <c r="M43" s="237">
        <v>4.0</v>
      </c>
      <c r="N43" s="141" t="str">
        <f>VLOOKUP(A43,BCK_Gestionale!A:C,3,0)</f>
        <v>Seven</v>
      </c>
      <c r="O43" s="141">
        <f>COUNTIF(BCK_Gestionale!A:A, A43)</f>
        <v>1</v>
      </c>
    </row>
    <row r="44">
      <c r="A44" s="237">
        <v>6635.0</v>
      </c>
      <c r="B44" s="236" t="s">
        <v>507</v>
      </c>
      <c r="C44" s="236" t="s">
        <v>512</v>
      </c>
      <c r="D44" s="236" t="s">
        <v>1309</v>
      </c>
      <c r="E44" s="236" t="s">
        <v>993</v>
      </c>
      <c r="F44" s="237">
        <v>1.0</v>
      </c>
      <c r="G44" s="237">
        <v>1.0</v>
      </c>
      <c r="H44" s="237">
        <v>0.0</v>
      </c>
      <c r="I44" s="237">
        <v>1.0</v>
      </c>
      <c r="J44" s="237">
        <v>1.0</v>
      </c>
      <c r="K44" s="237">
        <v>0.0</v>
      </c>
      <c r="L44" s="237">
        <v>3.0</v>
      </c>
      <c r="M44" s="237">
        <v>2.0</v>
      </c>
      <c r="N44" s="141" t="str">
        <f>VLOOKUP(A44,BCK_Gestionale!A:C,3,0)</f>
        <v>#N/A</v>
      </c>
      <c r="O44" s="141">
        <f>COUNTIF(BCK_Gestionale!A:A, A44)</f>
        <v>0</v>
      </c>
    </row>
    <row r="45">
      <c r="A45" s="237">
        <v>6636.0</v>
      </c>
      <c r="B45" s="236" t="s">
        <v>480</v>
      </c>
      <c r="C45" s="236" t="s">
        <v>1022</v>
      </c>
      <c r="D45" s="236" t="s">
        <v>1603</v>
      </c>
      <c r="E45" s="236" t="s">
        <v>975</v>
      </c>
      <c r="F45" s="237">
        <v>1.0</v>
      </c>
      <c r="G45" s="237">
        <v>1.0</v>
      </c>
      <c r="H45" s="237">
        <v>0.0</v>
      </c>
      <c r="I45" s="237">
        <v>1.0</v>
      </c>
      <c r="J45" s="237">
        <v>1.0</v>
      </c>
      <c r="K45" s="237">
        <v>0.0</v>
      </c>
      <c r="L45" s="237">
        <v>1.0</v>
      </c>
      <c r="M45" s="237">
        <v>1.0</v>
      </c>
      <c r="N45" s="141" t="str">
        <f>VLOOKUP(A45,BCK_Gestionale!A:C,3,0)</f>
        <v>#N/A</v>
      </c>
      <c r="O45" s="141">
        <f>COUNTIF(BCK_Gestionale!A:A, A45)</f>
        <v>0</v>
      </c>
    </row>
    <row r="46">
      <c r="A46" s="237">
        <v>6644.0</v>
      </c>
      <c r="B46" s="236" t="s">
        <v>507</v>
      </c>
      <c r="C46" s="236" t="s">
        <v>512</v>
      </c>
      <c r="D46" s="236" t="s">
        <v>855</v>
      </c>
      <c r="E46" s="236" t="s">
        <v>983</v>
      </c>
      <c r="F46" s="237">
        <v>3.0</v>
      </c>
      <c r="G46" s="237">
        <v>3.0</v>
      </c>
      <c r="H46" s="237">
        <v>0.0</v>
      </c>
      <c r="I46" s="237">
        <v>2.0</v>
      </c>
      <c r="J46" s="237">
        <v>2.0</v>
      </c>
      <c r="K46" s="237">
        <v>0.0</v>
      </c>
      <c r="L46" s="237">
        <v>8.0</v>
      </c>
      <c r="M46" s="237">
        <v>6.0</v>
      </c>
      <c r="N46" s="141" t="str">
        <f>VLOOKUP(A46,BCK_Gestionale!A:C,3,0)</f>
        <v>Seven</v>
      </c>
      <c r="O46" s="141">
        <f>COUNTIF(BCK_Gestionale!A:A, A46)</f>
        <v>1</v>
      </c>
    </row>
    <row r="47">
      <c r="A47" s="237">
        <v>6656.0</v>
      </c>
      <c r="B47" s="236" t="s">
        <v>492</v>
      </c>
      <c r="C47" s="236" t="s">
        <v>930</v>
      </c>
      <c r="D47" s="236" t="s">
        <v>774</v>
      </c>
      <c r="E47" s="236" t="s">
        <v>974</v>
      </c>
      <c r="F47" s="237">
        <v>1.0</v>
      </c>
      <c r="G47" s="237">
        <v>1.0</v>
      </c>
      <c r="H47" s="237">
        <v>0.0</v>
      </c>
      <c r="I47" s="237">
        <v>1.0</v>
      </c>
      <c r="J47" s="237">
        <v>1.0</v>
      </c>
      <c r="K47" s="237">
        <v>0.0</v>
      </c>
      <c r="L47" s="237">
        <v>1.0</v>
      </c>
      <c r="M47" s="237">
        <v>1.0</v>
      </c>
      <c r="N47" s="141" t="str">
        <f>VLOOKUP(A47,BCK_Gestionale!A:C,3,0)</f>
        <v>Molino</v>
      </c>
      <c r="O47" s="141">
        <f>COUNTIF(BCK_Gestionale!A:A, A47)</f>
        <v>1</v>
      </c>
    </row>
    <row r="48">
      <c r="A48" s="237">
        <v>6657.0</v>
      </c>
      <c r="B48" s="236" t="s">
        <v>507</v>
      </c>
      <c r="C48" s="236" t="s">
        <v>512</v>
      </c>
      <c r="D48" s="236" t="s">
        <v>1314</v>
      </c>
      <c r="E48" s="236" t="s">
        <v>974</v>
      </c>
      <c r="F48" s="237">
        <v>1.0</v>
      </c>
      <c r="G48" s="237">
        <v>1.0</v>
      </c>
      <c r="H48" s="237">
        <v>0.0</v>
      </c>
      <c r="I48" s="237">
        <v>1.0</v>
      </c>
      <c r="J48" s="237">
        <v>1.0</v>
      </c>
      <c r="K48" s="237">
        <v>0.0</v>
      </c>
      <c r="L48" s="237">
        <v>1.0</v>
      </c>
      <c r="M48" s="237">
        <v>1.0</v>
      </c>
      <c r="N48" s="141" t="str">
        <f>VLOOKUP(A48,BCK_Gestionale!A:C,3,0)</f>
        <v>#N/A</v>
      </c>
      <c r="O48" s="141">
        <f>COUNTIF(BCK_Gestionale!A:A, A48)</f>
        <v>0</v>
      </c>
    </row>
    <row r="49">
      <c r="A49" s="237">
        <v>6676.0</v>
      </c>
      <c r="B49" s="236" t="s">
        <v>492</v>
      </c>
      <c r="C49" s="236" t="s">
        <v>930</v>
      </c>
      <c r="D49" s="236" t="s">
        <v>1320</v>
      </c>
      <c r="E49" s="236" t="s">
        <v>974</v>
      </c>
      <c r="F49" s="237">
        <v>2.0</v>
      </c>
      <c r="G49" s="237">
        <v>2.0</v>
      </c>
      <c r="H49" s="237">
        <v>0.0</v>
      </c>
      <c r="I49" s="237">
        <v>2.0</v>
      </c>
      <c r="J49" s="237">
        <v>2.0</v>
      </c>
      <c r="K49" s="237">
        <v>0.0</v>
      </c>
      <c r="L49" s="237">
        <v>3.0</v>
      </c>
      <c r="M49" s="237">
        <v>3.0</v>
      </c>
      <c r="N49" s="141" t="str">
        <f>VLOOKUP(A49,BCK_Gestionale!A:C,3,0)</f>
        <v>#N/A</v>
      </c>
      <c r="O49" s="141">
        <f>COUNTIF(BCK_Gestionale!A:A, A49)</f>
        <v>0</v>
      </c>
    </row>
    <row r="50">
      <c r="A50" s="237">
        <v>6678.0</v>
      </c>
      <c r="B50" s="236" t="s">
        <v>492</v>
      </c>
      <c r="C50" s="236" t="s">
        <v>1057</v>
      </c>
      <c r="D50" s="236" t="s">
        <v>647</v>
      </c>
      <c r="E50" s="236" t="s">
        <v>991</v>
      </c>
      <c r="F50" s="237">
        <v>1.0</v>
      </c>
      <c r="G50" s="237">
        <v>1.0</v>
      </c>
      <c r="H50" s="237">
        <v>0.0</v>
      </c>
      <c r="I50" s="237">
        <v>1.0</v>
      </c>
      <c r="J50" s="237">
        <v>1.0</v>
      </c>
      <c r="K50" s="237">
        <v>0.0</v>
      </c>
      <c r="L50" s="237">
        <v>1.0</v>
      </c>
      <c r="M50" s="237">
        <v>1.0</v>
      </c>
      <c r="N50" s="141" t="str">
        <f>VLOOKUP(A50,BCK_Gestionale!A:C,3,0)</f>
        <v>Bimbe di Tonali</v>
      </c>
      <c r="O50" s="141">
        <f>COUNTIF(BCK_Gestionale!A:A, A50)</f>
        <v>1</v>
      </c>
    </row>
    <row r="51">
      <c r="A51" s="237">
        <v>6802.0</v>
      </c>
      <c r="B51" s="236" t="s">
        <v>480</v>
      </c>
      <c r="C51" s="236" t="s">
        <v>1019</v>
      </c>
      <c r="D51" s="236" t="s">
        <v>696</v>
      </c>
      <c r="E51" s="236" t="s">
        <v>976</v>
      </c>
      <c r="F51" s="237">
        <v>3.0</v>
      </c>
      <c r="G51" s="237">
        <v>3.0</v>
      </c>
      <c r="H51" s="237">
        <v>0.0</v>
      </c>
      <c r="I51" s="237">
        <v>4.0</v>
      </c>
      <c r="J51" s="237">
        <v>4.0</v>
      </c>
      <c r="K51" s="237">
        <v>0.0</v>
      </c>
      <c r="L51" s="237">
        <v>9.0</v>
      </c>
      <c r="M51" s="237">
        <v>11.0</v>
      </c>
      <c r="N51" s="141" t="str">
        <f>VLOOKUP(A51,BCK_Gestionale!A:C,3,0)</f>
        <v>Ceretolo</v>
      </c>
      <c r="O51" s="141">
        <f>COUNTIF(BCK_Gestionale!A:A, A51)</f>
        <v>1</v>
      </c>
    </row>
    <row r="52">
      <c r="A52" s="237">
        <v>6821.0</v>
      </c>
      <c r="B52" s="236" t="s">
        <v>480</v>
      </c>
      <c r="C52" s="236" t="s">
        <v>938</v>
      </c>
      <c r="D52" s="236" t="s">
        <v>1543</v>
      </c>
      <c r="E52" s="236" t="s">
        <v>985</v>
      </c>
      <c r="F52" s="237">
        <v>2.0</v>
      </c>
      <c r="G52" s="237">
        <v>2.0</v>
      </c>
      <c r="H52" s="237">
        <v>0.0</v>
      </c>
      <c r="I52" s="237">
        <v>2.0</v>
      </c>
      <c r="J52" s="237">
        <v>2.0</v>
      </c>
      <c r="K52" s="237">
        <v>0.0</v>
      </c>
      <c r="L52" s="237">
        <v>5.0</v>
      </c>
      <c r="M52" s="237">
        <v>5.0</v>
      </c>
      <c r="N52" s="141" t="str">
        <f>VLOOKUP(A52,BCK_Gestionale!A:C,3,0)</f>
        <v>#N/A</v>
      </c>
      <c r="O52" s="141">
        <f>COUNTIF(BCK_Gestionale!A:A, A52)</f>
        <v>0</v>
      </c>
    </row>
    <row r="53">
      <c r="A53" s="237">
        <v>6885.0</v>
      </c>
      <c r="B53" s="236" t="s">
        <v>480</v>
      </c>
      <c r="C53" s="236" t="s">
        <v>938</v>
      </c>
      <c r="D53" s="236" t="s">
        <v>711</v>
      </c>
      <c r="E53" s="236" t="s">
        <v>988</v>
      </c>
      <c r="F53" s="237">
        <v>1.0</v>
      </c>
      <c r="G53" s="237">
        <v>1.0</v>
      </c>
      <c r="H53" s="237">
        <v>0.0</v>
      </c>
      <c r="I53" s="237">
        <v>1.0</v>
      </c>
      <c r="J53" s="237">
        <v>1.0</v>
      </c>
      <c r="K53" s="237">
        <v>0.0</v>
      </c>
      <c r="L53" s="237">
        <v>1.0</v>
      </c>
      <c r="M53" s="237">
        <v>1.0</v>
      </c>
      <c r="N53" s="141" t="str">
        <f>VLOOKUP(A53,BCK_Gestionale!A:C,3,0)</f>
        <v>Darmian</v>
      </c>
      <c r="O53" s="141">
        <f>COUNTIF(BCK_Gestionale!A:A, A53)</f>
        <v>1</v>
      </c>
    </row>
    <row r="54">
      <c r="A54" s="237">
        <v>6887.0</v>
      </c>
      <c r="B54" s="236" t="s">
        <v>480</v>
      </c>
      <c r="C54" s="236" t="s">
        <v>481</v>
      </c>
      <c r="D54" s="236" t="s">
        <v>1325</v>
      </c>
      <c r="E54" s="236" t="s">
        <v>985</v>
      </c>
      <c r="F54" s="237">
        <v>7.0</v>
      </c>
      <c r="G54" s="237">
        <v>7.0</v>
      </c>
      <c r="H54" s="237">
        <v>0.0</v>
      </c>
      <c r="I54" s="237">
        <v>7.0</v>
      </c>
      <c r="J54" s="237">
        <v>7.0</v>
      </c>
      <c r="K54" s="237">
        <v>0.0</v>
      </c>
      <c r="L54" s="237">
        <v>13.0</v>
      </c>
      <c r="M54" s="237">
        <v>13.0</v>
      </c>
      <c r="N54" s="141" t="str">
        <f>VLOOKUP(A54,BCK_Gestionale!A:C,3,0)</f>
        <v>#N/A</v>
      </c>
      <c r="O54" s="141">
        <f>COUNTIF(BCK_Gestionale!A:A, A54)</f>
        <v>0</v>
      </c>
    </row>
    <row r="55">
      <c r="A55" s="237">
        <v>6944.0</v>
      </c>
      <c r="B55" s="236" t="s">
        <v>480</v>
      </c>
      <c r="C55" s="236" t="s">
        <v>1022</v>
      </c>
      <c r="D55" s="236" t="s">
        <v>1541</v>
      </c>
      <c r="E55" s="236" t="s">
        <v>974</v>
      </c>
      <c r="F55" s="237">
        <v>2.0</v>
      </c>
      <c r="G55" s="237">
        <v>2.0</v>
      </c>
      <c r="H55" s="237">
        <v>0.0</v>
      </c>
      <c r="I55" s="237">
        <v>2.0</v>
      </c>
      <c r="J55" s="237">
        <v>2.0</v>
      </c>
      <c r="K55" s="237">
        <v>0.0</v>
      </c>
      <c r="L55" s="237">
        <v>4.0</v>
      </c>
      <c r="M55" s="237">
        <v>5.0</v>
      </c>
      <c r="N55" s="141" t="str">
        <f>VLOOKUP(A55,BCK_Gestionale!A:C,3,0)</f>
        <v>#N/A</v>
      </c>
      <c r="O55" s="141">
        <f>COUNTIF(BCK_Gestionale!A:A, A55)</f>
        <v>0</v>
      </c>
    </row>
    <row r="56">
      <c r="A56" s="237">
        <v>7020.0</v>
      </c>
      <c r="B56" s="236" t="s">
        <v>480</v>
      </c>
      <c r="C56" s="236" t="s">
        <v>521</v>
      </c>
      <c r="D56" s="236" t="s">
        <v>1604</v>
      </c>
      <c r="E56" s="236" t="s">
        <v>988</v>
      </c>
      <c r="F56" s="237">
        <v>4.0</v>
      </c>
      <c r="G56" s="237">
        <v>4.0</v>
      </c>
      <c r="H56" s="237">
        <v>0.0</v>
      </c>
      <c r="I56" s="237">
        <v>3.0</v>
      </c>
      <c r="J56" s="237">
        <v>3.0</v>
      </c>
      <c r="K56" s="237">
        <v>0.0</v>
      </c>
      <c r="L56" s="237">
        <v>7.0</v>
      </c>
      <c r="M56" s="237">
        <v>7.0</v>
      </c>
      <c r="N56" s="141" t="str">
        <f>VLOOKUP(A56,BCK_Gestionale!A:C,3,0)</f>
        <v>#N/A</v>
      </c>
      <c r="O56" s="141">
        <f>COUNTIF(BCK_Gestionale!A:A, A56)</f>
        <v>0</v>
      </c>
    </row>
    <row r="57">
      <c r="A57" s="237">
        <v>7027.0</v>
      </c>
      <c r="B57" s="236" t="s">
        <v>507</v>
      </c>
      <c r="C57" s="236" t="s">
        <v>512</v>
      </c>
      <c r="D57" s="236" t="s">
        <v>1606</v>
      </c>
      <c r="E57" s="236" t="s">
        <v>974</v>
      </c>
      <c r="F57" s="237">
        <v>1.0</v>
      </c>
      <c r="G57" s="237">
        <v>1.0</v>
      </c>
      <c r="H57" s="237">
        <v>0.0</v>
      </c>
      <c r="I57" s="237">
        <v>1.0</v>
      </c>
      <c r="J57" s="237">
        <v>1.0</v>
      </c>
      <c r="K57" s="237">
        <v>0.0</v>
      </c>
      <c r="L57" s="237">
        <v>5.0</v>
      </c>
      <c r="M57" s="237">
        <v>3.0</v>
      </c>
      <c r="N57" s="141" t="str">
        <f>VLOOKUP(A57,BCK_Gestionale!A:C,3,0)</f>
        <v>#N/A</v>
      </c>
      <c r="O57" s="141">
        <f>COUNTIF(BCK_Gestionale!A:A, A57)</f>
        <v>0</v>
      </c>
    </row>
    <row r="58">
      <c r="A58" s="237">
        <v>7134.0</v>
      </c>
      <c r="B58" s="236" t="s">
        <v>507</v>
      </c>
      <c r="C58" s="236" t="s">
        <v>512</v>
      </c>
      <c r="D58" s="236" t="s">
        <v>1607</v>
      </c>
      <c r="E58" s="236" t="s">
        <v>995</v>
      </c>
      <c r="F58" s="237">
        <v>1.0</v>
      </c>
      <c r="G58" s="237">
        <v>1.0</v>
      </c>
      <c r="H58" s="237">
        <v>0.0</v>
      </c>
      <c r="I58" s="237">
        <v>1.0</v>
      </c>
      <c r="J58" s="237">
        <v>1.0</v>
      </c>
      <c r="K58" s="237">
        <v>0.0</v>
      </c>
      <c r="L58" s="237">
        <v>3.0</v>
      </c>
      <c r="M58" s="237">
        <v>2.0</v>
      </c>
      <c r="N58" s="141" t="str">
        <f>VLOOKUP(A58,BCK_Gestionale!A:C,3,0)</f>
        <v>#N/A</v>
      </c>
      <c r="O58" s="141">
        <f>COUNTIF(BCK_Gestionale!A:A, A58)</f>
        <v>0</v>
      </c>
    </row>
    <row r="59">
      <c r="A59" s="237">
        <v>7141.0</v>
      </c>
      <c r="B59" s="236" t="s">
        <v>480</v>
      </c>
      <c r="C59" s="236" t="s">
        <v>937</v>
      </c>
      <c r="D59" s="236" t="s">
        <v>1608</v>
      </c>
      <c r="E59" s="236" t="s">
        <v>977</v>
      </c>
      <c r="F59" s="237">
        <v>2.0</v>
      </c>
      <c r="G59" s="237">
        <v>2.0</v>
      </c>
      <c r="H59" s="237">
        <v>0.0</v>
      </c>
      <c r="I59" s="237">
        <v>2.0</v>
      </c>
      <c r="J59" s="237">
        <v>2.0</v>
      </c>
      <c r="K59" s="237">
        <v>0.0</v>
      </c>
      <c r="L59" s="237">
        <v>3.0</v>
      </c>
      <c r="M59" s="237">
        <v>4.0</v>
      </c>
      <c r="N59" s="141" t="str">
        <f>VLOOKUP(A59,BCK_Gestionale!A:C,3,0)</f>
        <v>#N/A</v>
      </c>
      <c r="O59" s="141">
        <f>COUNTIF(BCK_Gestionale!A:A, A59)</f>
        <v>0</v>
      </c>
    </row>
    <row r="60">
      <c r="A60" s="237">
        <v>7151.0</v>
      </c>
      <c r="B60" s="236" t="s">
        <v>492</v>
      </c>
      <c r="C60" s="236" t="s">
        <v>1057</v>
      </c>
      <c r="D60" s="236" t="s">
        <v>1609</v>
      </c>
      <c r="E60" s="236" t="s">
        <v>977</v>
      </c>
      <c r="F60" s="237">
        <v>1.0</v>
      </c>
      <c r="G60" s="237">
        <v>1.0</v>
      </c>
      <c r="H60" s="237">
        <v>0.0</v>
      </c>
      <c r="I60" s="237">
        <v>1.0</v>
      </c>
      <c r="J60" s="237">
        <v>1.0</v>
      </c>
      <c r="K60" s="237">
        <v>0.0</v>
      </c>
      <c r="L60" s="237">
        <v>1.0</v>
      </c>
      <c r="M60" s="237">
        <v>1.0</v>
      </c>
      <c r="N60" s="141" t="str">
        <f>VLOOKUP(A60,BCK_Gestionale!A:C,3,0)</f>
        <v>#N/A</v>
      </c>
      <c r="O60" s="141">
        <f>COUNTIF(BCK_Gestionale!A:A, A60)</f>
        <v>0</v>
      </c>
    </row>
    <row r="61">
      <c r="A61" s="237">
        <v>7152.0</v>
      </c>
      <c r="B61" s="236" t="s">
        <v>507</v>
      </c>
      <c r="C61" s="236" t="s">
        <v>512</v>
      </c>
      <c r="D61" s="236" t="s">
        <v>1610</v>
      </c>
      <c r="E61" s="236" t="s">
        <v>977</v>
      </c>
      <c r="F61" s="237">
        <v>1.0</v>
      </c>
      <c r="G61" s="237">
        <v>1.0</v>
      </c>
      <c r="H61" s="237">
        <v>0.0</v>
      </c>
      <c r="I61" s="237">
        <v>1.0</v>
      </c>
      <c r="J61" s="237">
        <v>1.0</v>
      </c>
      <c r="K61" s="237">
        <v>0.0</v>
      </c>
      <c r="L61" s="237">
        <v>2.0</v>
      </c>
      <c r="M61" s="237">
        <v>2.0</v>
      </c>
      <c r="N61" s="141" t="str">
        <f>VLOOKUP(A61,BCK_Gestionale!A:C,3,0)</f>
        <v>#N/A</v>
      </c>
      <c r="O61" s="141">
        <f>COUNTIF(BCK_Gestionale!A:A, A61)</f>
        <v>0</v>
      </c>
    </row>
    <row r="62">
      <c r="A62" s="237">
        <v>7153.0</v>
      </c>
      <c r="B62" s="236" t="s">
        <v>507</v>
      </c>
      <c r="C62" s="236" t="s">
        <v>512</v>
      </c>
      <c r="D62" s="236" t="s">
        <v>1611</v>
      </c>
      <c r="E62" s="236" t="s">
        <v>977</v>
      </c>
      <c r="F62" s="237">
        <v>4.0</v>
      </c>
      <c r="G62" s="237">
        <v>4.0</v>
      </c>
      <c r="H62" s="237">
        <v>0.0</v>
      </c>
      <c r="I62" s="237">
        <v>4.0</v>
      </c>
      <c r="J62" s="237">
        <v>4.0</v>
      </c>
      <c r="K62" s="237">
        <v>0.0</v>
      </c>
      <c r="L62" s="237">
        <v>7.0</v>
      </c>
      <c r="M62" s="237">
        <v>7.0</v>
      </c>
      <c r="N62" s="141" t="str">
        <f>VLOOKUP(A62,BCK_Gestionale!A:C,3,0)</f>
        <v>#N/A</v>
      </c>
      <c r="O62" s="141">
        <f>COUNTIF(BCK_Gestionale!A:A, A62)</f>
        <v>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7" t="s">
        <v>1536</v>
      </c>
      <c r="B1" s="257" t="s">
        <v>960</v>
      </c>
      <c r="C1" s="257" t="s">
        <v>961</v>
      </c>
      <c r="D1" s="257" t="s">
        <v>962</v>
      </c>
      <c r="E1" s="257" t="s">
        <v>466</v>
      </c>
      <c r="F1" s="257" t="s">
        <v>467</v>
      </c>
      <c r="G1" s="257" t="s">
        <v>963</v>
      </c>
      <c r="H1" s="257" t="s">
        <v>964</v>
      </c>
      <c r="I1" s="257" t="s">
        <v>965</v>
      </c>
      <c r="J1" s="257" t="s">
        <v>966</v>
      </c>
      <c r="K1" s="257" t="s">
        <v>967</v>
      </c>
      <c r="L1" s="257" t="s">
        <v>968</v>
      </c>
      <c r="M1" s="257" t="s">
        <v>969</v>
      </c>
      <c r="N1" s="257" t="s">
        <v>970</v>
      </c>
    </row>
    <row r="2">
      <c r="A2" s="258">
        <v>45690.0</v>
      </c>
      <c r="B2" s="237">
        <v>2792.0</v>
      </c>
      <c r="C2" s="236" t="s">
        <v>477</v>
      </c>
      <c r="D2" s="236" t="s">
        <v>478</v>
      </c>
      <c r="E2" s="236" t="s">
        <v>939</v>
      </c>
      <c r="F2" s="236" t="s">
        <v>980</v>
      </c>
      <c r="G2" s="237">
        <v>4.0</v>
      </c>
      <c r="H2" s="237">
        <v>3.0</v>
      </c>
      <c r="I2" s="237">
        <v>1.0</v>
      </c>
      <c r="J2" s="237">
        <v>4.0</v>
      </c>
      <c r="K2" s="237">
        <v>3.0</v>
      </c>
      <c r="L2" s="237">
        <v>1.0</v>
      </c>
      <c r="M2" s="237">
        <v>20.0</v>
      </c>
      <c r="N2" s="237">
        <v>20.0</v>
      </c>
    </row>
    <row r="3">
      <c r="B3" s="237">
        <v>3.0</v>
      </c>
      <c r="C3" s="236" t="s">
        <v>477</v>
      </c>
      <c r="D3" s="236" t="s">
        <v>478</v>
      </c>
      <c r="E3" s="236" t="s">
        <v>1157</v>
      </c>
      <c r="F3" s="236" t="s">
        <v>975</v>
      </c>
      <c r="G3" s="237">
        <v>1.0</v>
      </c>
      <c r="H3" s="237">
        <v>1.0</v>
      </c>
      <c r="I3" s="237">
        <v>0.0</v>
      </c>
      <c r="J3" s="237">
        <v>1.0</v>
      </c>
      <c r="K3" s="237">
        <v>1.0</v>
      </c>
      <c r="L3" s="237">
        <v>0.0</v>
      </c>
      <c r="M3" s="237">
        <v>1.0</v>
      </c>
      <c r="N3" s="237">
        <v>1.0</v>
      </c>
    </row>
    <row r="4">
      <c r="B4" s="237">
        <v>6651.0</v>
      </c>
      <c r="C4" s="236" t="s">
        <v>477</v>
      </c>
      <c r="D4" s="236" t="s">
        <v>478</v>
      </c>
      <c r="E4" s="236" t="s">
        <v>1614</v>
      </c>
      <c r="F4" s="236" t="s">
        <v>1222</v>
      </c>
      <c r="G4" s="237">
        <v>1.0</v>
      </c>
      <c r="H4" s="237">
        <v>1.0</v>
      </c>
      <c r="I4" s="237">
        <v>0.0</v>
      </c>
      <c r="J4" s="237">
        <v>1.0</v>
      </c>
      <c r="K4" s="237">
        <v>1.0</v>
      </c>
      <c r="L4" s="237">
        <v>0.0</v>
      </c>
      <c r="M4" s="237">
        <v>1.0</v>
      </c>
      <c r="N4" s="237">
        <v>1.0</v>
      </c>
    </row>
    <row r="5">
      <c r="B5" s="237">
        <v>673.0</v>
      </c>
      <c r="C5" s="236" t="s">
        <v>477</v>
      </c>
      <c r="D5" s="236" t="s">
        <v>478</v>
      </c>
      <c r="E5" s="236" t="s">
        <v>1235</v>
      </c>
      <c r="F5" s="236" t="s">
        <v>1222</v>
      </c>
      <c r="G5" s="237">
        <v>1.0</v>
      </c>
      <c r="H5" s="237">
        <v>1.0</v>
      </c>
      <c r="I5" s="237">
        <v>0.0</v>
      </c>
      <c r="J5" s="237">
        <v>1.0</v>
      </c>
      <c r="K5" s="237">
        <v>1.0</v>
      </c>
      <c r="L5" s="237">
        <v>0.0</v>
      </c>
      <c r="M5" s="237">
        <v>1.0</v>
      </c>
      <c r="N5" s="237">
        <v>1.0</v>
      </c>
    </row>
    <row r="6">
      <c r="B6" s="237">
        <v>6403.0</v>
      </c>
      <c r="C6" s="236" t="s">
        <v>477</v>
      </c>
      <c r="D6" s="236" t="s">
        <v>478</v>
      </c>
      <c r="E6" s="236" t="s">
        <v>1297</v>
      </c>
      <c r="F6" s="236" t="s">
        <v>1033</v>
      </c>
      <c r="G6" s="237">
        <v>1.0</v>
      </c>
      <c r="H6" s="237">
        <v>1.0</v>
      </c>
      <c r="I6" s="237">
        <v>0.0</v>
      </c>
      <c r="J6" s="237">
        <v>1.0</v>
      </c>
      <c r="K6" s="237">
        <v>1.0</v>
      </c>
      <c r="L6" s="237">
        <v>0.0</v>
      </c>
      <c r="M6" s="237">
        <v>1.0</v>
      </c>
      <c r="N6" s="237">
        <v>1.0</v>
      </c>
    </row>
    <row r="7">
      <c r="B7" s="237">
        <v>5853.0</v>
      </c>
      <c r="C7" s="236" t="s">
        <v>477</v>
      </c>
      <c r="D7" s="236" t="s">
        <v>478</v>
      </c>
      <c r="E7" s="236" t="s">
        <v>1504</v>
      </c>
      <c r="F7" s="236" t="s">
        <v>1225</v>
      </c>
      <c r="G7" s="237">
        <v>1.0</v>
      </c>
      <c r="H7" s="237">
        <v>1.0</v>
      </c>
      <c r="I7" s="237">
        <v>0.0</v>
      </c>
      <c r="J7" s="237">
        <v>1.0</v>
      </c>
      <c r="K7" s="237">
        <v>1.0</v>
      </c>
      <c r="L7" s="237">
        <v>0.0</v>
      </c>
      <c r="M7" s="237">
        <v>1.0</v>
      </c>
      <c r="N7" s="237">
        <v>1.0</v>
      </c>
    </row>
    <row r="8">
      <c r="B8" s="237">
        <v>6661.0</v>
      </c>
      <c r="C8" s="236" t="s">
        <v>477</v>
      </c>
      <c r="D8" s="236" t="s">
        <v>478</v>
      </c>
      <c r="E8" s="236" t="s">
        <v>1315</v>
      </c>
      <c r="F8" s="236" t="s">
        <v>985</v>
      </c>
      <c r="G8" s="237">
        <v>1.0</v>
      </c>
      <c r="H8" s="237">
        <v>1.0</v>
      </c>
      <c r="I8" s="237">
        <v>0.0</v>
      </c>
      <c r="J8" s="237">
        <v>1.0</v>
      </c>
      <c r="K8" s="237">
        <v>1.0</v>
      </c>
      <c r="L8" s="237">
        <v>0.0</v>
      </c>
      <c r="M8" s="237">
        <v>1.0</v>
      </c>
      <c r="N8" s="237">
        <v>1.0</v>
      </c>
    </row>
    <row r="9">
      <c r="B9" s="237">
        <v>5338.0</v>
      </c>
      <c r="C9" s="236" t="s">
        <v>477</v>
      </c>
      <c r="D9" s="236" t="s">
        <v>478</v>
      </c>
      <c r="E9" s="236" t="s">
        <v>1160</v>
      </c>
      <c r="F9" s="236" t="s">
        <v>985</v>
      </c>
      <c r="G9" s="237">
        <v>1.0</v>
      </c>
      <c r="H9" s="237">
        <v>1.0</v>
      </c>
      <c r="I9" s="237">
        <v>0.0</v>
      </c>
      <c r="J9" s="237">
        <v>1.0</v>
      </c>
      <c r="K9" s="237">
        <v>1.0</v>
      </c>
      <c r="L9" s="237">
        <v>0.0</v>
      </c>
      <c r="M9" s="237">
        <v>1.0</v>
      </c>
      <c r="N9" s="237">
        <v>1.0</v>
      </c>
    </row>
    <row r="10">
      <c r="B10" s="237">
        <v>5304.0</v>
      </c>
      <c r="C10" s="236" t="s">
        <v>477</v>
      </c>
      <c r="D10" s="236" t="s">
        <v>478</v>
      </c>
      <c r="E10" s="236" t="s">
        <v>1356</v>
      </c>
      <c r="F10" s="236" t="s">
        <v>988</v>
      </c>
      <c r="G10" s="237">
        <v>1.0</v>
      </c>
      <c r="H10" s="237">
        <v>1.0</v>
      </c>
      <c r="I10" s="237">
        <v>0.0</v>
      </c>
      <c r="J10" s="237">
        <v>1.0</v>
      </c>
      <c r="K10" s="237">
        <v>1.0</v>
      </c>
      <c r="L10" s="237">
        <v>0.0</v>
      </c>
      <c r="M10" s="237">
        <v>1.0</v>
      </c>
      <c r="N10" s="237">
        <v>1.0</v>
      </c>
    </row>
    <row r="11">
      <c r="B11" s="237">
        <v>5384.0</v>
      </c>
      <c r="C11" s="236" t="s">
        <v>477</v>
      </c>
      <c r="D11" s="236" t="s">
        <v>478</v>
      </c>
      <c r="E11" s="236" t="s">
        <v>894</v>
      </c>
      <c r="F11" s="236" t="s">
        <v>988</v>
      </c>
      <c r="G11" s="237">
        <v>1.0</v>
      </c>
      <c r="H11" s="237">
        <v>1.0</v>
      </c>
      <c r="I11" s="237">
        <v>0.0</v>
      </c>
      <c r="J11" s="237">
        <v>1.0</v>
      </c>
      <c r="K11" s="237">
        <v>1.0</v>
      </c>
      <c r="L11" s="237">
        <v>0.0</v>
      </c>
      <c r="M11" s="237">
        <v>1.0</v>
      </c>
      <c r="N11" s="237">
        <v>1.0</v>
      </c>
    </row>
    <row r="12">
      <c r="B12" s="237">
        <v>6210.0</v>
      </c>
      <c r="C12" s="236" t="s">
        <v>477</v>
      </c>
      <c r="D12" s="236" t="s">
        <v>478</v>
      </c>
      <c r="E12" s="236" t="s">
        <v>1156</v>
      </c>
      <c r="F12" s="236" t="s">
        <v>972</v>
      </c>
      <c r="G12" s="237">
        <v>1.0</v>
      </c>
      <c r="H12" s="237">
        <v>1.0</v>
      </c>
      <c r="I12" s="237">
        <v>0.0</v>
      </c>
      <c r="J12" s="237">
        <v>1.0</v>
      </c>
      <c r="K12" s="237">
        <v>1.0</v>
      </c>
      <c r="L12" s="237">
        <v>0.0</v>
      </c>
      <c r="M12" s="237">
        <v>1.0</v>
      </c>
      <c r="N12" s="237">
        <v>1.0</v>
      </c>
    </row>
    <row r="13">
      <c r="B13" s="237">
        <v>5521.0</v>
      </c>
      <c r="C13" s="236" t="s">
        <v>477</v>
      </c>
      <c r="D13" s="236" t="s">
        <v>478</v>
      </c>
      <c r="E13" s="236" t="s">
        <v>1278</v>
      </c>
      <c r="F13" s="236" t="s">
        <v>1233</v>
      </c>
      <c r="G13" s="237">
        <v>1.0</v>
      </c>
      <c r="H13" s="237">
        <v>1.0</v>
      </c>
      <c r="I13" s="237">
        <v>0.0</v>
      </c>
      <c r="J13" s="237">
        <v>1.0</v>
      </c>
      <c r="K13" s="237">
        <v>1.0</v>
      </c>
      <c r="L13" s="237">
        <v>0.0</v>
      </c>
      <c r="M13" s="237">
        <v>1.0</v>
      </c>
      <c r="N13" s="237">
        <v>1.0</v>
      </c>
    </row>
    <row r="14">
      <c r="B14" s="237">
        <v>2091.0</v>
      </c>
      <c r="C14" s="236" t="s">
        <v>477</v>
      </c>
      <c r="D14" s="236" t="s">
        <v>478</v>
      </c>
      <c r="E14" s="236" t="s">
        <v>1244</v>
      </c>
      <c r="F14" s="236" t="s">
        <v>1233</v>
      </c>
      <c r="G14" s="237">
        <v>1.0</v>
      </c>
      <c r="H14" s="237">
        <v>1.0</v>
      </c>
      <c r="I14" s="237">
        <v>0.0</v>
      </c>
      <c r="J14" s="237">
        <v>1.0</v>
      </c>
      <c r="K14" s="237">
        <v>1.0</v>
      </c>
      <c r="L14" s="237">
        <v>0.0</v>
      </c>
      <c r="M14" s="237">
        <v>1.0</v>
      </c>
      <c r="N14" s="237">
        <v>1.0</v>
      </c>
    </row>
    <row r="15">
      <c r="B15" s="237">
        <v>6970.0</v>
      </c>
      <c r="C15" s="236" t="s">
        <v>477</v>
      </c>
      <c r="D15" s="236" t="s">
        <v>478</v>
      </c>
      <c r="E15" s="236" t="s">
        <v>1615</v>
      </c>
      <c r="F15" s="236" t="s">
        <v>993</v>
      </c>
      <c r="G15" s="237">
        <v>1.0</v>
      </c>
      <c r="H15" s="237">
        <v>1.0</v>
      </c>
      <c r="I15" s="237">
        <v>0.0</v>
      </c>
      <c r="J15" s="237">
        <v>1.0</v>
      </c>
      <c r="K15" s="237">
        <v>1.0</v>
      </c>
      <c r="L15" s="237">
        <v>0.0</v>
      </c>
      <c r="M15" s="237">
        <v>1.0</v>
      </c>
      <c r="N15" s="237">
        <v>1.0</v>
      </c>
    </row>
    <row r="16">
      <c r="B16" s="237">
        <v>6569.0</v>
      </c>
      <c r="C16" s="236" t="s">
        <v>477</v>
      </c>
      <c r="D16" s="236" t="s">
        <v>478</v>
      </c>
      <c r="E16" s="236" t="s">
        <v>1509</v>
      </c>
      <c r="F16" s="236" t="s">
        <v>1026</v>
      </c>
      <c r="G16" s="237">
        <v>1.0</v>
      </c>
      <c r="H16" s="237">
        <v>1.0</v>
      </c>
      <c r="I16" s="237">
        <v>0.0</v>
      </c>
      <c r="J16" s="237">
        <v>1.0</v>
      </c>
      <c r="K16" s="237">
        <v>1.0</v>
      </c>
      <c r="L16" s="237">
        <v>0.0</v>
      </c>
      <c r="M16" s="237">
        <v>1.0</v>
      </c>
      <c r="N16" s="237">
        <v>1.0</v>
      </c>
    </row>
    <row r="17">
      <c r="B17" s="237">
        <v>6257.0</v>
      </c>
      <c r="C17" s="236" t="s">
        <v>480</v>
      </c>
      <c r="D17" s="236" t="s">
        <v>931</v>
      </c>
      <c r="E17" s="236" t="s">
        <v>893</v>
      </c>
      <c r="F17" s="236" t="s">
        <v>998</v>
      </c>
      <c r="G17" s="237">
        <v>11.0</v>
      </c>
      <c r="H17" s="237">
        <v>8.0</v>
      </c>
      <c r="I17" s="237">
        <v>3.0</v>
      </c>
      <c r="J17" s="237">
        <v>11.0</v>
      </c>
      <c r="K17" s="237">
        <v>8.0</v>
      </c>
      <c r="L17" s="237">
        <v>3.0</v>
      </c>
      <c r="M17" s="237">
        <v>43.0</v>
      </c>
      <c r="N17" s="237">
        <v>43.0</v>
      </c>
    </row>
    <row r="18">
      <c r="B18" s="237">
        <v>5677.0</v>
      </c>
      <c r="C18" s="236" t="s">
        <v>480</v>
      </c>
      <c r="D18" s="236" t="s">
        <v>481</v>
      </c>
      <c r="E18" s="236" t="s">
        <v>1480</v>
      </c>
      <c r="F18" s="236" t="s">
        <v>993</v>
      </c>
      <c r="G18" s="237">
        <v>8.0</v>
      </c>
      <c r="H18" s="237">
        <v>7.0</v>
      </c>
      <c r="I18" s="237">
        <v>1.0</v>
      </c>
      <c r="J18" s="237">
        <v>8.0</v>
      </c>
      <c r="K18" s="237">
        <v>7.0</v>
      </c>
      <c r="L18" s="237">
        <v>1.0</v>
      </c>
      <c r="M18" s="237">
        <v>15.0</v>
      </c>
      <c r="N18" s="237">
        <v>15.0</v>
      </c>
    </row>
    <row r="19">
      <c r="B19" s="237">
        <v>2602.0</v>
      </c>
      <c r="C19" s="236" t="s">
        <v>480</v>
      </c>
      <c r="D19" s="236" t="s">
        <v>481</v>
      </c>
      <c r="E19" s="236" t="s">
        <v>1253</v>
      </c>
      <c r="F19" s="236" t="s">
        <v>974</v>
      </c>
      <c r="G19" s="237">
        <v>7.0</v>
      </c>
      <c r="H19" s="237">
        <v>9.0</v>
      </c>
      <c r="I19" s="237">
        <v>-2.0</v>
      </c>
      <c r="J19" s="237">
        <v>7.0</v>
      </c>
      <c r="K19" s="237">
        <v>9.0</v>
      </c>
      <c r="L19" s="237">
        <v>-2.0</v>
      </c>
      <c r="M19" s="237">
        <v>10.0</v>
      </c>
      <c r="N19" s="237">
        <v>10.0</v>
      </c>
    </row>
    <row r="20">
      <c r="B20" s="237">
        <v>5323.0</v>
      </c>
      <c r="C20" s="236" t="s">
        <v>480</v>
      </c>
      <c r="D20" s="236" t="s">
        <v>481</v>
      </c>
      <c r="E20" s="236" t="s">
        <v>638</v>
      </c>
      <c r="F20" s="236" t="s">
        <v>1033</v>
      </c>
      <c r="G20" s="237">
        <v>7.0</v>
      </c>
      <c r="H20" s="237">
        <v>11.0</v>
      </c>
      <c r="I20" s="237">
        <v>-4.0</v>
      </c>
      <c r="J20" s="237">
        <v>7.0</v>
      </c>
      <c r="K20" s="237">
        <v>11.0</v>
      </c>
      <c r="L20" s="237">
        <v>-4.0</v>
      </c>
      <c r="M20" s="237">
        <v>8.0</v>
      </c>
      <c r="N20" s="237">
        <v>8.0</v>
      </c>
    </row>
    <row r="21">
      <c r="B21" s="237">
        <v>4237.0</v>
      </c>
      <c r="C21" s="236" t="s">
        <v>480</v>
      </c>
      <c r="D21" s="236" t="s">
        <v>1227</v>
      </c>
      <c r="E21" s="236" t="s">
        <v>607</v>
      </c>
      <c r="F21" s="236" t="s">
        <v>976</v>
      </c>
      <c r="G21" s="237">
        <v>7.0</v>
      </c>
      <c r="H21" s="237">
        <v>14.0</v>
      </c>
      <c r="I21" s="237">
        <v>-7.0</v>
      </c>
      <c r="J21" s="237">
        <v>8.0</v>
      </c>
      <c r="K21" s="237">
        <v>16.0</v>
      </c>
      <c r="L21" s="237">
        <v>-8.0</v>
      </c>
      <c r="M21" s="237">
        <v>10.0</v>
      </c>
      <c r="N21" s="237">
        <v>13.0</v>
      </c>
    </row>
    <row r="22">
      <c r="B22" s="237">
        <v>4245.0</v>
      </c>
      <c r="C22" s="236" t="s">
        <v>480</v>
      </c>
      <c r="D22" s="236" t="s">
        <v>481</v>
      </c>
      <c r="E22" s="236" t="s">
        <v>1255</v>
      </c>
      <c r="F22" s="236" t="s">
        <v>988</v>
      </c>
      <c r="G22" s="237">
        <v>7.0</v>
      </c>
      <c r="H22" s="237">
        <v>8.0</v>
      </c>
      <c r="I22" s="237">
        <v>-1.0</v>
      </c>
      <c r="J22" s="237">
        <v>7.0</v>
      </c>
      <c r="K22" s="237">
        <v>8.0</v>
      </c>
      <c r="L22" s="237">
        <v>-1.0</v>
      </c>
      <c r="M22" s="237">
        <v>12.0</v>
      </c>
      <c r="N22" s="237">
        <v>12.0</v>
      </c>
    </row>
    <row r="23">
      <c r="B23" s="237">
        <v>2130.0</v>
      </c>
      <c r="C23" s="236" t="s">
        <v>480</v>
      </c>
      <c r="D23" s="236" t="s">
        <v>521</v>
      </c>
      <c r="E23" s="236" t="s">
        <v>1413</v>
      </c>
      <c r="F23" s="236" t="s">
        <v>980</v>
      </c>
      <c r="G23" s="237">
        <v>6.0</v>
      </c>
      <c r="H23" s="237">
        <v>6.0</v>
      </c>
      <c r="I23" s="237">
        <v>0.0</v>
      </c>
      <c r="J23" s="237">
        <v>5.0</v>
      </c>
      <c r="K23" s="237">
        <v>5.0</v>
      </c>
      <c r="L23" s="237">
        <v>0.0</v>
      </c>
      <c r="M23" s="237">
        <v>11.0</v>
      </c>
      <c r="N23" s="237">
        <v>9.0</v>
      </c>
    </row>
    <row r="24">
      <c r="B24" s="237">
        <v>5867.0</v>
      </c>
      <c r="C24" s="236" t="s">
        <v>480</v>
      </c>
      <c r="D24" s="236" t="s">
        <v>938</v>
      </c>
      <c r="E24" s="236" t="s">
        <v>1403</v>
      </c>
      <c r="F24" s="236" t="s">
        <v>998</v>
      </c>
      <c r="G24" s="237">
        <v>6.0</v>
      </c>
      <c r="H24" s="237">
        <v>6.0</v>
      </c>
      <c r="I24" s="237">
        <v>0.0</v>
      </c>
      <c r="J24" s="237">
        <v>6.0</v>
      </c>
      <c r="K24" s="237">
        <v>6.0</v>
      </c>
      <c r="L24" s="237">
        <v>0.0</v>
      </c>
      <c r="M24" s="237">
        <v>12.0</v>
      </c>
      <c r="N24" s="237">
        <v>12.0</v>
      </c>
    </row>
    <row r="25">
      <c r="B25" s="237">
        <v>294.0</v>
      </c>
      <c r="C25" s="236" t="s">
        <v>480</v>
      </c>
      <c r="D25" s="236" t="s">
        <v>481</v>
      </c>
      <c r="E25" s="236" t="s">
        <v>1166</v>
      </c>
      <c r="F25" s="236" t="s">
        <v>976</v>
      </c>
      <c r="G25" s="237">
        <v>5.0</v>
      </c>
      <c r="H25" s="237">
        <v>5.0</v>
      </c>
      <c r="I25" s="237">
        <v>0.0</v>
      </c>
      <c r="J25" s="237">
        <v>5.0</v>
      </c>
      <c r="K25" s="237">
        <v>5.0</v>
      </c>
      <c r="L25" s="237">
        <v>0.0</v>
      </c>
      <c r="M25" s="237">
        <v>6.0</v>
      </c>
      <c r="N25" s="237">
        <v>6.0</v>
      </c>
    </row>
    <row r="26">
      <c r="B26" s="237">
        <v>5067.0</v>
      </c>
      <c r="C26" s="236" t="s">
        <v>480</v>
      </c>
      <c r="D26" s="236" t="s">
        <v>521</v>
      </c>
      <c r="E26" s="236" t="s">
        <v>1344</v>
      </c>
      <c r="F26" s="236" t="s">
        <v>980</v>
      </c>
      <c r="G26" s="237">
        <v>4.0</v>
      </c>
      <c r="H26" s="237">
        <v>4.0</v>
      </c>
      <c r="I26" s="237">
        <v>0.0</v>
      </c>
      <c r="J26" s="237">
        <v>3.0</v>
      </c>
      <c r="K26" s="237">
        <v>3.0</v>
      </c>
      <c r="L26" s="237">
        <v>0.0</v>
      </c>
      <c r="M26" s="237">
        <v>9.0</v>
      </c>
      <c r="N26" s="237">
        <v>7.0</v>
      </c>
    </row>
    <row r="27">
      <c r="B27" s="237">
        <v>5406.0</v>
      </c>
      <c r="C27" s="236" t="s">
        <v>480</v>
      </c>
      <c r="D27" s="236" t="s">
        <v>938</v>
      </c>
      <c r="E27" s="236" t="s">
        <v>1047</v>
      </c>
      <c r="F27" s="236" t="s">
        <v>975</v>
      </c>
      <c r="G27" s="237">
        <v>4.0</v>
      </c>
      <c r="H27" s="237">
        <v>4.0</v>
      </c>
      <c r="I27" s="237">
        <v>0.0</v>
      </c>
      <c r="J27" s="237">
        <v>4.0</v>
      </c>
      <c r="K27" s="237">
        <v>4.0</v>
      </c>
      <c r="L27" s="237">
        <v>0.0</v>
      </c>
      <c r="M27" s="237">
        <v>4.0</v>
      </c>
      <c r="N27" s="237">
        <v>4.0</v>
      </c>
    </row>
    <row r="28">
      <c r="B28" s="237">
        <v>5450.0</v>
      </c>
      <c r="C28" s="236" t="s">
        <v>480</v>
      </c>
      <c r="D28" s="236" t="s">
        <v>938</v>
      </c>
      <c r="E28" s="236" t="s">
        <v>1616</v>
      </c>
      <c r="F28" s="236" t="s">
        <v>1222</v>
      </c>
      <c r="G28" s="237">
        <v>4.0</v>
      </c>
      <c r="H28" s="237">
        <v>4.0</v>
      </c>
      <c r="I28" s="237">
        <v>0.0</v>
      </c>
      <c r="J28" s="237">
        <v>4.0</v>
      </c>
      <c r="K28" s="237">
        <v>4.0</v>
      </c>
      <c r="L28" s="237">
        <v>0.0</v>
      </c>
      <c r="M28" s="237">
        <v>5.0</v>
      </c>
      <c r="N28" s="237">
        <v>5.0</v>
      </c>
    </row>
    <row r="29">
      <c r="B29" s="237">
        <v>6396.0</v>
      </c>
      <c r="C29" s="236" t="s">
        <v>480</v>
      </c>
      <c r="D29" s="236" t="s">
        <v>481</v>
      </c>
      <c r="E29" s="236" t="s">
        <v>1466</v>
      </c>
      <c r="F29" s="236" t="s">
        <v>987</v>
      </c>
      <c r="G29" s="237">
        <v>4.0</v>
      </c>
      <c r="H29" s="237">
        <v>4.0</v>
      </c>
      <c r="I29" s="237">
        <v>0.0</v>
      </c>
      <c r="J29" s="237">
        <v>4.0</v>
      </c>
      <c r="K29" s="237">
        <v>4.0</v>
      </c>
      <c r="L29" s="237">
        <v>0.0</v>
      </c>
      <c r="M29" s="237">
        <v>6.0</v>
      </c>
      <c r="N29" s="237">
        <v>6.0</v>
      </c>
    </row>
    <row r="30">
      <c r="B30" s="237">
        <v>6256.0</v>
      </c>
      <c r="C30" s="236" t="s">
        <v>480</v>
      </c>
      <c r="D30" s="236" t="s">
        <v>1019</v>
      </c>
      <c r="E30" s="236" t="s">
        <v>1395</v>
      </c>
      <c r="F30" s="236" t="s">
        <v>993</v>
      </c>
      <c r="G30" s="237">
        <v>4.0</v>
      </c>
      <c r="H30" s="237">
        <v>4.0</v>
      </c>
      <c r="I30" s="237">
        <v>0.0</v>
      </c>
      <c r="J30" s="237">
        <v>5.0</v>
      </c>
      <c r="K30" s="237">
        <v>5.0</v>
      </c>
      <c r="L30" s="237">
        <v>0.0</v>
      </c>
      <c r="M30" s="237">
        <v>8.0</v>
      </c>
      <c r="N30" s="237">
        <v>10.0</v>
      </c>
    </row>
    <row r="31">
      <c r="B31" s="237">
        <v>5447.0</v>
      </c>
      <c r="C31" s="236" t="s">
        <v>480</v>
      </c>
      <c r="D31" s="236" t="s">
        <v>481</v>
      </c>
      <c r="E31" s="236" t="s">
        <v>1271</v>
      </c>
      <c r="F31" s="236" t="s">
        <v>1233</v>
      </c>
      <c r="G31" s="237">
        <v>4.0</v>
      </c>
      <c r="H31" s="237">
        <v>3.0</v>
      </c>
      <c r="I31" s="237">
        <v>1.0</v>
      </c>
      <c r="J31" s="237">
        <v>4.0</v>
      </c>
      <c r="K31" s="237">
        <v>3.0</v>
      </c>
      <c r="L31" s="237">
        <v>1.0</v>
      </c>
      <c r="M31" s="237">
        <v>8.0</v>
      </c>
      <c r="N31" s="237">
        <v>8.0</v>
      </c>
    </row>
    <row r="32">
      <c r="B32" s="237">
        <v>6665.0</v>
      </c>
      <c r="C32" s="236" t="s">
        <v>480</v>
      </c>
      <c r="D32" s="236" t="s">
        <v>944</v>
      </c>
      <c r="E32" s="236" t="s">
        <v>690</v>
      </c>
      <c r="F32" s="236" t="s">
        <v>985</v>
      </c>
      <c r="G32" s="237">
        <v>3.0</v>
      </c>
      <c r="H32" s="237">
        <v>2.0</v>
      </c>
      <c r="I32" s="237">
        <v>1.0</v>
      </c>
      <c r="J32" s="237">
        <v>3.0</v>
      </c>
      <c r="K32" s="237">
        <v>2.0</v>
      </c>
      <c r="L32" s="237">
        <v>1.0</v>
      </c>
      <c r="M32" s="237">
        <v>11.0</v>
      </c>
      <c r="N32" s="237">
        <v>13.0</v>
      </c>
    </row>
    <row r="33">
      <c r="B33" s="237">
        <v>5848.0</v>
      </c>
      <c r="C33" s="236" t="s">
        <v>480</v>
      </c>
      <c r="D33" s="236" t="s">
        <v>938</v>
      </c>
      <c r="E33" s="236" t="s">
        <v>941</v>
      </c>
      <c r="F33" s="236" t="s">
        <v>993</v>
      </c>
      <c r="G33" s="237">
        <v>3.0</v>
      </c>
      <c r="H33" s="237">
        <v>3.0</v>
      </c>
      <c r="I33" s="237">
        <v>0.0</v>
      </c>
      <c r="J33" s="237">
        <v>3.0</v>
      </c>
      <c r="K33" s="237">
        <v>3.0</v>
      </c>
      <c r="L33" s="237">
        <v>0.0</v>
      </c>
      <c r="M33" s="237">
        <v>4.0</v>
      </c>
      <c r="N33" s="237">
        <v>4.0</v>
      </c>
    </row>
    <row r="34">
      <c r="B34" s="237">
        <v>2769.0</v>
      </c>
      <c r="C34" s="236" t="s">
        <v>480</v>
      </c>
      <c r="D34" s="236" t="s">
        <v>481</v>
      </c>
      <c r="E34" s="236" t="s">
        <v>895</v>
      </c>
      <c r="F34" s="236" t="s">
        <v>983</v>
      </c>
      <c r="G34" s="237">
        <v>3.0</v>
      </c>
      <c r="H34" s="237">
        <v>3.0</v>
      </c>
      <c r="I34" s="237">
        <v>0.0</v>
      </c>
      <c r="J34" s="237">
        <v>3.0</v>
      </c>
      <c r="K34" s="237">
        <v>3.0</v>
      </c>
      <c r="L34" s="237">
        <v>0.0</v>
      </c>
      <c r="M34" s="237">
        <v>9.0</v>
      </c>
      <c r="N34" s="237">
        <v>9.0</v>
      </c>
    </row>
    <row r="35">
      <c r="B35" s="237">
        <v>1891.0</v>
      </c>
      <c r="C35" s="236" t="s">
        <v>480</v>
      </c>
      <c r="D35" s="236" t="s">
        <v>937</v>
      </c>
      <c r="E35" s="236" t="s">
        <v>1028</v>
      </c>
      <c r="F35" s="236" t="s">
        <v>983</v>
      </c>
      <c r="G35" s="237">
        <v>3.0</v>
      </c>
      <c r="H35" s="237">
        <v>3.0</v>
      </c>
      <c r="I35" s="237">
        <v>0.0</v>
      </c>
      <c r="J35" s="237">
        <v>3.0</v>
      </c>
      <c r="K35" s="237">
        <v>3.0</v>
      </c>
      <c r="L35" s="237">
        <v>0.0</v>
      </c>
      <c r="M35" s="237">
        <v>5.0</v>
      </c>
      <c r="N35" s="237">
        <v>5.0</v>
      </c>
    </row>
    <row r="36">
      <c r="B36" s="237">
        <v>6021.0</v>
      </c>
      <c r="C36" s="236" t="s">
        <v>480</v>
      </c>
      <c r="D36" s="236" t="s">
        <v>937</v>
      </c>
      <c r="E36" s="236" t="s">
        <v>1329</v>
      </c>
      <c r="F36" s="236" t="s">
        <v>993</v>
      </c>
      <c r="G36" s="237">
        <v>3.0</v>
      </c>
      <c r="H36" s="237">
        <v>1.0</v>
      </c>
      <c r="I36" s="237">
        <v>2.0</v>
      </c>
      <c r="J36" s="237">
        <v>3.0</v>
      </c>
      <c r="K36" s="237">
        <v>1.0</v>
      </c>
      <c r="L36" s="237">
        <v>2.0</v>
      </c>
      <c r="M36" s="237">
        <v>5.0</v>
      </c>
      <c r="N36" s="237">
        <v>5.0</v>
      </c>
    </row>
    <row r="37">
      <c r="B37" s="237">
        <v>5324.0</v>
      </c>
      <c r="C37" s="236" t="s">
        <v>480</v>
      </c>
      <c r="D37" s="236" t="s">
        <v>1227</v>
      </c>
      <c r="E37" s="236" t="s">
        <v>689</v>
      </c>
      <c r="F37" s="236" t="s">
        <v>980</v>
      </c>
      <c r="G37" s="237">
        <v>2.0</v>
      </c>
      <c r="H37" s="237">
        <v>7.0</v>
      </c>
      <c r="I37" s="237">
        <v>-5.0</v>
      </c>
      <c r="J37" s="237">
        <v>1.0</v>
      </c>
      <c r="K37" s="237">
        <v>9.0</v>
      </c>
      <c r="L37" s="237">
        <v>-8.0</v>
      </c>
      <c r="M37" s="237">
        <v>4.0</v>
      </c>
      <c r="N37" s="237">
        <v>6.0</v>
      </c>
    </row>
    <row r="38">
      <c r="B38" s="237">
        <v>6464.0</v>
      </c>
      <c r="C38" s="236" t="s">
        <v>480</v>
      </c>
      <c r="D38" s="236" t="s">
        <v>481</v>
      </c>
      <c r="E38" s="236" t="s">
        <v>1299</v>
      </c>
      <c r="F38" s="236" t="s">
        <v>975</v>
      </c>
      <c r="G38" s="237">
        <v>2.0</v>
      </c>
      <c r="H38" s="237">
        <v>3.0</v>
      </c>
      <c r="I38" s="237">
        <v>-1.0</v>
      </c>
      <c r="J38" s="237">
        <v>2.0</v>
      </c>
      <c r="K38" s="237">
        <v>3.0</v>
      </c>
      <c r="L38" s="237">
        <v>-1.0</v>
      </c>
      <c r="M38" s="237">
        <v>4.0</v>
      </c>
      <c r="N38" s="237">
        <v>4.0</v>
      </c>
    </row>
    <row r="39">
      <c r="B39" s="237">
        <v>6438.0</v>
      </c>
      <c r="C39" s="236" t="s">
        <v>480</v>
      </c>
      <c r="D39" s="236" t="s">
        <v>937</v>
      </c>
      <c r="E39" s="236" t="s">
        <v>1298</v>
      </c>
      <c r="F39" s="236" t="s">
        <v>975</v>
      </c>
      <c r="G39" s="237">
        <v>2.0</v>
      </c>
      <c r="H39" s="237">
        <v>3.0</v>
      </c>
      <c r="I39" s="237">
        <v>-1.0</v>
      </c>
      <c r="J39" s="237">
        <v>2.0</v>
      </c>
      <c r="K39" s="237">
        <v>3.0</v>
      </c>
      <c r="L39" s="237">
        <v>-1.0</v>
      </c>
      <c r="M39" s="237">
        <v>4.0</v>
      </c>
      <c r="N39" s="237">
        <v>4.0</v>
      </c>
    </row>
    <row r="40">
      <c r="B40" s="237">
        <v>6231.0</v>
      </c>
      <c r="C40" s="236" t="s">
        <v>480</v>
      </c>
      <c r="D40" s="236" t="s">
        <v>944</v>
      </c>
      <c r="E40" s="236" t="s">
        <v>1294</v>
      </c>
      <c r="F40" s="236" t="s">
        <v>975</v>
      </c>
      <c r="G40" s="237">
        <v>2.0</v>
      </c>
      <c r="H40" s="237">
        <v>4.0</v>
      </c>
      <c r="I40" s="237">
        <v>-2.0</v>
      </c>
      <c r="J40" s="237">
        <v>2.0</v>
      </c>
      <c r="K40" s="237">
        <v>5.0</v>
      </c>
      <c r="L40" s="237">
        <v>-3.0</v>
      </c>
      <c r="M40" s="237">
        <v>5.0</v>
      </c>
      <c r="N40" s="237">
        <v>5.0</v>
      </c>
    </row>
    <row r="41">
      <c r="B41" s="237">
        <v>134.0</v>
      </c>
      <c r="C41" s="236" t="s">
        <v>480</v>
      </c>
      <c r="D41" s="236" t="s">
        <v>1022</v>
      </c>
      <c r="E41" s="236" t="s">
        <v>870</v>
      </c>
      <c r="F41" s="236" t="s">
        <v>974</v>
      </c>
      <c r="G41" s="237">
        <v>2.0</v>
      </c>
      <c r="H41" s="237">
        <v>1.0</v>
      </c>
      <c r="I41" s="237">
        <v>1.0</v>
      </c>
      <c r="J41" s="237">
        <v>2.0</v>
      </c>
      <c r="K41" s="237">
        <v>1.0</v>
      </c>
      <c r="L41" s="237">
        <v>1.0</v>
      </c>
      <c r="M41" s="237">
        <v>5.0</v>
      </c>
      <c r="N41" s="237">
        <v>7.0</v>
      </c>
    </row>
    <row r="42">
      <c r="B42" s="237">
        <v>2737.0</v>
      </c>
      <c r="C42" s="236" t="s">
        <v>480</v>
      </c>
      <c r="D42" s="236" t="s">
        <v>481</v>
      </c>
      <c r="E42" s="236" t="s">
        <v>1350</v>
      </c>
      <c r="F42" s="236" t="s">
        <v>1225</v>
      </c>
      <c r="G42" s="237">
        <v>2.0</v>
      </c>
      <c r="H42" s="237">
        <v>2.0</v>
      </c>
      <c r="I42" s="237">
        <v>0.0</v>
      </c>
      <c r="J42" s="237">
        <v>2.0</v>
      </c>
      <c r="K42" s="237">
        <v>2.0</v>
      </c>
      <c r="L42" s="237">
        <v>0.0</v>
      </c>
      <c r="M42" s="237">
        <v>3.0</v>
      </c>
      <c r="N42" s="237">
        <v>3.0</v>
      </c>
    </row>
    <row r="43">
      <c r="B43" s="237">
        <v>4495.0</v>
      </c>
      <c r="C43" s="236" t="s">
        <v>480</v>
      </c>
      <c r="D43" s="236" t="s">
        <v>481</v>
      </c>
      <c r="E43" s="236" t="s">
        <v>1438</v>
      </c>
      <c r="F43" s="236" t="s">
        <v>988</v>
      </c>
      <c r="G43" s="237">
        <v>2.0</v>
      </c>
      <c r="H43" s="237">
        <v>2.0</v>
      </c>
      <c r="I43" s="237">
        <v>0.0</v>
      </c>
      <c r="J43" s="237">
        <v>2.0</v>
      </c>
      <c r="K43" s="237">
        <v>2.0</v>
      </c>
      <c r="L43" s="237">
        <v>0.0</v>
      </c>
      <c r="M43" s="237">
        <v>2.0</v>
      </c>
      <c r="N43" s="237">
        <v>2.0</v>
      </c>
    </row>
    <row r="44">
      <c r="B44" s="237">
        <v>6679.0</v>
      </c>
      <c r="C44" s="236" t="s">
        <v>480</v>
      </c>
      <c r="D44" s="236" t="s">
        <v>944</v>
      </c>
      <c r="E44" s="236" t="s">
        <v>1617</v>
      </c>
      <c r="F44" s="236" t="s">
        <v>993</v>
      </c>
      <c r="G44" s="237">
        <v>2.0</v>
      </c>
      <c r="H44" s="237">
        <v>2.0</v>
      </c>
      <c r="I44" s="237">
        <v>0.0</v>
      </c>
      <c r="J44" s="237">
        <v>2.0</v>
      </c>
      <c r="K44" s="237">
        <v>2.0</v>
      </c>
      <c r="L44" s="237">
        <v>0.0</v>
      </c>
      <c r="M44" s="237">
        <v>3.0</v>
      </c>
      <c r="N44" s="237">
        <v>3.0</v>
      </c>
    </row>
    <row r="45">
      <c r="B45" s="237">
        <v>4807.0</v>
      </c>
      <c r="C45" s="236" t="s">
        <v>480</v>
      </c>
      <c r="D45" s="236" t="s">
        <v>481</v>
      </c>
      <c r="E45" s="236" t="s">
        <v>1072</v>
      </c>
      <c r="F45" s="236" t="s">
        <v>988</v>
      </c>
      <c r="G45" s="237">
        <v>2.0</v>
      </c>
      <c r="H45" s="237">
        <v>10.0</v>
      </c>
      <c r="I45" s="237">
        <v>-8.0</v>
      </c>
      <c r="J45" s="237">
        <v>2.0</v>
      </c>
      <c r="K45" s="237">
        <v>10.0</v>
      </c>
      <c r="L45" s="237">
        <v>-8.0</v>
      </c>
      <c r="M45" s="237">
        <v>5.0</v>
      </c>
      <c r="N45" s="237">
        <v>5.0</v>
      </c>
    </row>
    <row r="46">
      <c r="B46" s="237">
        <v>6551.0</v>
      </c>
      <c r="C46" s="236" t="s">
        <v>480</v>
      </c>
      <c r="D46" s="236" t="s">
        <v>481</v>
      </c>
      <c r="E46" s="236" t="s">
        <v>1077</v>
      </c>
      <c r="F46" s="236" t="s">
        <v>1009</v>
      </c>
      <c r="G46" s="237">
        <v>1.0</v>
      </c>
      <c r="H46" s="237">
        <v>1.0</v>
      </c>
      <c r="I46" s="237">
        <v>0.0</v>
      </c>
      <c r="J46" s="237">
        <v>1.0</v>
      </c>
      <c r="K46" s="237">
        <v>1.0</v>
      </c>
      <c r="L46" s="237">
        <v>0.0</v>
      </c>
      <c r="M46" s="237">
        <v>1.0</v>
      </c>
      <c r="N46" s="237">
        <v>1.0</v>
      </c>
    </row>
    <row r="47">
      <c r="B47" s="237">
        <v>6407.0</v>
      </c>
      <c r="C47" s="236" t="s">
        <v>480</v>
      </c>
      <c r="D47" s="236" t="s">
        <v>944</v>
      </c>
      <c r="E47" s="236" t="s">
        <v>52</v>
      </c>
      <c r="F47" s="236" t="s">
        <v>1009</v>
      </c>
      <c r="G47" s="237">
        <v>1.0</v>
      </c>
      <c r="H47" s="237">
        <v>1.0</v>
      </c>
      <c r="I47" s="237">
        <v>0.0</v>
      </c>
      <c r="J47" s="237">
        <v>1.0</v>
      </c>
      <c r="K47" s="237">
        <v>1.0</v>
      </c>
      <c r="L47" s="237">
        <v>0.0</v>
      </c>
      <c r="M47" s="237">
        <v>3.0</v>
      </c>
      <c r="N47" s="237">
        <v>3.0</v>
      </c>
    </row>
    <row r="48">
      <c r="B48" s="237">
        <v>6636.0</v>
      </c>
      <c r="C48" s="236" t="s">
        <v>480</v>
      </c>
      <c r="D48" s="236" t="s">
        <v>1022</v>
      </c>
      <c r="E48" s="236" t="s">
        <v>1603</v>
      </c>
      <c r="F48" s="236" t="s">
        <v>975</v>
      </c>
      <c r="G48" s="237">
        <v>1.0</v>
      </c>
      <c r="H48" s="237">
        <v>1.0</v>
      </c>
      <c r="I48" s="237">
        <v>0.0</v>
      </c>
      <c r="J48" s="237">
        <v>1.0</v>
      </c>
      <c r="K48" s="237">
        <v>1.0</v>
      </c>
      <c r="L48" s="237">
        <v>0.0</v>
      </c>
      <c r="M48" s="237">
        <v>1.0</v>
      </c>
      <c r="N48" s="237">
        <v>1.0</v>
      </c>
    </row>
    <row r="49">
      <c r="B49" s="237">
        <v>6637.0</v>
      </c>
      <c r="C49" s="236" t="s">
        <v>480</v>
      </c>
      <c r="D49" s="236" t="s">
        <v>938</v>
      </c>
      <c r="E49" s="236" t="s">
        <v>1310</v>
      </c>
      <c r="F49" s="236" t="s">
        <v>974</v>
      </c>
      <c r="G49" s="237">
        <v>1.0</v>
      </c>
      <c r="H49" s="237">
        <v>1.0</v>
      </c>
      <c r="I49" s="237">
        <v>0.0</v>
      </c>
      <c r="J49" s="237">
        <v>1.0</v>
      </c>
      <c r="K49" s="237">
        <v>1.0</v>
      </c>
      <c r="L49" s="237">
        <v>0.0</v>
      </c>
      <c r="M49" s="237">
        <v>1.0</v>
      </c>
      <c r="N49" s="237">
        <v>1.0</v>
      </c>
    </row>
    <row r="50">
      <c r="B50" s="237">
        <v>4438.0</v>
      </c>
      <c r="C50" s="236" t="s">
        <v>480</v>
      </c>
      <c r="D50" s="236" t="s">
        <v>944</v>
      </c>
      <c r="E50" s="236" t="s">
        <v>1618</v>
      </c>
      <c r="F50" s="236" t="s">
        <v>974</v>
      </c>
      <c r="G50" s="237">
        <v>1.0</v>
      </c>
      <c r="H50" s="237">
        <v>1.0</v>
      </c>
      <c r="I50" s="237">
        <v>0.0</v>
      </c>
      <c r="J50" s="237">
        <v>1.0</v>
      </c>
      <c r="K50" s="237">
        <v>1.0</v>
      </c>
      <c r="L50" s="237">
        <v>0.0</v>
      </c>
      <c r="M50" s="237">
        <v>1.0</v>
      </c>
      <c r="N50" s="237">
        <v>1.0</v>
      </c>
    </row>
    <row r="51">
      <c r="B51" s="237">
        <v>6659.0</v>
      </c>
      <c r="C51" s="236" t="s">
        <v>480</v>
      </c>
      <c r="D51" s="236" t="s">
        <v>481</v>
      </c>
      <c r="E51" s="236" t="s">
        <v>1619</v>
      </c>
      <c r="F51" s="236" t="s">
        <v>1233</v>
      </c>
      <c r="G51" s="237">
        <v>1.0</v>
      </c>
      <c r="H51" s="237">
        <v>1.0</v>
      </c>
      <c r="I51" s="237">
        <v>0.0</v>
      </c>
      <c r="J51" s="237">
        <v>1.0</v>
      </c>
      <c r="K51" s="237">
        <v>1.0</v>
      </c>
      <c r="L51" s="237">
        <v>0.0</v>
      </c>
      <c r="M51" s="237">
        <v>1.0</v>
      </c>
      <c r="N51" s="237">
        <v>1.0</v>
      </c>
    </row>
    <row r="52">
      <c r="B52" s="237">
        <v>6235.0</v>
      </c>
      <c r="C52" s="236" t="s">
        <v>480</v>
      </c>
      <c r="D52" s="236" t="s">
        <v>944</v>
      </c>
      <c r="E52" s="236" t="s">
        <v>640</v>
      </c>
      <c r="F52" s="236" t="s">
        <v>1033</v>
      </c>
      <c r="G52" s="237">
        <v>1.0</v>
      </c>
      <c r="H52" s="237">
        <v>5.0</v>
      </c>
      <c r="I52" s="237">
        <v>-4.0</v>
      </c>
      <c r="J52" s="237">
        <v>1.0</v>
      </c>
      <c r="K52" s="237">
        <v>6.0</v>
      </c>
      <c r="L52" s="237">
        <v>-5.0</v>
      </c>
      <c r="M52" s="237">
        <v>5.0</v>
      </c>
      <c r="N52" s="237">
        <v>7.0</v>
      </c>
    </row>
    <row r="53">
      <c r="B53" s="237">
        <v>5533.0</v>
      </c>
      <c r="C53" s="236" t="s">
        <v>480</v>
      </c>
      <c r="D53" s="236" t="s">
        <v>937</v>
      </c>
      <c r="E53" s="236" t="s">
        <v>1279</v>
      </c>
      <c r="F53" s="236" t="s">
        <v>976</v>
      </c>
      <c r="G53" s="237">
        <v>1.0</v>
      </c>
      <c r="H53" s="237">
        <v>2.0</v>
      </c>
      <c r="I53" s="237">
        <v>-1.0</v>
      </c>
      <c r="J53" s="237">
        <v>2.0</v>
      </c>
      <c r="K53" s="237">
        <v>3.0</v>
      </c>
      <c r="L53" s="237">
        <v>-1.0</v>
      </c>
      <c r="M53" s="237">
        <v>4.0</v>
      </c>
      <c r="N53" s="237">
        <v>5.0</v>
      </c>
    </row>
    <row r="54">
      <c r="B54" s="237">
        <v>142.0</v>
      </c>
      <c r="C54" s="236" t="s">
        <v>480</v>
      </c>
      <c r="D54" s="236" t="s">
        <v>521</v>
      </c>
      <c r="E54" s="236" t="s">
        <v>1223</v>
      </c>
      <c r="F54" s="236" t="s">
        <v>987</v>
      </c>
      <c r="G54" s="237">
        <v>1.0</v>
      </c>
      <c r="H54" s="237">
        <v>3.0</v>
      </c>
      <c r="I54" s="237">
        <v>-2.0</v>
      </c>
      <c r="J54" s="237">
        <v>1.0</v>
      </c>
      <c r="K54" s="237">
        <v>3.0</v>
      </c>
      <c r="L54" s="237">
        <v>-2.0</v>
      </c>
      <c r="M54" s="237">
        <v>4.0</v>
      </c>
      <c r="N54" s="237">
        <v>4.0</v>
      </c>
    </row>
    <row r="55">
      <c r="B55" s="237">
        <v>5994.0</v>
      </c>
      <c r="C55" s="236" t="s">
        <v>480</v>
      </c>
      <c r="D55" s="236" t="s">
        <v>1022</v>
      </c>
      <c r="E55" s="236" t="s">
        <v>1051</v>
      </c>
      <c r="F55" s="236" t="s">
        <v>993</v>
      </c>
      <c r="G55" s="237">
        <v>1.0</v>
      </c>
      <c r="H55" s="237">
        <v>1.0</v>
      </c>
      <c r="I55" s="237">
        <v>0.0</v>
      </c>
      <c r="J55" s="237">
        <v>1.0</v>
      </c>
      <c r="K55" s="237">
        <v>1.0</v>
      </c>
      <c r="L55" s="237">
        <v>0.0</v>
      </c>
      <c r="M55" s="237">
        <v>5.0</v>
      </c>
      <c r="N55" s="237">
        <v>5.0</v>
      </c>
    </row>
    <row r="56">
      <c r="B56" s="237">
        <v>6806.0</v>
      </c>
      <c r="C56" s="236" t="s">
        <v>480</v>
      </c>
      <c r="D56" s="236" t="s">
        <v>954</v>
      </c>
      <c r="E56" s="236" t="s">
        <v>1323</v>
      </c>
      <c r="F56" s="236" t="s">
        <v>998</v>
      </c>
      <c r="G56" s="237">
        <v>1.0</v>
      </c>
      <c r="H56" s="237">
        <v>3.0</v>
      </c>
      <c r="I56" s="237">
        <v>-2.0</v>
      </c>
      <c r="J56" s="237">
        <v>1.0</v>
      </c>
      <c r="K56" s="237">
        <v>5.0</v>
      </c>
      <c r="L56" s="237">
        <v>-4.0</v>
      </c>
      <c r="M56" s="237">
        <v>2.0</v>
      </c>
      <c r="N56" s="237">
        <v>4.0</v>
      </c>
    </row>
    <row r="57">
      <c r="B57" s="237">
        <v>6612.0</v>
      </c>
      <c r="C57" s="236" t="s">
        <v>480</v>
      </c>
      <c r="D57" s="236" t="s">
        <v>937</v>
      </c>
      <c r="E57" s="236" t="s">
        <v>794</v>
      </c>
      <c r="F57" s="236" t="s">
        <v>972</v>
      </c>
      <c r="G57" s="237">
        <v>1.0</v>
      </c>
      <c r="H57" s="237">
        <v>1.0</v>
      </c>
      <c r="I57" s="237">
        <v>0.0</v>
      </c>
      <c r="J57" s="237">
        <v>1.0</v>
      </c>
      <c r="K57" s="237">
        <v>1.0</v>
      </c>
      <c r="L57" s="237">
        <v>0.0</v>
      </c>
      <c r="M57" s="237">
        <v>1.0</v>
      </c>
      <c r="N57" s="237">
        <v>1.0</v>
      </c>
    </row>
    <row r="58">
      <c r="B58" s="237">
        <v>6674.0</v>
      </c>
      <c r="C58" s="236" t="s">
        <v>492</v>
      </c>
      <c r="D58" s="236" t="s">
        <v>930</v>
      </c>
      <c r="E58" s="236" t="s">
        <v>1620</v>
      </c>
      <c r="F58" s="236" t="s">
        <v>1233</v>
      </c>
      <c r="G58" s="237">
        <v>11.0</v>
      </c>
      <c r="H58" s="237">
        <v>2.0</v>
      </c>
      <c r="I58" s="237">
        <v>9.0</v>
      </c>
      <c r="J58" s="237">
        <v>11.0</v>
      </c>
      <c r="K58" s="237">
        <v>2.0</v>
      </c>
      <c r="L58" s="237">
        <v>9.0</v>
      </c>
      <c r="M58" s="237">
        <v>12.0</v>
      </c>
      <c r="N58" s="237">
        <v>14.0</v>
      </c>
    </row>
    <row r="59">
      <c r="B59" s="237">
        <v>4522.0</v>
      </c>
      <c r="C59" s="236" t="s">
        <v>492</v>
      </c>
      <c r="D59" s="236" t="s">
        <v>930</v>
      </c>
      <c r="E59" s="236" t="s">
        <v>1621</v>
      </c>
      <c r="F59" s="236" t="s">
        <v>1033</v>
      </c>
      <c r="G59" s="237">
        <v>8.0</v>
      </c>
      <c r="H59" s="237">
        <v>8.0</v>
      </c>
      <c r="I59" s="237">
        <v>0.0</v>
      </c>
      <c r="J59" s="237">
        <v>8.0</v>
      </c>
      <c r="K59" s="237">
        <v>8.0</v>
      </c>
      <c r="L59" s="237">
        <v>0.0</v>
      </c>
      <c r="M59" s="237">
        <v>15.0</v>
      </c>
      <c r="N59" s="237">
        <v>15.0</v>
      </c>
    </row>
    <row r="60">
      <c r="B60" s="237">
        <v>5492.0</v>
      </c>
      <c r="C60" s="236" t="s">
        <v>492</v>
      </c>
      <c r="D60" s="236" t="s">
        <v>930</v>
      </c>
      <c r="E60" s="236" t="s">
        <v>1622</v>
      </c>
      <c r="F60" s="236" t="s">
        <v>1233</v>
      </c>
      <c r="G60" s="237">
        <v>6.0</v>
      </c>
      <c r="H60" s="237">
        <v>7.0</v>
      </c>
      <c r="I60" s="237">
        <v>-1.0</v>
      </c>
      <c r="J60" s="237">
        <v>7.0</v>
      </c>
      <c r="K60" s="237">
        <v>8.0</v>
      </c>
      <c r="L60" s="237">
        <v>-1.0</v>
      </c>
      <c r="M60" s="237">
        <v>13.0</v>
      </c>
      <c r="N60" s="237">
        <v>15.0</v>
      </c>
    </row>
    <row r="61">
      <c r="B61" s="237">
        <v>2172.0</v>
      </c>
      <c r="C61" s="236" t="s">
        <v>492</v>
      </c>
      <c r="D61" s="236" t="s">
        <v>543</v>
      </c>
      <c r="E61" s="236" t="s">
        <v>946</v>
      </c>
      <c r="F61" s="236" t="s">
        <v>1033</v>
      </c>
      <c r="G61" s="237">
        <v>5.0</v>
      </c>
      <c r="H61" s="237">
        <v>6.0</v>
      </c>
      <c r="I61" s="237">
        <v>-1.0</v>
      </c>
      <c r="J61" s="237">
        <v>5.0</v>
      </c>
      <c r="K61" s="237">
        <v>6.0</v>
      </c>
      <c r="L61" s="237">
        <v>-1.0</v>
      </c>
      <c r="M61" s="237">
        <v>14.0</v>
      </c>
      <c r="N61" s="237">
        <v>12.0</v>
      </c>
    </row>
    <row r="62">
      <c r="B62" s="237">
        <v>4711.0</v>
      </c>
      <c r="C62" s="236" t="s">
        <v>492</v>
      </c>
      <c r="D62" s="236" t="s">
        <v>1089</v>
      </c>
      <c r="E62" s="236" t="s">
        <v>1088</v>
      </c>
      <c r="F62" s="236" t="s">
        <v>976</v>
      </c>
      <c r="G62" s="237">
        <v>3.0</v>
      </c>
      <c r="H62" s="237">
        <v>4.0</v>
      </c>
      <c r="I62" s="237">
        <v>-1.0</v>
      </c>
      <c r="J62" s="237">
        <v>4.0</v>
      </c>
      <c r="K62" s="237">
        <v>5.0</v>
      </c>
      <c r="L62" s="237">
        <v>-1.0</v>
      </c>
      <c r="M62" s="237">
        <v>5.0</v>
      </c>
      <c r="N62" s="237">
        <v>5.0</v>
      </c>
    </row>
    <row r="63">
      <c r="B63" s="237">
        <v>6402.0</v>
      </c>
      <c r="C63" s="236" t="s">
        <v>492</v>
      </c>
      <c r="D63" s="236" t="s">
        <v>930</v>
      </c>
      <c r="E63" s="236" t="s">
        <v>1364</v>
      </c>
      <c r="F63" s="236" t="s">
        <v>987</v>
      </c>
      <c r="G63" s="237">
        <v>3.0</v>
      </c>
      <c r="H63" s="237">
        <v>3.0</v>
      </c>
      <c r="I63" s="237">
        <v>0.0</v>
      </c>
      <c r="J63" s="237">
        <v>3.0</v>
      </c>
      <c r="K63" s="237">
        <v>3.0</v>
      </c>
      <c r="L63" s="237">
        <v>0.0</v>
      </c>
      <c r="M63" s="237">
        <v>8.0</v>
      </c>
      <c r="N63" s="237">
        <v>8.0</v>
      </c>
    </row>
    <row r="64">
      <c r="B64" s="237">
        <v>6299.0</v>
      </c>
      <c r="C64" s="236" t="s">
        <v>492</v>
      </c>
      <c r="D64" s="236" t="s">
        <v>934</v>
      </c>
      <c r="E64" s="236" t="s">
        <v>644</v>
      </c>
      <c r="F64" s="236" t="s">
        <v>988</v>
      </c>
      <c r="G64" s="237">
        <v>3.0</v>
      </c>
      <c r="H64" s="237">
        <v>10.0</v>
      </c>
      <c r="I64" s="237">
        <v>-7.0</v>
      </c>
      <c r="J64" s="237">
        <v>3.0</v>
      </c>
      <c r="K64" s="237">
        <v>10.0</v>
      </c>
      <c r="L64" s="237">
        <v>-7.0</v>
      </c>
      <c r="M64" s="237">
        <v>8.0</v>
      </c>
      <c r="N64" s="237">
        <v>8.0</v>
      </c>
    </row>
    <row r="65">
      <c r="B65" s="237">
        <v>6061.0</v>
      </c>
      <c r="C65" s="236" t="s">
        <v>492</v>
      </c>
      <c r="D65" s="236" t="s">
        <v>1057</v>
      </c>
      <c r="E65" s="236" t="s">
        <v>1290</v>
      </c>
      <c r="F65" s="236" t="s">
        <v>998</v>
      </c>
      <c r="G65" s="237">
        <v>2.0</v>
      </c>
      <c r="H65" s="237">
        <v>7.0</v>
      </c>
      <c r="I65" s="237">
        <v>-5.0</v>
      </c>
      <c r="J65" s="237">
        <v>2.0</v>
      </c>
      <c r="K65" s="237">
        <v>7.0</v>
      </c>
      <c r="L65" s="237">
        <v>-5.0</v>
      </c>
      <c r="M65" s="237">
        <v>8.0</v>
      </c>
      <c r="N65" s="237">
        <v>10.0</v>
      </c>
    </row>
    <row r="66">
      <c r="B66" s="237">
        <v>666.0</v>
      </c>
      <c r="C66" s="236" t="s">
        <v>492</v>
      </c>
      <c r="D66" s="236" t="s">
        <v>492</v>
      </c>
      <c r="E66" s="236" t="s">
        <v>1449</v>
      </c>
      <c r="F66" s="236" t="s">
        <v>1225</v>
      </c>
      <c r="G66" s="237">
        <v>2.0</v>
      </c>
      <c r="H66" s="237">
        <v>2.0</v>
      </c>
      <c r="I66" s="237">
        <v>0.0</v>
      </c>
      <c r="J66" s="237">
        <v>2.0</v>
      </c>
      <c r="K66" s="237">
        <v>2.0</v>
      </c>
      <c r="L66" s="237">
        <v>0.0</v>
      </c>
      <c r="M66" s="237">
        <v>4.0</v>
      </c>
      <c r="N66" s="237">
        <v>3.0</v>
      </c>
    </row>
    <row r="67">
      <c r="B67" s="237">
        <v>6579.0</v>
      </c>
      <c r="C67" s="236" t="s">
        <v>492</v>
      </c>
      <c r="D67" s="236" t="s">
        <v>563</v>
      </c>
      <c r="E67" s="236" t="s">
        <v>1305</v>
      </c>
      <c r="F67" s="236" t="s">
        <v>983</v>
      </c>
      <c r="G67" s="237">
        <v>2.0</v>
      </c>
      <c r="H67" s="237">
        <v>3.0</v>
      </c>
      <c r="I67" s="237">
        <v>-1.0</v>
      </c>
      <c r="J67" s="237">
        <v>2.0</v>
      </c>
      <c r="K67" s="237">
        <v>3.0</v>
      </c>
      <c r="L67" s="237">
        <v>-1.0</v>
      </c>
      <c r="M67" s="237">
        <v>6.0</v>
      </c>
      <c r="N67" s="237">
        <v>5.0</v>
      </c>
    </row>
    <row r="68">
      <c r="B68" s="237">
        <v>6532.0</v>
      </c>
      <c r="C68" s="236" t="s">
        <v>492</v>
      </c>
      <c r="D68" s="236" t="s">
        <v>1089</v>
      </c>
      <c r="E68" s="236" t="s">
        <v>1302</v>
      </c>
      <c r="F68" s="236" t="s">
        <v>973</v>
      </c>
      <c r="G68" s="237">
        <v>2.0</v>
      </c>
      <c r="H68" s="237">
        <v>1.0</v>
      </c>
      <c r="I68" s="237">
        <v>1.0</v>
      </c>
      <c r="J68" s="237">
        <v>2.0</v>
      </c>
      <c r="K68" s="237">
        <v>1.0</v>
      </c>
      <c r="L68" s="237">
        <v>1.0</v>
      </c>
      <c r="M68" s="237">
        <v>7.0</v>
      </c>
      <c r="N68" s="237">
        <v>7.0</v>
      </c>
    </row>
    <row r="69">
      <c r="B69" s="237">
        <v>4886.0</v>
      </c>
      <c r="C69" s="236" t="s">
        <v>492</v>
      </c>
      <c r="D69" s="236" t="s">
        <v>1057</v>
      </c>
      <c r="E69" s="236" t="s">
        <v>1623</v>
      </c>
      <c r="F69" s="236" t="s">
        <v>1026</v>
      </c>
      <c r="G69" s="237">
        <v>2.0</v>
      </c>
      <c r="H69" s="237">
        <v>4.0</v>
      </c>
      <c r="I69" s="237">
        <v>-2.0</v>
      </c>
      <c r="J69" s="237">
        <v>2.0</v>
      </c>
      <c r="K69" s="237">
        <v>4.0</v>
      </c>
      <c r="L69" s="237">
        <v>-2.0</v>
      </c>
      <c r="M69" s="237">
        <v>7.0</v>
      </c>
      <c r="N69" s="237">
        <v>7.0</v>
      </c>
    </row>
    <row r="70">
      <c r="B70" s="237">
        <v>6162.0</v>
      </c>
      <c r="C70" s="236" t="s">
        <v>492</v>
      </c>
      <c r="D70" s="236" t="s">
        <v>930</v>
      </c>
      <c r="E70" s="236" t="s">
        <v>1624</v>
      </c>
      <c r="F70" s="236" t="s">
        <v>974</v>
      </c>
      <c r="G70" s="237">
        <v>1.0</v>
      </c>
      <c r="H70" s="237">
        <v>1.0</v>
      </c>
      <c r="I70" s="237">
        <v>0.0</v>
      </c>
      <c r="J70" s="237">
        <v>1.0</v>
      </c>
      <c r="K70" s="237">
        <v>1.0</v>
      </c>
      <c r="L70" s="237">
        <v>0.0</v>
      </c>
      <c r="M70" s="237">
        <v>2.0</v>
      </c>
      <c r="N70" s="237">
        <v>2.0</v>
      </c>
    </row>
    <row r="71">
      <c r="B71" s="237">
        <v>6655.0</v>
      </c>
      <c r="C71" s="236" t="s">
        <v>492</v>
      </c>
      <c r="D71" s="236" t="s">
        <v>930</v>
      </c>
      <c r="E71" s="236" t="s">
        <v>1625</v>
      </c>
      <c r="F71" s="236" t="s">
        <v>974</v>
      </c>
      <c r="G71" s="237">
        <v>1.0</v>
      </c>
      <c r="H71" s="237">
        <v>1.0</v>
      </c>
      <c r="I71" s="237">
        <v>0.0</v>
      </c>
      <c r="J71" s="237">
        <v>1.0</v>
      </c>
      <c r="K71" s="237">
        <v>1.0</v>
      </c>
      <c r="L71" s="237">
        <v>0.0</v>
      </c>
      <c r="M71" s="237">
        <v>1.0</v>
      </c>
      <c r="N71" s="237">
        <v>1.0</v>
      </c>
    </row>
    <row r="72">
      <c r="B72" s="237">
        <v>6203.0</v>
      </c>
      <c r="C72" s="236" t="s">
        <v>492</v>
      </c>
      <c r="D72" s="236" t="s">
        <v>930</v>
      </c>
      <c r="E72" s="236" t="s">
        <v>1293</v>
      </c>
      <c r="F72" s="236" t="s">
        <v>1222</v>
      </c>
      <c r="G72" s="237">
        <v>1.0</v>
      </c>
      <c r="H72" s="237">
        <v>1.0</v>
      </c>
      <c r="I72" s="237">
        <v>0.0</v>
      </c>
      <c r="J72" s="237">
        <v>1.0</v>
      </c>
      <c r="K72" s="237">
        <v>1.0</v>
      </c>
      <c r="L72" s="237">
        <v>0.0</v>
      </c>
      <c r="M72" s="237">
        <v>1.0</v>
      </c>
      <c r="N72" s="237">
        <v>1.0</v>
      </c>
    </row>
    <row r="73">
      <c r="B73" s="237">
        <v>6009.0</v>
      </c>
      <c r="C73" s="236" t="s">
        <v>492</v>
      </c>
      <c r="D73" s="236" t="s">
        <v>930</v>
      </c>
      <c r="E73" s="236" t="s">
        <v>1626</v>
      </c>
      <c r="F73" s="236" t="s">
        <v>1222</v>
      </c>
      <c r="G73" s="237">
        <v>1.0</v>
      </c>
      <c r="H73" s="237">
        <v>1.0</v>
      </c>
      <c r="I73" s="237">
        <v>0.0</v>
      </c>
      <c r="J73" s="237">
        <v>1.0</v>
      </c>
      <c r="K73" s="237">
        <v>1.0</v>
      </c>
      <c r="L73" s="237">
        <v>0.0</v>
      </c>
      <c r="M73" s="237">
        <v>1.0</v>
      </c>
      <c r="N73" s="237">
        <v>1.0</v>
      </c>
    </row>
    <row r="74">
      <c r="B74" s="237">
        <v>5873.0</v>
      </c>
      <c r="C74" s="236" t="s">
        <v>492</v>
      </c>
      <c r="D74" s="236" t="s">
        <v>563</v>
      </c>
      <c r="E74" s="236" t="s">
        <v>1627</v>
      </c>
      <c r="F74" s="236" t="s">
        <v>998</v>
      </c>
      <c r="G74" s="237">
        <v>1.0</v>
      </c>
      <c r="H74" s="237">
        <v>1.0</v>
      </c>
      <c r="I74" s="237">
        <v>0.0</v>
      </c>
      <c r="J74" s="237">
        <v>1.0</v>
      </c>
      <c r="K74" s="237">
        <v>1.0</v>
      </c>
      <c r="L74" s="237">
        <v>0.0</v>
      </c>
      <c r="M74" s="237">
        <v>1.0</v>
      </c>
      <c r="N74" s="237">
        <v>1.0</v>
      </c>
    </row>
    <row r="75">
      <c r="B75" s="237">
        <v>2357.0</v>
      </c>
      <c r="C75" s="236" t="s">
        <v>492</v>
      </c>
      <c r="D75" s="236" t="s">
        <v>930</v>
      </c>
      <c r="E75" s="236" t="s">
        <v>1251</v>
      </c>
      <c r="F75" s="236" t="s">
        <v>985</v>
      </c>
      <c r="G75" s="237">
        <v>1.0</v>
      </c>
      <c r="H75" s="237">
        <v>2.0</v>
      </c>
      <c r="I75" s="237">
        <v>-1.0</v>
      </c>
      <c r="J75" s="237">
        <v>1.0</v>
      </c>
      <c r="K75" s="237">
        <v>2.0</v>
      </c>
      <c r="L75" s="237">
        <v>-1.0</v>
      </c>
      <c r="M75" s="237">
        <v>2.0</v>
      </c>
      <c r="N75" s="237">
        <v>2.0</v>
      </c>
    </row>
    <row r="76">
      <c r="B76" s="237">
        <v>434.0</v>
      </c>
      <c r="C76" s="236" t="s">
        <v>492</v>
      </c>
      <c r="D76" s="236" t="s">
        <v>930</v>
      </c>
      <c r="E76" s="236" t="s">
        <v>1628</v>
      </c>
      <c r="F76" s="236" t="s">
        <v>1233</v>
      </c>
      <c r="G76" s="237">
        <v>1.0</v>
      </c>
      <c r="H76" s="237">
        <v>1.0</v>
      </c>
      <c r="I76" s="237">
        <v>0.0</v>
      </c>
      <c r="J76" s="237">
        <v>1.0</v>
      </c>
      <c r="K76" s="237">
        <v>1.0</v>
      </c>
      <c r="L76" s="237">
        <v>0.0</v>
      </c>
      <c r="M76" s="237">
        <v>1.0</v>
      </c>
      <c r="N76" s="237">
        <v>1.0</v>
      </c>
    </row>
    <row r="77">
      <c r="B77" s="237">
        <v>6233.0</v>
      </c>
      <c r="C77" s="236" t="s">
        <v>492</v>
      </c>
      <c r="D77" s="236" t="s">
        <v>492</v>
      </c>
      <c r="E77" s="236" t="s">
        <v>1629</v>
      </c>
      <c r="F77" s="236" t="s">
        <v>1233</v>
      </c>
      <c r="G77" s="237">
        <v>1.0</v>
      </c>
      <c r="H77" s="237">
        <v>1.0</v>
      </c>
      <c r="I77" s="237">
        <v>0.0</v>
      </c>
      <c r="J77" s="237">
        <v>1.0</v>
      </c>
      <c r="K77" s="237">
        <v>1.0</v>
      </c>
      <c r="L77" s="237">
        <v>0.0</v>
      </c>
      <c r="M77" s="237">
        <v>1.0</v>
      </c>
      <c r="N77" s="237">
        <v>1.0</v>
      </c>
    </row>
    <row r="78">
      <c r="B78" s="237">
        <v>6048.0</v>
      </c>
      <c r="C78" s="236" t="s">
        <v>492</v>
      </c>
      <c r="D78" s="236" t="s">
        <v>563</v>
      </c>
      <c r="E78" s="236" t="s">
        <v>1289</v>
      </c>
      <c r="F78" s="236" t="s">
        <v>983</v>
      </c>
      <c r="G78" s="237">
        <v>1.0</v>
      </c>
      <c r="H78" s="237">
        <v>3.0</v>
      </c>
      <c r="I78" s="237">
        <v>-2.0</v>
      </c>
      <c r="J78" s="237">
        <v>1.0</v>
      </c>
      <c r="K78" s="237">
        <v>3.0</v>
      </c>
      <c r="L78" s="237">
        <v>-2.0</v>
      </c>
      <c r="M78" s="237">
        <v>5.0</v>
      </c>
      <c r="N78" s="237">
        <v>5.0</v>
      </c>
    </row>
    <row r="79">
      <c r="B79" s="237">
        <v>6897.0</v>
      </c>
      <c r="C79" s="236" t="s">
        <v>492</v>
      </c>
      <c r="D79" s="236" t="s">
        <v>934</v>
      </c>
      <c r="E79" s="236" t="s">
        <v>1630</v>
      </c>
      <c r="F79" s="236" t="s">
        <v>985</v>
      </c>
      <c r="G79" s="237">
        <v>1.0</v>
      </c>
      <c r="H79" s="237">
        <v>1.0</v>
      </c>
      <c r="I79" s="237">
        <v>0.0</v>
      </c>
      <c r="J79" s="237">
        <v>1.0</v>
      </c>
      <c r="K79" s="237">
        <v>1.0</v>
      </c>
      <c r="L79" s="237">
        <v>0.0</v>
      </c>
      <c r="M79" s="237">
        <v>1.0</v>
      </c>
      <c r="N79" s="237">
        <v>1.0</v>
      </c>
    </row>
    <row r="80">
      <c r="B80" s="237">
        <v>4285.0</v>
      </c>
      <c r="C80" s="236" t="s">
        <v>492</v>
      </c>
      <c r="D80" s="236" t="s">
        <v>930</v>
      </c>
      <c r="E80" s="236" t="s">
        <v>1339</v>
      </c>
      <c r="F80" s="236" t="s">
        <v>976</v>
      </c>
      <c r="G80" s="237">
        <v>1.0</v>
      </c>
      <c r="H80" s="237">
        <v>1.0</v>
      </c>
      <c r="I80" s="237">
        <v>0.0</v>
      </c>
      <c r="J80" s="237">
        <v>1.0</v>
      </c>
      <c r="K80" s="237">
        <v>1.0</v>
      </c>
      <c r="L80" s="237">
        <v>0.0</v>
      </c>
      <c r="M80" s="237">
        <v>1.0</v>
      </c>
      <c r="N80" s="237">
        <v>1.0</v>
      </c>
    </row>
    <row r="81">
      <c r="B81" s="237">
        <v>2121.0</v>
      </c>
      <c r="C81" s="236" t="s">
        <v>492</v>
      </c>
      <c r="D81" s="236" t="s">
        <v>934</v>
      </c>
      <c r="E81" s="236" t="s">
        <v>1631</v>
      </c>
      <c r="F81" s="236" t="s">
        <v>1026</v>
      </c>
      <c r="G81" s="237">
        <v>1.0</v>
      </c>
      <c r="H81" s="237">
        <v>1.0</v>
      </c>
      <c r="I81" s="237">
        <v>0.0</v>
      </c>
      <c r="J81" s="237">
        <v>1.0</v>
      </c>
      <c r="K81" s="237">
        <v>1.0</v>
      </c>
      <c r="L81" s="237">
        <v>0.0</v>
      </c>
      <c r="M81" s="237">
        <v>6.0</v>
      </c>
      <c r="N81" s="237">
        <v>6.0</v>
      </c>
    </row>
    <row r="82">
      <c r="B82" s="237">
        <v>4661.0</v>
      </c>
      <c r="C82" s="236" t="s">
        <v>507</v>
      </c>
      <c r="D82" s="236" t="s">
        <v>512</v>
      </c>
      <c r="E82" s="236" t="s">
        <v>950</v>
      </c>
      <c r="F82" s="236" t="s">
        <v>987</v>
      </c>
      <c r="G82" s="237">
        <v>33.0</v>
      </c>
      <c r="H82" s="237">
        <v>35.0</v>
      </c>
      <c r="I82" s="237">
        <v>-2.0</v>
      </c>
      <c r="J82" s="237">
        <v>34.0</v>
      </c>
      <c r="K82" s="237">
        <v>36.0</v>
      </c>
      <c r="L82" s="237">
        <v>-2.0</v>
      </c>
      <c r="M82" s="237">
        <v>155.0</v>
      </c>
      <c r="N82" s="237">
        <v>155.0</v>
      </c>
    </row>
    <row r="83">
      <c r="B83" s="237">
        <v>5839.0</v>
      </c>
      <c r="C83" s="236" t="s">
        <v>507</v>
      </c>
      <c r="D83" s="236" t="s">
        <v>507</v>
      </c>
      <c r="E83" s="236" t="s">
        <v>721</v>
      </c>
      <c r="F83" s="236" t="s">
        <v>987</v>
      </c>
      <c r="G83" s="237">
        <v>26.0</v>
      </c>
      <c r="H83" s="237">
        <v>29.0</v>
      </c>
      <c r="I83" s="237">
        <v>-3.0</v>
      </c>
      <c r="J83" s="237">
        <v>26.0</v>
      </c>
      <c r="K83" s="237">
        <v>30.0</v>
      </c>
      <c r="L83" s="237">
        <v>-4.0</v>
      </c>
      <c r="M83" s="237">
        <v>171.0</v>
      </c>
      <c r="N83" s="237">
        <v>171.0</v>
      </c>
    </row>
    <row r="84">
      <c r="B84" s="237">
        <v>2002.0</v>
      </c>
      <c r="C84" s="236" t="s">
        <v>507</v>
      </c>
      <c r="D84" s="236" t="s">
        <v>507</v>
      </c>
      <c r="E84" s="236" t="s">
        <v>948</v>
      </c>
      <c r="F84" s="236" t="s">
        <v>976</v>
      </c>
      <c r="G84" s="237">
        <v>19.0</v>
      </c>
      <c r="H84" s="237">
        <v>20.0</v>
      </c>
      <c r="I84" s="237">
        <v>-1.0</v>
      </c>
      <c r="J84" s="237">
        <v>19.0</v>
      </c>
      <c r="K84" s="237">
        <v>20.0</v>
      </c>
      <c r="L84" s="237">
        <v>-1.0</v>
      </c>
      <c r="M84" s="237">
        <v>65.0</v>
      </c>
      <c r="N84" s="237">
        <v>65.0</v>
      </c>
    </row>
    <row r="85">
      <c r="B85" s="237">
        <v>6229.0</v>
      </c>
      <c r="C85" s="236" t="s">
        <v>507</v>
      </c>
      <c r="D85" s="236" t="s">
        <v>512</v>
      </c>
      <c r="E85" s="236" t="s">
        <v>951</v>
      </c>
      <c r="F85" s="236" t="s">
        <v>980</v>
      </c>
      <c r="G85" s="237">
        <v>11.0</v>
      </c>
      <c r="H85" s="237">
        <v>11.0</v>
      </c>
      <c r="I85" s="237">
        <v>0.0</v>
      </c>
      <c r="J85" s="237">
        <v>9.0</v>
      </c>
      <c r="K85" s="237">
        <v>9.0</v>
      </c>
      <c r="L85" s="237">
        <v>0.0</v>
      </c>
      <c r="M85" s="237">
        <v>39.0</v>
      </c>
      <c r="N85" s="237">
        <v>35.0</v>
      </c>
    </row>
    <row r="86">
      <c r="B86" s="237">
        <v>6439.0</v>
      </c>
      <c r="C86" s="236" t="s">
        <v>507</v>
      </c>
      <c r="D86" s="236" t="s">
        <v>512</v>
      </c>
      <c r="E86" s="236" t="s">
        <v>1030</v>
      </c>
      <c r="F86" s="236" t="s">
        <v>987</v>
      </c>
      <c r="G86" s="237">
        <v>8.0</v>
      </c>
      <c r="H86" s="237">
        <v>9.0</v>
      </c>
      <c r="I86" s="237">
        <v>-1.0</v>
      </c>
      <c r="J86" s="237">
        <v>7.0</v>
      </c>
      <c r="K86" s="237">
        <v>8.0</v>
      </c>
      <c r="L86" s="237">
        <v>-1.0</v>
      </c>
      <c r="M86" s="237">
        <v>20.0</v>
      </c>
      <c r="N86" s="237">
        <v>20.0</v>
      </c>
    </row>
    <row r="87">
      <c r="B87" s="237">
        <v>5336.0</v>
      </c>
      <c r="C87" s="236" t="s">
        <v>507</v>
      </c>
      <c r="D87" s="236" t="s">
        <v>512</v>
      </c>
      <c r="E87" s="236" t="s">
        <v>388</v>
      </c>
      <c r="F87" s="236" t="s">
        <v>1033</v>
      </c>
      <c r="G87" s="237">
        <v>6.0</v>
      </c>
      <c r="H87" s="237">
        <v>6.0</v>
      </c>
      <c r="I87" s="237">
        <v>0.0</v>
      </c>
      <c r="J87" s="237">
        <v>5.0</v>
      </c>
      <c r="K87" s="237">
        <v>5.0</v>
      </c>
      <c r="L87" s="237">
        <v>0.0</v>
      </c>
      <c r="M87" s="237">
        <v>12.0</v>
      </c>
      <c r="N87" s="237">
        <v>10.0</v>
      </c>
    </row>
    <row r="88">
      <c r="B88" s="237">
        <v>2819.0</v>
      </c>
      <c r="C88" s="236" t="s">
        <v>507</v>
      </c>
      <c r="D88" s="236" t="s">
        <v>512</v>
      </c>
      <c r="E88" s="236" t="s">
        <v>1368</v>
      </c>
      <c r="F88" s="236" t="s">
        <v>1222</v>
      </c>
      <c r="G88" s="237">
        <v>5.0</v>
      </c>
      <c r="H88" s="237">
        <v>5.0</v>
      </c>
      <c r="I88" s="237">
        <v>0.0</v>
      </c>
      <c r="J88" s="237">
        <v>5.0</v>
      </c>
      <c r="K88" s="237">
        <v>5.0</v>
      </c>
      <c r="L88" s="237">
        <v>0.0</v>
      </c>
      <c r="M88" s="237">
        <v>15.0</v>
      </c>
      <c r="N88" s="237">
        <v>13.0</v>
      </c>
    </row>
    <row r="89">
      <c r="B89" s="237">
        <v>1842.0</v>
      </c>
      <c r="C89" s="236" t="s">
        <v>507</v>
      </c>
      <c r="D89" s="236" t="s">
        <v>507</v>
      </c>
      <c r="E89" s="236" t="s">
        <v>1154</v>
      </c>
      <c r="F89" s="236" t="s">
        <v>1233</v>
      </c>
      <c r="G89" s="237">
        <v>4.0</v>
      </c>
      <c r="H89" s="237">
        <v>3.0</v>
      </c>
      <c r="I89" s="237">
        <v>1.0</v>
      </c>
      <c r="J89" s="237">
        <v>4.0</v>
      </c>
      <c r="K89" s="237">
        <v>3.0</v>
      </c>
      <c r="L89" s="237">
        <v>1.0</v>
      </c>
      <c r="M89" s="237">
        <v>8.0</v>
      </c>
      <c r="N89" s="237">
        <v>8.0</v>
      </c>
    </row>
    <row r="90">
      <c r="B90" s="237">
        <v>6558.0</v>
      </c>
      <c r="C90" s="236" t="s">
        <v>507</v>
      </c>
      <c r="D90" s="236" t="s">
        <v>935</v>
      </c>
      <c r="E90" s="236" t="s">
        <v>1515</v>
      </c>
      <c r="F90" s="236" t="s">
        <v>983</v>
      </c>
      <c r="G90" s="237">
        <v>4.0</v>
      </c>
      <c r="H90" s="237">
        <v>4.0</v>
      </c>
      <c r="I90" s="237">
        <v>0.0</v>
      </c>
      <c r="J90" s="237">
        <v>4.0</v>
      </c>
      <c r="K90" s="237">
        <v>4.0</v>
      </c>
      <c r="L90" s="237">
        <v>0.0</v>
      </c>
      <c r="M90" s="237">
        <v>4.0</v>
      </c>
      <c r="N90" s="237">
        <v>5.0</v>
      </c>
    </row>
    <row r="91">
      <c r="B91" s="237">
        <v>6011.0</v>
      </c>
      <c r="C91" s="236" t="s">
        <v>507</v>
      </c>
      <c r="D91" s="236" t="s">
        <v>507</v>
      </c>
      <c r="E91" s="236" t="s">
        <v>1390</v>
      </c>
      <c r="F91" s="236" t="s">
        <v>1222</v>
      </c>
      <c r="G91" s="237">
        <v>4.0</v>
      </c>
      <c r="H91" s="237">
        <v>1.0</v>
      </c>
      <c r="I91" s="237">
        <v>3.0</v>
      </c>
      <c r="J91" s="237">
        <v>4.0</v>
      </c>
      <c r="K91" s="237">
        <v>1.0</v>
      </c>
      <c r="L91" s="237">
        <v>3.0</v>
      </c>
      <c r="M91" s="237">
        <v>6.0</v>
      </c>
      <c r="N91" s="237">
        <v>6.0</v>
      </c>
    </row>
    <row r="92">
      <c r="B92" s="237">
        <v>1939.0</v>
      </c>
      <c r="C92" s="236" t="s">
        <v>507</v>
      </c>
      <c r="D92" s="236" t="s">
        <v>512</v>
      </c>
      <c r="E92" s="236" t="s">
        <v>1238</v>
      </c>
      <c r="F92" s="236" t="s">
        <v>975</v>
      </c>
      <c r="G92" s="237">
        <v>3.0</v>
      </c>
      <c r="H92" s="237">
        <v>9.0</v>
      </c>
      <c r="I92" s="237">
        <v>-6.0</v>
      </c>
      <c r="J92" s="237">
        <v>3.0</v>
      </c>
      <c r="K92" s="237">
        <v>8.0</v>
      </c>
      <c r="L92" s="237">
        <v>-5.0</v>
      </c>
      <c r="M92" s="237">
        <v>9.0</v>
      </c>
      <c r="N92" s="237">
        <v>9.0</v>
      </c>
    </row>
    <row r="93">
      <c r="B93" s="237">
        <v>6395.0</v>
      </c>
      <c r="C93" s="236" t="s">
        <v>507</v>
      </c>
      <c r="D93" s="236" t="s">
        <v>507</v>
      </c>
      <c r="E93" s="236" t="s">
        <v>1499</v>
      </c>
      <c r="F93" s="236" t="s">
        <v>1222</v>
      </c>
      <c r="G93" s="237">
        <v>3.0</v>
      </c>
      <c r="H93" s="237">
        <v>3.0</v>
      </c>
      <c r="I93" s="237">
        <v>0.0</v>
      </c>
      <c r="J93" s="237">
        <v>3.0</v>
      </c>
      <c r="K93" s="237">
        <v>3.0</v>
      </c>
      <c r="L93" s="237">
        <v>0.0</v>
      </c>
      <c r="M93" s="237">
        <v>5.0</v>
      </c>
      <c r="N93" s="237">
        <v>5.0</v>
      </c>
    </row>
    <row r="94">
      <c r="B94" s="237">
        <v>5676.0</v>
      </c>
      <c r="C94" s="236" t="s">
        <v>507</v>
      </c>
      <c r="D94" s="236" t="s">
        <v>507</v>
      </c>
      <c r="E94" s="236" t="s">
        <v>1512</v>
      </c>
      <c r="F94" s="236" t="s">
        <v>993</v>
      </c>
      <c r="G94" s="237">
        <v>3.0</v>
      </c>
      <c r="H94" s="237">
        <v>3.0</v>
      </c>
      <c r="I94" s="237">
        <v>0.0</v>
      </c>
      <c r="J94" s="237">
        <v>3.0</v>
      </c>
      <c r="K94" s="237">
        <v>3.0</v>
      </c>
      <c r="L94" s="237">
        <v>0.0</v>
      </c>
      <c r="M94" s="237">
        <v>3.0</v>
      </c>
      <c r="N94" s="237">
        <v>3.0</v>
      </c>
    </row>
    <row r="95">
      <c r="B95" s="237">
        <v>6668.0</v>
      </c>
      <c r="C95" s="236" t="s">
        <v>507</v>
      </c>
      <c r="D95" s="236" t="s">
        <v>507</v>
      </c>
      <c r="E95" s="236" t="s">
        <v>1632</v>
      </c>
      <c r="F95" s="236" t="s">
        <v>985</v>
      </c>
      <c r="G95" s="237">
        <v>2.0</v>
      </c>
      <c r="H95" s="237">
        <v>2.0</v>
      </c>
      <c r="I95" s="237">
        <v>0.0</v>
      </c>
      <c r="J95" s="237">
        <v>2.0</v>
      </c>
      <c r="K95" s="237">
        <v>2.0</v>
      </c>
      <c r="L95" s="237">
        <v>0.0</v>
      </c>
      <c r="M95" s="237">
        <v>2.0</v>
      </c>
      <c r="N95" s="237">
        <v>2.0</v>
      </c>
    </row>
    <row r="96">
      <c r="B96" s="237">
        <v>306.0</v>
      </c>
      <c r="C96" s="236" t="s">
        <v>507</v>
      </c>
      <c r="D96" s="236" t="s">
        <v>512</v>
      </c>
      <c r="E96" s="236" t="s">
        <v>1228</v>
      </c>
      <c r="F96" s="236" t="s">
        <v>974</v>
      </c>
      <c r="G96" s="237">
        <v>2.0</v>
      </c>
      <c r="H96" s="237">
        <v>1.0</v>
      </c>
      <c r="I96" s="237">
        <v>1.0</v>
      </c>
      <c r="J96" s="237">
        <v>2.0</v>
      </c>
      <c r="K96" s="237">
        <v>1.0</v>
      </c>
      <c r="L96" s="237">
        <v>1.0</v>
      </c>
      <c r="M96" s="237">
        <v>3.0</v>
      </c>
      <c r="N96" s="237">
        <v>3.0</v>
      </c>
    </row>
    <row r="97">
      <c r="B97" s="237">
        <v>6648.0</v>
      </c>
      <c r="C97" s="236" t="s">
        <v>507</v>
      </c>
      <c r="D97" s="236" t="s">
        <v>935</v>
      </c>
      <c r="E97" s="236" t="s">
        <v>162</v>
      </c>
      <c r="F97" s="236" t="s">
        <v>974</v>
      </c>
      <c r="G97" s="237">
        <v>1.0</v>
      </c>
      <c r="H97" s="237">
        <v>1.0</v>
      </c>
      <c r="I97" s="237">
        <v>0.0</v>
      </c>
      <c r="J97" s="237">
        <v>1.0</v>
      </c>
      <c r="K97" s="237">
        <v>1.0</v>
      </c>
      <c r="L97" s="237">
        <v>0.0</v>
      </c>
      <c r="M97" s="237">
        <v>1.0</v>
      </c>
      <c r="N97" s="237">
        <v>1.0</v>
      </c>
    </row>
    <row r="98">
      <c r="B98" s="237">
        <v>6658.0</v>
      </c>
      <c r="C98" s="236" t="s">
        <v>507</v>
      </c>
      <c r="D98" s="236" t="s">
        <v>512</v>
      </c>
      <c r="E98" s="236" t="s">
        <v>1633</v>
      </c>
      <c r="F98" s="236" t="s">
        <v>974</v>
      </c>
      <c r="G98" s="237">
        <v>1.0</v>
      </c>
      <c r="H98" s="237">
        <v>1.0</v>
      </c>
      <c r="I98" s="237">
        <v>0.0</v>
      </c>
      <c r="J98" s="237">
        <v>1.0</v>
      </c>
      <c r="K98" s="237">
        <v>1.0</v>
      </c>
      <c r="L98" s="237">
        <v>0.0</v>
      </c>
      <c r="M98" s="237">
        <v>1.0</v>
      </c>
      <c r="N98" s="237">
        <v>1.0</v>
      </c>
    </row>
    <row r="99">
      <c r="B99" s="237">
        <v>6565.0</v>
      </c>
      <c r="C99" s="236" t="s">
        <v>507</v>
      </c>
      <c r="D99" s="236" t="s">
        <v>512</v>
      </c>
      <c r="E99" s="236" t="s">
        <v>1304</v>
      </c>
      <c r="F99" s="236" t="s">
        <v>1026</v>
      </c>
      <c r="G99" s="237">
        <v>1.0</v>
      </c>
      <c r="H99" s="237">
        <v>1.0</v>
      </c>
      <c r="I99" s="237">
        <v>0.0</v>
      </c>
      <c r="J99" s="237">
        <v>1.0</v>
      </c>
      <c r="K99" s="237">
        <v>1.0</v>
      </c>
      <c r="L99" s="237">
        <v>0.0</v>
      </c>
      <c r="M99" s="237">
        <v>2.0</v>
      </c>
      <c r="N99" s="237">
        <v>2.0</v>
      </c>
    </row>
    <row r="100">
      <c r="B100" s="237">
        <v>6603.0</v>
      </c>
      <c r="C100" s="236" t="s">
        <v>507</v>
      </c>
      <c r="D100" s="236" t="s">
        <v>507</v>
      </c>
      <c r="E100" s="236" t="s">
        <v>1308</v>
      </c>
      <c r="F100" s="236" t="s">
        <v>988</v>
      </c>
      <c r="G100" s="237">
        <v>1.0</v>
      </c>
      <c r="H100" s="237">
        <v>1.0</v>
      </c>
      <c r="I100" s="237">
        <v>0.0</v>
      </c>
      <c r="J100" s="237">
        <v>1.0</v>
      </c>
      <c r="K100" s="237">
        <v>1.0</v>
      </c>
      <c r="L100" s="237">
        <v>0.0</v>
      </c>
      <c r="M100" s="237">
        <v>1.0</v>
      </c>
      <c r="N100" s="237">
        <v>1.0</v>
      </c>
    </row>
    <row r="101">
      <c r="B101" s="237">
        <v>5436.0</v>
      </c>
      <c r="C101" s="236" t="s">
        <v>507</v>
      </c>
      <c r="D101" s="236" t="s">
        <v>512</v>
      </c>
      <c r="E101" s="236" t="s">
        <v>1270</v>
      </c>
      <c r="F101" s="236" t="s">
        <v>1233</v>
      </c>
      <c r="G101" s="237">
        <v>1.0</v>
      </c>
      <c r="H101" s="237">
        <v>1.0</v>
      </c>
      <c r="I101" s="237">
        <v>0.0</v>
      </c>
      <c r="J101" s="237">
        <v>1.0</v>
      </c>
      <c r="K101" s="237">
        <v>1.0</v>
      </c>
      <c r="L101" s="237">
        <v>0.0</v>
      </c>
      <c r="M101" s="237">
        <v>4.0</v>
      </c>
      <c r="N101" s="237">
        <v>4.0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960</v>
      </c>
      <c r="B1" s="1" t="s">
        <v>961</v>
      </c>
      <c r="C1" s="1" t="s">
        <v>962</v>
      </c>
      <c r="D1" s="1" t="s">
        <v>466</v>
      </c>
      <c r="E1" s="1" t="s">
        <v>467</v>
      </c>
      <c r="F1" s="1" t="s">
        <v>963</v>
      </c>
      <c r="G1" s="1" t="s">
        <v>964</v>
      </c>
      <c r="H1" s="1" t="s">
        <v>965</v>
      </c>
      <c r="I1" s="1" t="s">
        <v>966</v>
      </c>
      <c r="J1" s="1" t="s">
        <v>967</v>
      </c>
      <c r="K1" s="1" t="s">
        <v>968</v>
      </c>
      <c r="L1" s="1" t="s">
        <v>969</v>
      </c>
      <c r="M1" s="1" t="s">
        <v>1634</v>
      </c>
      <c r="N1" s="1" t="s">
        <v>1635</v>
      </c>
      <c r="O1" s="1" t="s">
        <v>1636</v>
      </c>
      <c r="P1" s="1" t="s">
        <v>1637</v>
      </c>
      <c r="Q1" s="1" t="s">
        <v>1638</v>
      </c>
    </row>
    <row r="2">
      <c r="A2" s="1">
        <v>4.0</v>
      </c>
      <c r="B2" s="1" t="s">
        <v>477</v>
      </c>
      <c r="C2" s="1" t="s">
        <v>478</v>
      </c>
      <c r="D2" s="1" t="s">
        <v>760</v>
      </c>
      <c r="E2" s="1" t="s">
        <v>991</v>
      </c>
      <c r="F2" s="1">
        <v>2.0</v>
      </c>
      <c r="G2" s="1">
        <v>1.0</v>
      </c>
      <c r="H2" s="1">
        <v>1.0</v>
      </c>
      <c r="I2" s="1">
        <v>2.0</v>
      </c>
      <c r="J2" s="1">
        <v>1.0</v>
      </c>
      <c r="K2" s="1">
        <v>1.0</v>
      </c>
      <c r="L2" s="1">
        <v>1.0</v>
      </c>
      <c r="M2" s="1">
        <v>1.0</v>
      </c>
      <c r="N2" s="1">
        <v>1.0</v>
      </c>
      <c r="O2" s="1">
        <v>2.0</v>
      </c>
      <c r="P2" s="1">
        <v>1.0</v>
      </c>
      <c r="Q2" s="1">
        <v>1.0</v>
      </c>
    </row>
    <row r="3">
      <c r="A3" s="1">
        <v>22.0</v>
      </c>
      <c r="B3" s="1" t="s">
        <v>492</v>
      </c>
      <c r="C3" s="1" t="s">
        <v>930</v>
      </c>
      <c r="D3" s="1" t="s">
        <v>748</v>
      </c>
      <c r="E3" s="1" t="s">
        <v>980</v>
      </c>
      <c r="F3" s="1">
        <v>16.0</v>
      </c>
      <c r="G3" s="1">
        <v>8.0</v>
      </c>
      <c r="H3" s="1">
        <v>8.0</v>
      </c>
      <c r="I3" s="1">
        <v>16.0</v>
      </c>
      <c r="J3" s="1">
        <v>9.0</v>
      </c>
      <c r="K3" s="1">
        <v>7.0</v>
      </c>
      <c r="L3" s="1">
        <v>43.0</v>
      </c>
      <c r="M3" s="1">
        <v>53.0</v>
      </c>
      <c r="N3" s="1">
        <v>18.0</v>
      </c>
      <c r="O3" s="1">
        <v>33.0</v>
      </c>
      <c r="P3" s="1">
        <v>22.0</v>
      </c>
      <c r="Q3" s="1">
        <v>32.0</v>
      </c>
    </row>
    <row r="4">
      <c r="A4" s="1">
        <v>27.0</v>
      </c>
      <c r="B4" s="1" t="s">
        <v>492</v>
      </c>
      <c r="C4" s="1" t="s">
        <v>930</v>
      </c>
      <c r="D4" s="1" t="s">
        <v>1068</v>
      </c>
      <c r="E4" s="1" t="s">
        <v>1222</v>
      </c>
      <c r="F4" s="1">
        <v>6.0</v>
      </c>
      <c r="G4" s="1">
        <v>3.0</v>
      </c>
      <c r="H4" s="1">
        <v>3.0</v>
      </c>
      <c r="I4" s="1">
        <v>6.0</v>
      </c>
      <c r="J4" s="1">
        <v>4.0</v>
      </c>
      <c r="K4" s="1">
        <v>2.0</v>
      </c>
      <c r="L4" s="1">
        <v>12.0</v>
      </c>
      <c r="M4" s="1">
        <v>15.0</v>
      </c>
      <c r="N4" s="1">
        <v>5.0</v>
      </c>
      <c r="O4" s="1">
        <v>8.0</v>
      </c>
      <c r="P4" s="1">
        <v>8.0</v>
      </c>
      <c r="Q4" s="1">
        <v>9.0</v>
      </c>
    </row>
    <row r="5">
      <c r="A5" s="1">
        <v>49.0</v>
      </c>
      <c r="B5" s="1" t="s">
        <v>480</v>
      </c>
      <c r="C5" s="1" t="s">
        <v>979</v>
      </c>
      <c r="D5" s="1" t="s">
        <v>623</v>
      </c>
      <c r="E5" s="1" t="s">
        <v>972</v>
      </c>
      <c r="F5" s="1">
        <v>8.0</v>
      </c>
      <c r="G5" s="1">
        <v>6.0</v>
      </c>
      <c r="H5" s="1">
        <v>2.0</v>
      </c>
      <c r="I5" s="1">
        <v>8.0</v>
      </c>
      <c r="J5" s="1">
        <v>7.0</v>
      </c>
      <c r="K5" s="1">
        <v>1.0</v>
      </c>
      <c r="L5" s="1">
        <v>12.0</v>
      </c>
      <c r="M5" s="1">
        <v>15.0</v>
      </c>
      <c r="N5" s="1">
        <v>14.0</v>
      </c>
      <c r="O5" s="1">
        <v>14.0</v>
      </c>
      <c r="P5" s="1">
        <v>8.0</v>
      </c>
      <c r="Q5" s="1">
        <v>14.0</v>
      </c>
    </row>
    <row r="6">
      <c r="A6" s="1">
        <v>133.0</v>
      </c>
      <c r="B6" s="1" t="s">
        <v>477</v>
      </c>
      <c r="C6" s="1" t="s">
        <v>478</v>
      </c>
      <c r="D6" s="1" t="s">
        <v>604</v>
      </c>
      <c r="E6" s="1" t="s">
        <v>1009</v>
      </c>
      <c r="F6" s="1">
        <v>13.0</v>
      </c>
      <c r="G6" s="1">
        <v>11.0</v>
      </c>
      <c r="H6" s="1">
        <v>2.0</v>
      </c>
      <c r="I6" s="1">
        <v>13.0</v>
      </c>
      <c r="J6" s="1">
        <v>11.0</v>
      </c>
      <c r="K6" s="1">
        <v>2.0</v>
      </c>
      <c r="L6" s="1">
        <v>40.0</v>
      </c>
      <c r="M6" s="1">
        <v>40.0</v>
      </c>
      <c r="N6" s="1">
        <v>53.0</v>
      </c>
      <c r="O6" s="1">
        <v>65.0</v>
      </c>
      <c r="P6" s="1">
        <v>32.0</v>
      </c>
      <c r="Q6" s="1">
        <v>44.0</v>
      </c>
    </row>
    <row r="7">
      <c r="A7" s="1">
        <v>140.0</v>
      </c>
      <c r="B7" s="1" t="s">
        <v>480</v>
      </c>
      <c r="C7" s="1" t="s">
        <v>944</v>
      </c>
      <c r="D7" s="1" t="s">
        <v>1075</v>
      </c>
      <c r="E7" s="1" t="s">
        <v>1000</v>
      </c>
      <c r="F7" s="1">
        <v>5.0</v>
      </c>
      <c r="G7" s="1">
        <v>4.0</v>
      </c>
      <c r="H7" s="1">
        <v>1.0</v>
      </c>
      <c r="I7" s="1">
        <v>5.0</v>
      </c>
      <c r="J7" s="1">
        <v>5.0</v>
      </c>
      <c r="K7" s="1">
        <v>0.0</v>
      </c>
      <c r="L7" s="1">
        <v>6.0</v>
      </c>
      <c r="M7" s="1">
        <v>8.0</v>
      </c>
      <c r="N7" s="1">
        <v>8.0</v>
      </c>
      <c r="O7" s="1">
        <v>20.0</v>
      </c>
      <c r="P7" s="1">
        <v>18.0</v>
      </c>
      <c r="Q7" s="1">
        <v>8.0</v>
      </c>
    </row>
    <row r="8">
      <c r="A8" s="1">
        <v>152.0</v>
      </c>
      <c r="B8" s="1" t="s">
        <v>492</v>
      </c>
      <c r="C8" s="1" t="s">
        <v>934</v>
      </c>
      <c r="D8" s="1" t="s">
        <v>225</v>
      </c>
      <c r="E8" s="1" t="s">
        <v>973</v>
      </c>
      <c r="F8" s="1">
        <v>9.0</v>
      </c>
      <c r="G8" s="1">
        <v>11.0</v>
      </c>
      <c r="H8" s="1">
        <v>-2.0</v>
      </c>
      <c r="I8" s="1">
        <v>9.0</v>
      </c>
      <c r="J8" s="1">
        <v>11.0</v>
      </c>
      <c r="K8" s="1">
        <v>-2.0</v>
      </c>
      <c r="L8" s="1">
        <v>16.0</v>
      </c>
      <c r="M8" s="1">
        <v>16.0</v>
      </c>
      <c r="N8" s="1">
        <v>26.0</v>
      </c>
      <c r="O8" s="1">
        <v>30.0</v>
      </c>
      <c r="P8" s="1">
        <v>78.0</v>
      </c>
      <c r="Q8" s="1">
        <v>20.0</v>
      </c>
    </row>
    <row r="9">
      <c r="A9" s="1">
        <v>170.0</v>
      </c>
      <c r="B9" s="1" t="s">
        <v>492</v>
      </c>
      <c r="C9" s="1" t="s">
        <v>930</v>
      </c>
      <c r="D9" s="1" t="s">
        <v>832</v>
      </c>
      <c r="E9" s="1" t="s">
        <v>1026</v>
      </c>
      <c r="F9" s="1">
        <v>6.0</v>
      </c>
      <c r="G9" s="1">
        <v>6.0</v>
      </c>
      <c r="H9" s="1">
        <v>0.0</v>
      </c>
      <c r="I9" s="1">
        <v>6.0</v>
      </c>
      <c r="J9" s="1">
        <v>6.0</v>
      </c>
      <c r="K9" s="1">
        <v>0.0</v>
      </c>
      <c r="L9" s="1">
        <v>13.0</v>
      </c>
      <c r="M9" s="1">
        <v>18.0</v>
      </c>
      <c r="N9" s="1">
        <v>10.0</v>
      </c>
      <c r="O9" s="1">
        <v>28.0</v>
      </c>
      <c r="P9" s="1">
        <v>8.0</v>
      </c>
      <c r="Q9" s="1">
        <v>13.0</v>
      </c>
    </row>
    <row r="10">
      <c r="A10" s="1">
        <v>181.0</v>
      </c>
      <c r="B10" s="1" t="s">
        <v>492</v>
      </c>
      <c r="C10" s="1" t="s">
        <v>930</v>
      </c>
      <c r="D10" s="1" t="s">
        <v>771</v>
      </c>
      <c r="E10" s="1" t="s">
        <v>1000</v>
      </c>
      <c r="F10" s="1">
        <v>11.0</v>
      </c>
      <c r="G10" s="1">
        <v>7.0</v>
      </c>
      <c r="H10" s="1">
        <v>4.0</v>
      </c>
      <c r="I10" s="1">
        <v>11.0</v>
      </c>
      <c r="J10" s="1">
        <v>8.0</v>
      </c>
      <c r="K10" s="1">
        <v>3.0</v>
      </c>
      <c r="L10" s="1">
        <v>11.0</v>
      </c>
      <c r="M10" s="1">
        <v>14.0</v>
      </c>
      <c r="N10" s="1">
        <v>18.0</v>
      </c>
      <c r="O10" s="1">
        <v>30.0</v>
      </c>
      <c r="P10" s="1">
        <v>8.0</v>
      </c>
      <c r="Q10" s="1">
        <v>15.0</v>
      </c>
    </row>
    <row r="11">
      <c r="A11" s="1">
        <v>186.0</v>
      </c>
      <c r="B11" s="1" t="s">
        <v>507</v>
      </c>
      <c r="C11" s="1" t="s">
        <v>507</v>
      </c>
      <c r="D11" s="1" t="s">
        <v>797</v>
      </c>
      <c r="E11" s="1" t="s">
        <v>998</v>
      </c>
      <c r="F11" s="1">
        <v>5.0</v>
      </c>
      <c r="G11" s="1">
        <v>4.0</v>
      </c>
      <c r="H11" s="1">
        <v>1.0</v>
      </c>
      <c r="I11" s="1">
        <v>5.0</v>
      </c>
      <c r="J11" s="1">
        <v>4.0</v>
      </c>
      <c r="K11" s="1">
        <v>1.0</v>
      </c>
      <c r="L11" s="1">
        <v>8.0</v>
      </c>
      <c r="M11" s="1">
        <v>8.0</v>
      </c>
      <c r="N11" s="1">
        <v>7.0</v>
      </c>
      <c r="O11" s="1" t="e">
        <v>#N/A</v>
      </c>
      <c r="P11" s="1" t="e">
        <v>#N/A</v>
      </c>
      <c r="Q11" s="1">
        <v>7.0</v>
      </c>
    </row>
    <row r="12">
      <c r="A12" s="1">
        <v>188.0</v>
      </c>
      <c r="B12" s="1" t="s">
        <v>477</v>
      </c>
      <c r="C12" s="1" t="s">
        <v>478</v>
      </c>
      <c r="D12" s="1" t="s">
        <v>765</v>
      </c>
      <c r="E12" s="1" t="s">
        <v>1026</v>
      </c>
      <c r="F12" s="1">
        <v>13.0</v>
      </c>
      <c r="G12" s="1">
        <v>1.0</v>
      </c>
      <c r="H12" s="1">
        <v>12.0</v>
      </c>
      <c r="I12" s="1">
        <v>13.0</v>
      </c>
      <c r="J12" s="1">
        <v>1.0</v>
      </c>
      <c r="K12" s="1">
        <v>12.0</v>
      </c>
      <c r="L12" s="1">
        <v>30.0</v>
      </c>
      <c r="M12" s="1">
        <v>30.0</v>
      </c>
      <c r="N12" s="1">
        <v>1.0</v>
      </c>
      <c r="O12" s="1">
        <v>1.0</v>
      </c>
      <c r="P12" s="1">
        <v>1.0</v>
      </c>
      <c r="Q12" s="1">
        <v>14.0</v>
      </c>
    </row>
    <row r="13">
      <c r="A13" s="1">
        <v>216.0</v>
      </c>
      <c r="B13" s="1" t="s">
        <v>477</v>
      </c>
      <c r="C13" s="1" t="s">
        <v>478</v>
      </c>
      <c r="D13" s="1" t="s">
        <v>1224</v>
      </c>
      <c r="E13" s="1" t="s">
        <v>972</v>
      </c>
      <c r="F13" s="1">
        <v>1.0</v>
      </c>
      <c r="G13" s="1">
        <v>1.0</v>
      </c>
      <c r="H13" s="1">
        <v>0.0</v>
      </c>
      <c r="I13" s="1">
        <v>1.0</v>
      </c>
      <c r="J13" s="1">
        <v>1.0</v>
      </c>
      <c r="K13" s="1">
        <v>0.0</v>
      </c>
      <c r="L13" s="1">
        <v>1.0</v>
      </c>
      <c r="M13" s="1">
        <v>1.0</v>
      </c>
      <c r="N13" s="1">
        <v>1.0</v>
      </c>
      <c r="O13" s="1" t="e">
        <v>#N/A</v>
      </c>
      <c r="P13" s="1" t="e">
        <v>#N/A</v>
      </c>
      <c r="Q13" s="1">
        <v>1.0</v>
      </c>
    </row>
    <row r="14">
      <c r="A14" s="1">
        <v>218.0</v>
      </c>
      <c r="B14" s="1" t="s">
        <v>477</v>
      </c>
      <c r="C14" s="1" t="s">
        <v>478</v>
      </c>
      <c r="D14" s="1" t="s">
        <v>804</v>
      </c>
      <c r="E14" s="1" t="s">
        <v>976</v>
      </c>
      <c r="F14" s="1">
        <v>2.0</v>
      </c>
      <c r="G14" s="1">
        <v>2.0</v>
      </c>
      <c r="H14" s="1">
        <v>0.0</v>
      </c>
      <c r="I14" s="1">
        <v>2.0</v>
      </c>
      <c r="J14" s="1">
        <v>2.0</v>
      </c>
      <c r="K14" s="1">
        <v>0.0</v>
      </c>
      <c r="L14" s="1">
        <v>1.0</v>
      </c>
      <c r="M14" s="1">
        <v>1.0</v>
      </c>
      <c r="N14" s="1">
        <v>3.0</v>
      </c>
      <c r="O14" s="1">
        <v>2.0</v>
      </c>
      <c r="P14" s="1">
        <v>5.0</v>
      </c>
      <c r="Q14" s="1">
        <v>2.0</v>
      </c>
    </row>
    <row r="15">
      <c r="A15" s="1">
        <v>219.0</v>
      </c>
      <c r="B15" s="1" t="s">
        <v>477</v>
      </c>
      <c r="C15" s="1" t="s">
        <v>478</v>
      </c>
      <c r="D15" s="1" t="s">
        <v>1183</v>
      </c>
      <c r="E15" s="1" t="s">
        <v>1026</v>
      </c>
      <c r="F15" s="1">
        <v>3.0</v>
      </c>
      <c r="G15" s="1">
        <v>1.0</v>
      </c>
      <c r="H15" s="1">
        <v>2.0</v>
      </c>
      <c r="I15" s="1">
        <v>3.0</v>
      </c>
      <c r="J15" s="1">
        <v>1.0</v>
      </c>
      <c r="K15" s="1">
        <v>2.0</v>
      </c>
      <c r="L15" s="1">
        <v>1.0</v>
      </c>
      <c r="M15" s="1">
        <v>1.0</v>
      </c>
      <c r="N15" s="1">
        <v>1.0</v>
      </c>
      <c r="O15" s="1">
        <v>1.0</v>
      </c>
      <c r="P15" s="1">
        <v>1.0</v>
      </c>
      <c r="Q15" s="1">
        <v>1.0</v>
      </c>
    </row>
    <row r="16">
      <c r="A16" s="1">
        <v>226.0</v>
      </c>
      <c r="B16" s="1" t="s">
        <v>480</v>
      </c>
      <c r="C16" s="1" t="s">
        <v>481</v>
      </c>
      <c r="D16" s="1" t="s">
        <v>836</v>
      </c>
      <c r="E16" s="1" t="s">
        <v>1225</v>
      </c>
      <c r="F16" s="1">
        <v>4.0</v>
      </c>
      <c r="G16" s="1">
        <v>6.0</v>
      </c>
      <c r="H16" s="1">
        <v>-2.0</v>
      </c>
      <c r="I16" s="1">
        <v>4.0</v>
      </c>
      <c r="J16" s="1">
        <v>6.0</v>
      </c>
      <c r="K16" s="1">
        <v>-2.0</v>
      </c>
      <c r="L16" s="1">
        <v>12.0</v>
      </c>
      <c r="M16" s="1">
        <v>14.0</v>
      </c>
      <c r="N16" s="1">
        <v>11.0</v>
      </c>
      <c r="O16" s="1">
        <v>18.0</v>
      </c>
      <c r="P16" s="1">
        <v>18.0</v>
      </c>
      <c r="Q16" s="1">
        <v>12.0</v>
      </c>
    </row>
    <row r="17">
      <c r="A17" s="1">
        <v>236.0</v>
      </c>
      <c r="B17" s="1" t="s">
        <v>492</v>
      </c>
      <c r="C17" s="1" t="s">
        <v>563</v>
      </c>
      <c r="D17" s="1" t="s">
        <v>839</v>
      </c>
      <c r="E17" s="1" t="s">
        <v>983</v>
      </c>
      <c r="F17" s="1">
        <v>9.0</v>
      </c>
      <c r="G17" s="1">
        <v>10.0</v>
      </c>
      <c r="H17" s="1">
        <v>-1.0</v>
      </c>
      <c r="I17" s="1">
        <v>10.0</v>
      </c>
      <c r="J17" s="1">
        <v>9.0</v>
      </c>
      <c r="K17" s="1">
        <v>1.0</v>
      </c>
      <c r="L17" s="1">
        <v>8.0</v>
      </c>
      <c r="M17" s="1">
        <v>8.0</v>
      </c>
      <c r="N17" s="1">
        <v>19.0</v>
      </c>
      <c r="O17" s="1">
        <v>25.0</v>
      </c>
      <c r="P17" s="1">
        <v>45.0</v>
      </c>
      <c r="Q17" s="1">
        <v>13.0</v>
      </c>
    </row>
    <row r="18">
      <c r="A18" s="1">
        <v>247.0</v>
      </c>
      <c r="B18" s="1" t="s">
        <v>507</v>
      </c>
      <c r="C18" s="1" t="s">
        <v>512</v>
      </c>
      <c r="D18" s="1" t="s">
        <v>1142</v>
      </c>
      <c r="E18" s="1" t="s">
        <v>975</v>
      </c>
      <c r="F18" s="1">
        <v>6.0</v>
      </c>
      <c r="G18" s="1">
        <v>3.0</v>
      </c>
      <c r="H18" s="1">
        <v>3.0</v>
      </c>
      <c r="I18" s="1">
        <v>6.0</v>
      </c>
      <c r="J18" s="1">
        <v>3.0</v>
      </c>
      <c r="K18" s="1">
        <v>3.0</v>
      </c>
      <c r="L18" s="1">
        <v>14.0</v>
      </c>
      <c r="M18" s="1">
        <v>11.0</v>
      </c>
      <c r="N18" s="1">
        <v>5.0</v>
      </c>
      <c r="O18" s="1">
        <v>13.0</v>
      </c>
      <c r="P18" s="1">
        <v>4.0</v>
      </c>
      <c r="Q18" s="1">
        <v>7.0</v>
      </c>
    </row>
    <row r="19">
      <c r="A19" s="1">
        <v>252.0</v>
      </c>
      <c r="B19" s="1" t="s">
        <v>480</v>
      </c>
      <c r="C19" s="1" t="s">
        <v>979</v>
      </c>
      <c r="D19" s="1" t="s">
        <v>358</v>
      </c>
      <c r="E19" s="1" t="s">
        <v>972</v>
      </c>
      <c r="F19" s="1">
        <v>7.0</v>
      </c>
      <c r="G19" s="1">
        <v>7.0</v>
      </c>
      <c r="H19" s="1">
        <v>0.0</v>
      </c>
      <c r="I19" s="1">
        <v>7.0</v>
      </c>
      <c r="J19" s="1">
        <v>8.0</v>
      </c>
      <c r="K19" s="1">
        <v>-1.0</v>
      </c>
      <c r="L19" s="1">
        <v>18.0</v>
      </c>
      <c r="M19" s="1">
        <v>23.0</v>
      </c>
      <c r="N19" s="1">
        <v>42.0</v>
      </c>
      <c r="O19" s="1">
        <v>29.0</v>
      </c>
      <c r="P19" s="1">
        <v>24.0</v>
      </c>
      <c r="Q19" s="1">
        <v>31.0</v>
      </c>
    </row>
    <row r="20">
      <c r="A20" s="1">
        <v>253.0</v>
      </c>
      <c r="B20" s="1" t="s">
        <v>480</v>
      </c>
      <c r="C20" s="1" t="s">
        <v>1227</v>
      </c>
      <c r="D20" s="1" t="s">
        <v>1226</v>
      </c>
      <c r="E20" s="1" t="s">
        <v>1225</v>
      </c>
      <c r="F20" s="1">
        <v>1.0</v>
      </c>
      <c r="G20" s="1">
        <v>3.0</v>
      </c>
      <c r="H20" s="1">
        <v>-2.0</v>
      </c>
      <c r="I20" s="1">
        <v>2.0</v>
      </c>
      <c r="J20" s="1">
        <v>4.0</v>
      </c>
      <c r="K20" s="1">
        <v>-2.0</v>
      </c>
      <c r="L20" s="1">
        <v>11.0</v>
      </c>
      <c r="M20" s="1">
        <v>13.0</v>
      </c>
      <c r="N20" s="1">
        <v>6.0</v>
      </c>
      <c r="O20" s="1">
        <v>20.0</v>
      </c>
      <c r="P20" s="1">
        <v>14.0</v>
      </c>
      <c r="Q20" s="1">
        <v>9.0</v>
      </c>
    </row>
    <row r="21">
      <c r="A21" s="1">
        <v>254.0</v>
      </c>
      <c r="B21" s="1" t="s">
        <v>480</v>
      </c>
      <c r="C21" s="1" t="s">
        <v>521</v>
      </c>
      <c r="D21" s="1" t="s">
        <v>284</v>
      </c>
      <c r="E21" s="1" t="s">
        <v>973</v>
      </c>
      <c r="F21" s="1">
        <v>21.0</v>
      </c>
      <c r="G21" s="1">
        <v>24.0</v>
      </c>
      <c r="H21" s="1">
        <v>-3.0</v>
      </c>
      <c r="I21" s="1">
        <v>21.0</v>
      </c>
      <c r="J21" s="1">
        <v>23.0</v>
      </c>
      <c r="K21" s="1">
        <v>-2.0</v>
      </c>
      <c r="L21" s="1">
        <v>98.0</v>
      </c>
      <c r="M21" s="1">
        <v>98.0</v>
      </c>
      <c r="N21" s="1">
        <v>96.0</v>
      </c>
      <c r="O21" s="1">
        <v>150.0</v>
      </c>
      <c r="P21" s="1">
        <v>72.0</v>
      </c>
      <c r="Q21" s="1">
        <v>91.0</v>
      </c>
    </row>
    <row r="22">
      <c r="A22" s="1">
        <v>256.0</v>
      </c>
      <c r="B22" s="1" t="s">
        <v>480</v>
      </c>
      <c r="C22" s="1" t="s">
        <v>1022</v>
      </c>
      <c r="D22" s="1" t="s">
        <v>824</v>
      </c>
      <c r="E22" s="1" t="s">
        <v>987</v>
      </c>
      <c r="F22" s="1">
        <v>3.0</v>
      </c>
      <c r="G22" s="1">
        <v>5.0</v>
      </c>
      <c r="H22" s="1">
        <v>-2.0</v>
      </c>
      <c r="I22" s="1">
        <v>3.0</v>
      </c>
      <c r="J22" s="1">
        <v>5.0</v>
      </c>
      <c r="K22" s="1">
        <v>-2.0</v>
      </c>
      <c r="L22" s="1">
        <v>9.0</v>
      </c>
      <c r="M22" s="1">
        <v>11.0</v>
      </c>
      <c r="N22" s="1">
        <v>6.0</v>
      </c>
      <c r="O22" s="1">
        <v>22.0</v>
      </c>
      <c r="P22" s="1">
        <v>25.0</v>
      </c>
      <c r="Q22" s="1">
        <v>8.0</v>
      </c>
    </row>
    <row r="23">
      <c r="A23" s="1">
        <v>309.0</v>
      </c>
      <c r="B23" s="1" t="s">
        <v>507</v>
      </c>
      <c r="C23" s="1" t="s">
        <v>507</v>
      </c>
      <c r="D23" s="1" t="s">
        <v>297</v>
      </c>
      <c r="E23" s="1" t="s">
        <v>988</v>
      </c>
      <c r="F23" s="1">
        <v>20.0</v>
      </c>
      <c r="G23" s="1">
        <v>34.0</v>
      </c>
      <c r="H23" s="1">
        <v>-14.0</v>
      </c>
      <c r="I23" s="1">
        <v>20.0</v>
      </c>
      <c r="J23" s="1">
        <v>35.0</v>
      </c>
      <c r="K23" s="1">
        <v>-15.0</v>
      </c>
      <c r="L23" s="1">
        <v>141.0</v>
      </c>
      <c r="M23" s="1">
        <v>141.0</v>
      </c>
      <c r="N23" s="1">
        <v>291.0</v>
      </c>
      <c r="O23" s="1">
        <v>330.0</v>
      </c>
      <c r="P23" s="1">
        <v>292.0</v>
      </c>
      <c r="Q23" s="1">
        <v>206.0</v>
      </c>
    </row>
    <row r="24">
      <c r="A24" s="1">
        <v>322.0</v>
      </c>
      <c r="B24" s="1" t="s">
        <v>480</v>
      </c>
      <c r="C24" s="1" t="s">
        <v>481</v>
      </c>
      <c r="D24" s="1" t="s">
        <v>776</v>
      </c>
      <c r="E24" s="1" t="s">
        <v>973</v>
      </c>
      <c r="F24" s="1">
        <v>11.0</v>
      </c>
      <c r="G24" s="1">
        <v>8.0</v>
      </c>
      <c r="H24" s="1">
        <v>3.0</v>
      </c>
      <c r="I24" s="1">
        <v>11.0</v>
      </c>
      <c r="J24" s="1">
        <v>8.0</v>
      </c>
      <c r="K24" s="1">
        <v>3.0</v>
      </c>
      <c r="L24" s="1">
        <v>25.0</v>
      </c>
      <c r="M24" s="1">
        <v>25.0</v>
      </c>
      <c r="N24" s="1">
        <v>18.0</v>
      </c>
      <c r="O24" s="1">
        <v>22.0</v>
      </c>
      <c r="P24" s="1">
        <v>13.0</v>
      </c>
      <c r="Q24" s="1">
        <v>20.0</v>
      </c>
    </row>
    <row r="25">
      <c r="A25" s="1">
        <v>327.0</v>
      </c>
      <c r="B25" s="1" t="s">
        <v>480</v>
      </c>
      <c r="C25" s="1" t="s">
        <v>937</v>
      </c>
      <c r="D25" s="1" t="s">
        <v>847</v>
      </c>
      <c r="E25" s="1" t="s">
        <v>1000</v>
      </c>
      <c r="F25" s="1">
        <v>1.0</v>
      </c>
      <c r="G25" s="1">
        <v>5.0</v>
      </c>
      <c r="H25" s="1">
        <v>-4.0</v>
      </c>
      <c r="I25" s="1">
        <v>1.0</v>
      </c>
      <c r="J25" s="1">
        <v>5.0</v>
      </c>
      <c r="K25" s="1">
        <v>-4.0</v>
      </c>
      <c r="L25" s="1">
        <v>5.0</v>
      </c>
      <c r="M25" s="1">
        <v>5.0</v>
      </c>
      <c r="N25" s="1">
        <v>12.0</v>
      </c>
      <c r="O25" s="1">
        <v>20.0</v>
      </c>
      <c r="P25" s="1">
        <v>6.0</v>
      </c>
      <c r="Q25" s="1">
        <v>8.0</v>
      </c>
    </row>
    <row r="26">
      <c r="A26" s="1">
        <v>333.0</v>
      </c>
      <c r="B26" s="1" t="s">
        <v>492</v>
      </c>
      <c r="C26" s="1" t="s">
        <v>930</v>
      </c>
      <c r="D26" s="1" t="s">
        <v>850</v>
      </c>
      <c r="E26" s="1" t="s">
        <v>1033</v>
      </c>
      <c r="F26" s="1">
        <v>12.0</v>
      </c>
      <c r="G26" s="1">
        <v>3.0</v>
      </c>
      <c r="H26" s="1">
        <v>9.0</v>
      </c>
      <c r="I26" s="1">
        <v>12.0</v>
      </c>
      <c r="J26" s="1">
        <v>3.0</v>
      </c>
      <c r="K26" s="1">
        <v>9.0</v>
      </c>
      <c r="L26" s="1">
        <v>15.0</v>
      </c>
      <c r="M26" s="1">
        <v>20.0</v>
      </c>
      <c r="N26" s="1">
        <v>7.0</v>
      </c>
      <c r="O26" s="1">
        <v>25.0</v>
      </c>
      <c r="P26" s="1">
        <v>14.0</v>
      </c>
      <c r="Q26" s="1">
        <v>12.0</v>
      </c>
    </row>
    <row r="27">
      <c r="A27" s="1">
        <v>345.0</v>
      </c>
      <c r="B27" s="1" t="s">
        <v>507</v>
      </c>
      <c r="C27" s="1" t="s">
        <v>507</v>
      </c>
      <c r="D27" s="1" t="s">
        <v>1639</v>
      </c>
      <c r="E27" s="1" t="s">
        <v>1225</v>
      </c>
      <c r="F27" s="1">
        <v>9.0</v>
      </c>
      <c r="G27" s="1">
        <v>8.0</v>
      </c>
      <c r="H27" s="1">
        <v>1.0</v>
      </c>
      <c r="I27" s="1">
        <v>9.0</v>
      </c>
      <c r="J27" s="1">
        <v>8.0</v>
      </c>
      <c r="K27" s="1">
        <v>1.0</v>
      </c>
      <c r="L27" s="1">
        <v>24.0</v>
      </c>
      <c r="M27" s="1">
        <v>24.0</v>
      </c>
      <c r="N27" s="1" t="e">
        <v>#N/A</v>
      </c>
      <c r="O27" s="1" t="e">
        <v>#N/A</v>
      </c>
      <c r="P27" s="1" t="e">
        <v>#N/A</v>
      </c>
      <c r="Q27" s="1" t="e">
        <v>#N/A</v>
      </c>
    </row>
    <row r="28">
      <c r="A28" s="1">
        <v>357.0</v>
      </c>
      <c r="B28" s="1" t="s">
        <v>480</v>
      </c>
      <c r="C28" s="1" t="s">
        <v>938</v>
      </c>
      <c r="D28" s="1" t="s">
        <v>860</v>
      </c>
      <c r="E28" s="1" t="s">
        <v>1009</v>
      </c>
      <c r="F28" s="1">
        <v>4.0</v>
      </c>
      <c r="G28" s="1">
        <v>7.0</v>
      </c>
      <c r="H28" s="1">
        <v>-3.0</v>
      </c>
      <c r="I28" s="1">
        <v>4.0</v>
      </c>
      <c r="J28" s="1">
        <v>7.0</v>
      </c>
      <c r="K28" s="1">
        <v>-3.0</v>
      </c>
      <c r="L28" s="1">
        <v>15.0</v>
      </c>
      <c r="M28" s="1">
        <v>15.0</v>
      </c>
      <c r="N28" s="1">
        <v>13.0</v>
      </c>
      <c r="O28" s="1">
        <v>25.0</v>
      </c>
      <c r="P28" s="1">
        <v>22.0</v>
      </c>
      <c r="Q28" s="1">
        <v>13.0</v>
      </c>
    </row>
    <row r="29">
      <c r="A29" s="1">
        <v>358.0</v>
      </c>
      <c r="B29" s="1" t="s">
        <v>480</v>
      </c>
      <c r="C29" s="1" t="s">
        <v>944</v>
      </c>
      <c r="D29" s="1" t="s">
        <v>898</v>
      </c>
      <c r="E29" s="1" t="s">
        <v>1222</v>
      </c>
      <c r="F29" s="1">
        <v>4.0</v>
      </c>
      <c r="G29" s="1">
        <v>1.0</v>
      </c>
      <c r="H29" s="1">
        <v>3.0</v>
      </c>
      <c r="I29" s="1">
        <v>4.0</v>
      </c>
      <c r="J29" s="1">
        <v>1.0</v>
      </c>
      <c r="K29" s="1">
        <v>3.0</v>
      </c>
      <c r="L29" s="1">
        <v>8.0</v>
      </c>
      <c r="M29" s="1">
        <v>10.0</v>
      </c>
      <c r="N29" s="1">
        <v>12.0</v>
      </c>
      <c r="O29" s="1">
        <v>6.0</v>
      </c>
      <c r="P29" s="1">
        <v>6.0</v>
      </c>
      <c r="Q29" s="1">
        <v>10.0</v>
      </c>
    </row>
    <row r="30">
      <c r="A30" s="1">
        <v>383.0</v>
      </c>
      <c r="B30" s="1" t="s">
        <v>507</v>
      </c>
      <c r="C30" s="1" t="s">
        <v>512</v>
      </c>
      <c r="D30" s="1" t="s">
        <v>1229</v>
      </c>
      <c r="E30" s="1" t="s">
        <v>1225</v>
      </c>
      <c r="F30" s="1">
        <v>1.0</v>
      </c>
      <c r="G30" s="1">
        <v>5.0</v>
      </c>
      <c r="H30" s="1">
        <v>-4.0</v>
      </c>
      <c r="I30" s="1">
        <v>1.0</v>
      </c>
      <c r="J30" s="1">
        <v>3.0</v>
      </c>
      <c r="K30" s="1">
        <v>-2.0</v>
      </c>
      <c r="L30" s="1">
        <v>6.0</v>
      </c>
      <c r="M30" s="1">
        <v>6.0</v>
      </c>
      <c r="N30" s="1">
        <v>10.0</v>
      </c>
      <c r="O30" s="1">
        <v>10.0</v>
      </c>
      <c r="P30" s="1">
        <v>27.0</v>
      </c>
      <c r="Q30" s="1">
        <v>8.0</v>
      </c>
    </row>
    <row r="31">
      <c r="A31" s="1">
        <v>387.0</v>
      </c>
      <c r="B31" s="1" t="s">
        <v>477</v>
      </c>
      <c r="C31" s="1" t="s">
        <v>478</v>
      </c>
      <c r="D31" s="1" t="s">
        <v>888</v>
      </c>
      <c r="E31" s="1" t="s">
        <v>974</v>
      </c>
      <c r="F31" s="1">
        <v>3.0</v>
      </c>
      <c r="G31" s="1">
        <v>2.0</v>
      </c>
      <c r="H31" s="1">
        <v>1.0</v>
      </c>
      <c r="I31" s="1">
        <v>3.0</v>
      </c>
      <c r="J31" s="1">
        <v>2.0</v>
      </c>
      <c r="K31" s="1">
        <v>1.0</v>
      </c>
      <c r="L31" s="1">
        <v>1.0</v>
      </c>
      <c r="M31" s="1">
        <v>1.0</v>
      </c>
      <c r="N31" s="1">
        <v>12.0</v>
      </c>
      <c r="O31" s="1" t="e">
        <v>#N/A</v>
      </c>
      <c r="P31" s="1" t="e">
        <v>#N/A</v>
      </c>
      <c r="Q31" s="1">
        <v>6.0</v>
      </c>
    </row>
    <row r="32">
      <c r="A32" s="1">
        <v>393.0</v>
      </c>
      <c r="B32" s="1" t="s">
        <v>480</v>
      </c>
      <c r="C32" s="1" t="s">
        <v>481</v>
      </c>
      <c r="D32" s="1" t="s">
        <v>668</v>
      </c>
      <c r="E32" s="1" t="s">
        <v>975</v>
      </c>
      <c r="F32" s="1">
        <v>11.0</v>
      </c>
      <c r="G32" s="1">
        <v>8.0</v>
      </c>
      <c r="H32" s="1">
        <v>3.0</v>
      </c>
      <c r="I32" s="1">
        <v>11.0</v>
      </c>
      <c r="J32" s="1">
        <v>8.0</v>
      </c>
      <c r="K32" s="1">
        <v>3.0</v>
      </c>
      <c r="L32" s="1">
        <v>21.0</v>
      </c>
      <c r="M32" s="1">
        <v>21.0</v>
      </c>
      <c r="N32" s="1">
        <v>14.0</v>
      </c>
      <c r="O32" s="1">
        <v>40.0</v>
      </c>
      <c r="P32" s="1">
        <v>10.0</v>
      </c>
      <c r="Q32" s="1">
        <v>16.0</v>
      </c>
    </row>
    <row r="33">
      <c r="A33" s="1">
        <v>418.0</v>
      </c>
      <c r="B33" s="1" t="s">
        <v>480</v>
      </c>
      <c r="C33" s="1" t="s">
        <v>481</v>
      </c>
      <c r="D33" s="1" t="s">
        <v>1067</v>
      </c>
      <c r="E33" s="1" t="s">
        <v>974</v>
      </c>
      <c r="F33" s="1">
        <v>6.0</v>
      </c>
      <c r="G33" s="1">
        <v>3.0</v>
      </c>
      <c r="H33" s="1">
        <v>3.0</v>
      </c>
      <c r="I33" s="1">
        <v>6.0</v>
      </c>
      <c r="J33" s="1">
        <v>3.0</v>
      </c>
      <c r="K33" s="1">
        <v>3.0</v>
      </c>
      <c r="L33" s="1">
        <v>13.0</v>
      </c>
      <c r="M33" s="1">
        <v>13.0</v>
      </c>
      <c r="N33" s="1">
        <v>4.0</v>
      </c>
      <c r="O33" s="1" t="e">
        <v>#N/A</v>
      </c>
      <c r="P33" s="1">
        <v>3.0</v>
      </c>
      <c r="Q33" s="1">
        <v>8.0</v>
      </c>
    </row>
    <row r="34">
      <c r="A34" s="1">
        <v>440.0</v>
      </c>
      <c r="B34" s="1" t="s">
        <v>492</v>
      </c>
      <c r="C34" s="1" t="s">
        <v>934</v>
      </c>
      <c r="D34" s="1" t="s">
        <v>1230</v>
      </c>
      <c r="E34" s="1" t="s">
        <v>975</v>
      </c>
      <c r="F34" s="1">
        <v>9.0</v>
      </c>
      <c r="G34" s="1">
        <v>6.0</v>
      </c>
      <c r="H34" s="1">
        <v>3.0</v>
      </c>
      <c r="I34" s="1">
        <v>9.0</v>
      </c>
      <c r="J34" s="1">
        <v>6.0</v>
      </c>
      <c r="K34" s="1">
        <v>3.0</v>
      </c>
      <c r="L34" s="1">
        <v>20.0</v>
      </c>
      <c r="M34" s="1">
        <v>20.0</v>
      </c>
      <c r="N34" s="1">
        <v>14.0</v>
      </c>
      <c r="O34" s="1">
        <v>26.0</v>
      </c>
      <c r="P34" s="1">
        <v>4.0</v>
      </c>
      <c r="Q34" s="1">
        <v>16.0</v>
      </c>
    </row>
    <row r="35">
      <c r="A35" s="1">
        <v>460.0</v>
      </c>
      <c r="B35" s="1" t="s">
        <v>480</v>
      </c>
      <c r="C35" s="1" t="s">
        <v>481</v>
      </c>
      <c r="D35" s="1" t="s">
        <v>868</v>
      </c>
      <c r="E35" s="1" t="s">
        <v>1000</v>
      </c>
      <c r="F35" s="1">
        <v>8.0</v>
      </c>
      <c r="G35" s="1">
        <v>10.0</v>
      </c>
      <c r="H35" s="1">
        <v>-2.0</v>
      </c>
      <c r="I35" s="1">
        <v>8.0</v>
      </c>
      <c r="J35" s="1">
        <v>10.0</v>
      </c>
      <c r="K35" s="1">
        <v>-2.0</v>
      </c>
      <c r="L35" s="1">
        <v>27.0</v>
      </c>
      <c r="M35" s="1">
        <v>27.0</v>
      </c>
      <c r="N35" s="1">
        <v>26.0</v>
      </c>
      <c r="O35" s="1">
        <v>32.0</v>
      </c>
      <c r="P35" s="1">
        <v>36.0</v>
      </c>
      <c r="Q35" s="1">
        <v>25.0</v>
      </c>
    </row>
    <row r="36">
      <c r="A36" s="1">
        <v>464.0</v>
      </c>
      <c r="B36" s="1" t="s">
        <v>480</v>
      </c>
      <c r="C36" s="1" t="s">
        <v>944</v>
      </c>
      <c r="D36" s="1" t="s">
        <v>1397</v>
      </c>
      <c r="E36" s="1" t="s">
        <v>991</v>
      </c>
      <c r="F36" s="1">
        <v>1.0</v>
      </c>
      <c r="G36" s="1">
        <v>1.0</v>
      </c>
      <c r="H36" s="1">
        <v>0.0</v>
      </c>
      <c r="I36" s="1">
        <v>1.0</v>
      </c>
      <c r="J36" s="1">
        <v>1.0</v>
      </c>
      <c r="K36" s="1">
        <v>0.0</v>
      </c>
      <c r="L36" s="1">
        <v>1.0</v>
      </c>
      <c r="M36" s="1">
        <v>1.0</v>
      </c>
      <c r="N36" s="1" t="e">
        <v>#N/A</v>
      </c>
      <c r="O36" s="1">
        <v>7.0</v>
      </c>
      <c r="P36" s="1">
        <v>7.0</v>
      </c>
      <c r="Q36" s="1" t="e">
        <v>#N/A</v>
      </c>
    </row>
    <row r="37">
      <c r="A37" s="1">
        <v>468.0</v>
      </c>
      <c r="B37" s="1" t="s">
        <v>492</v>
      </c>
      <c r="C37" s="1" t="s">
        <v>930</v>
      </c>
      <c r="D37" s="1" t="s">
        <v>739</v>
      </c>
      <c r="E37" s="1" t="s">
        <v>988</v>
      </c>
      <c r="F37" s="1">
        <v>12.0</v>
      </c>
      <c r="G37" s="1">
        <v>7.0</v>
      </c>
      <c r="H37" s="1">
        <v>5.0</v>
      </c>
      <c r="I37" s="1">
        <v>13.0</v>
      </c>
      <c r="J37" s="1">
        <v>8.0</v>
      </c>
      <c r="K37" s="1">
        <v>5.0</v>
      </c>
      <c r="L37" s="1">
        <v>24.0</v>
      </c>
      <c r="M37" s="1">
        <v>29.0</v>
      </c>
      <c r="N37" s="1">
        <v>18.0</v>
      </c>
      <c r="O37" s="1">
        <v>38.0</v>
      </c>
      <c r="P37" s="1">
        <v>14.0</v>
      </c>
      <c r="Q37" s="1">
        <v>22.0</v>
      </c>
    </row>
    <row r="38">
      <c r="A38" s="1">
        <v>479.0</v>
      </c>
      <c r="B38" s="1" t="s">
        <v>507</v>
      </c>
      <c r="C38" s="1" t="s">
        <v>512</v>
      </c>
      <c r="D38" s="1" t="s">
        <v>889</v>
      </c>
      <c r="E38" s="1" t="s">
        <v>972</v>
      </c>
      <c r="F38" s="1">
        <v>5.0</v>
      </c>
      <c r="G38" s="1">
        <v>10.0</v>
      </c>
      <c r="H38" s="1">
        <v>-5.0</v>
      </c>
      <c r="I38" s="1">
        <v>5.0</v>
      </c>
      <c r="J38" s="1">
        <v>9.0</v>
      </c>
      <c r="K38" s="1">
        <v>-4.0</v>
      </c>
      <c r="L38" s="1">
        <v>10.0</v>
      </c>
      <c r="M38" s="1">
        <v>10.0</v>
      </c>
      <c r="N38" s="1">
        <v>18.0</v>
      </c>
      <c r="O38" s="1">
        <v>50.0</v>
      </c>
      <c r="P38" s="1">
        <v>60.0</v>
      </c>
      <c r="Q38" s="1">
        <v>13.0</v>
      </c>
    </row>
    <row r="39">
      <c r="A39" s="1">
        <v>487.0</v>
      </c>
      <c r="B39" s="1" t="s">
        <v>480</v>
      </c>
      <c r="C39" s="1" t="s">
        <v>938</v>
      </c>
      <c r="D39" s="1" t="s">
        <v>1043</v>
      </c>
      <c r="E39" s="1" t="s">
        <v>1009</v>
      </c>
      <c r="F39" s="1">
        <v>5.0</v>
      </c>
      <c r="G39" s="1">
        <v>3.0</v>
      </c>
      <c r="H39" s="1">
        <v>2.0</v>
      </c>
      <c r="I39" s="1">
        <v>5.0</v>
      </c>
      <c r="J39" s="1">
        <v>3.0</v>
      </c>
      <c r="K39" s="1">
        <v>2.0</v>
      </c>
      <c r="L39" s="1">
        <v>11.0</v>
      </c>
      <c r="M39" s="1">
        <v>11.0</v>
      </c>
      <c r="N39" s="1">
        <v>5.0</v>
      </c>
      <c r="O39" s="1">
        <v>8.0</v>
      </c>
      <c r="P39" s="1">
        <v>3.0</v>
      </c>
      <c r="Q39" s="1">
        <v>7.0</v>
      </c>
    </row>
    <row r="40">
      <c r="A40" s="1">
        <v>495.0</v>
      </c>
      <c r="B40" s="1" t="s">
        <v>507</v>
      </c>
      <c r="C40" s="1" t="s">
        <v>507</v>
      </c>
      <c r="D40" s="1" t="s">
        <v>1231</v>
      </c>
      <c r="E40" s="1" t="s">
        <v>973</v>
      </c>
      <c r="F40" s="1">
        <v>13.0</v>
      </c>
      <c r="G40" s="1">
        <v>3.0</v>
      </c>
      <c r="H40" s="1">
        <v>10.0</v>
      </c>
      <c r="I40" s="1">
        <v>13.0</v>
      </c>
      <c r="J40" s="1">
        <v>3.0</v>
      </c>
      <c r="K40" s="1">
        <v>10.0</v>
      </c>
      <c r="L40" s="1">
        <v>18.0</v>
      </c>
      <c r="M40" s="1">
        <v>18.0</v>
      </c>
      <c r="N40" s="1">
        <v>7.0</v>
      </c>
      <c r="O40" s="1" t="e">
        <v>#N/A</v>
      </c>
      <c r="P40" s="1" t="e">
        <v>#N/A</v>
      </c>
      <c r="Q40" s="1">
        <v>11.0</v>
      </c>
    </row>
    <row r="41">
      <c r="A41" s="1">
        <v>511.0</v>
      </c>
      <c r="B41" s="1" t="s">
        <v>477</v>
      </c>
      <c r="C41" s="1" t="s">
        <v>478</v>
      </c>
      <c r="D41" s="1" t="s">
        <v>1148</v>
      </c>
      <c r="E41" s="1" t="s">
        <v>983</v>
      </c>
      <c r="F41" s="1">
        <v>2.0</v>
      </c>
      <c r="G41" s="1">
        <v>1.0</v>
      </c>
      <c r="H41" s="1">
        <v>1.0</v>
      </c>
      <c r="I41" s="1">
        <v>2.0</v>
      </c>
      <c r="J41" s="1">
        <v>1.0</v>
      </c>
      <c r="K41" s="1">
        <v>1.0</v>
      </c>
      <c r="L41" s="1">
        <v>1.0</v>
      </c>
      <c r="M41" s="1">
        <v>1.0</v>
      </c>
      <c r="N41" s="1">
        <v>1.0</v>
      </c>
      <c r="O41" s="1">
        <v>1.0</v>
      </c>
      <c r="P41" s="1">
        <v>1.0</v>
      </c>
      <c r="Q41" s="1">
        <v>1.0</v>
      </c>
    </row>
    <row r="42">
      <c r="A42" s="1">
        <v>513.0</v>
      </c>
      <c r="B42" s="1" t="s">
        <v>480</v>
      </c>
      <c r="C42" s="1" t="s">
        <v>481</v>
      </c>
      <c r="D42" s="1" t="s">
        <v>744</v>
      </c>
      <c r="E42" s="1" t="s">
        <v>973</v>
      </c>
      <c r="F42" s="1">
        <v>8.0</v>
      </c>
      <c r="G42" s="1">
        <v>10.0</v>
      </c>
      <c r="H42" s="1">
        <v>-2.0</v>
      </c>
      <c r="I42" s="1">
        <v>8.0</v>
      </c>
      <c r="J42" s="1">
        <v>10.0</v>
      </c>
      <c r="K42" s="1">
        <v>-2.0</v>
      </c>
      <c r="L42" s="1">
        <v>28.0</v>
      </c>
      <c r="M42" s="1">
        <v>28.0</v>
      </c>
      <c r="N42" s="1">
        <v>28.0</v>
      </c>
      <c r="O42" s="1">
        <v>90.0</v>
      </c>
      <c r="P42" s="1">
        <v>32.0</v>
      </c>
      <c r="Q42" s="1">
        <v>26.0</v>
      </c>
    </row>
    <row r="43">
      <c r="A43" s="1">
        <v>526.0</v>
      </c>
      <c r="B43" s="1" t="s">
        <v>492</v>
      </c>
      <c r="C43" s="1" t="s">
        <v>492</v>
      </c>
      <c r="D43" s="1" t="s">
        <v>1232</v>
      </c>
      <c r="E43" s="1" t="s">
        <v>1233</v>
      </c>
      <c r="F43" s="1">
        <v>2.0</v>
      </c>
      <c r="G43" s="1">
        <v>8.0</v>
      </c>
      <c r="H43" s="1">
        <v>-6.0</v>
      </c>
      <c r="I43" s="1">
        <v>2.0</v>
      </c>
      <c r="J43" s="1">
        <v>8.0</v>
      </c>
      <c r="K43" s="1">
        <v>-6.0</v>
      </c>
      <c r="L43" s="1">
        <v>5.0</v>
      </c>
      <c r="M43" s="1">
        <v>5.0</v>
      </c>
      <c r="N43" s="1">
        <v>15.0</v>
      </c>
      <c r="O43" s="1">
        <v>31.0</v>
      </c>
      <c r="P43" s="1">
        <v>10.0</v>
      </c>
      <c r="Q43" s="1">
        <v>10.0</v>
      </c>
    </row>
    <row r="44">
      <c r="A44" s="1">
        <v>530.0</v>
      </c>
      <c r="B44" s="1" t="s">
        <v>492</v>
      </c>
      <c r="C44" s="1" t="s">
        <v>934</v>
      </c>
      <c r="D44" s="1" t="s">
        <v>281</v>
      </c>
      <c r="E44" s="1" t="s">
        <v>988</v>
      </c>
      <c r="F44" s="1">
        <v>11.0</v>
      </c>
      <c r="G44" s="1">
        <v>22.0</v>
      </c>
      <c r="H44" s="1">
        <v>-11.0</v>
      </c>
      <c r="I44" s="1">
        <v>11.0</v>
      </c>
      <c r="J44" s="1">
        <v>22.0</v>
      </c>
      <c r="K44" s="1">
        <v>-11.0</v>
      </c>
      <c r="L44" s="1">
        <v>15.0</v>
      </c>
      <c r="M44" s="1">
        <v>15.0</v>
      </c>
      <c r="N44" s="1">
        <v>73.0</v>
      </c>
      <c r="O44" s="1">
        <v>175.0</v>
      </c>
      <c r="P44" s="1">
        <v>66.0</v>
      </c>
      <c r="Q44" s="1">
        <v>43.0</v>
      </c>
    </row>
    <row r="45">
      <c r="A45" s="1">
        <v>536.0</v>
      </c>
      <c r="B45" s="1" t="s">
        <v>492</v>
      </c>
      <c r="C45" s="1" t="s">
        <v>563</v>
      </c>
      <c r="D45" s="1" t="s">
        <v>887</v>
      </c>
      <c r="E45" s="1" t="s">
        <v>987</v>
      </c>
      <c r="F45" s="1">
        <v>15.0</v>
      </c>
      <c r="G45" s="1">
        <v>24.0</v>
      </c>
      <c r="H45" s="1">
        <v>-9.0</v>
      </c>
      <c r="I45" s="1">
        <v>16.0</v>
      </c>
      <c r="J45" s="1">
        <v>23.0</v>
      </c>
      <c r="K45" s="1">
        <v>-7.0</v>
      </c>
      <c r="L45" s="1">
        <v>70.0</v>
      </c>
      <c r="M45" s="1">
        <v>70.0</v>
      </c>
      <c r="N45" s="1">
        <v>70.0</v>
      </c>
      <c r="O45" s="1">
        <v>85.0</v>
      </c>
      <c r="P45" s="1">
        <v>60.0</v>
      </c>
      <c r="Q45" s="1">
        <v>66.0</v>
      </c>
    </row>
    <row r="46">
      <c r="A46" s="1">
        <v>537.0</v>
      </c>
      <c r="B46" s="1" t="s">
        <v>507</v>
      </c>
      <c r="C46" s="1" t="s">
        <v>507</v>
      </c>
      <c r="D46" s="1" t="s">
        <v>1495</v>
      </c>
      <c r="E46" s="1" t="s">
        <v>998</v>
      </c>
      <c r="F46" s="1">
        <v>1.0</v>
      </c>
      <c r="G46" s="1">
        <v>1.0</v>
      </c>
      <c r="H46" s="1">
        <v>0.0</v>
      </c>
      <c r="I46" s="1">
        <v>1.0</v>
      </c>
      <c r="J46" s="1">
        <v>1.0</v>
      </c>
      <c r="K46" s="1">
        <v>0.0</v>
      </c>
      <c r="L46" s="1">
        <v>5.0</v>
      </c>
      <c r="M46" s="1">
        <v>5.0</v>
      </c>
      <c r="N46" s="1" t="e">
        <v>#N/A</v>
      </c>
      <c r="O46" s="1">
        <v>18.0</v>
      </c>
      <c r="P46" s="1">
        <v>22.0</v>
      </c>
      <c r="Q46" s="1" t="e">
        <v>#N/A</v>
      </c>
    </row>
    <row r="47">
      <c r="A47" s="1">
        <v>543.0</v>
      </c>
      <c r="B47" s="1" t="s">
        <v>477</v>
      </c>
      <c r="C47" s="1" t="s">
        <v>478</v>
      </c>
      <c r="D47" s="1" t="s">
        <v>1140</v>
      </c>
      <c r="E47" s="1" t="s">
        <v>993</v>
      </c>
      <c r="F47" s="1">
        <v>1.0</v>
      </c>
      <c r="G47" s="1">
        <v>1.0</v>
      </c>
      <c r="H47" s="1">
        <v>0.0</v>
      </c>
      <c r="I47" s="1">
        <v>1.0</v>
      </c>
      <c r="J47" s="1">
        <v>1.0</v>
      </c>
      <c r="K47" s="1">
        <v>0.0</v>
      </c>
      <c r="L47" s="1">
        <v>1.0</v>
      </c>
      <c r="M47" s="1">
        <v>1.0</v>
      </c>
      <c r="N47" s="1">
        <v>1.0</v>
      </c>
      <c r="O47" s="1">
        <v>1.0</v>
      </c>
      <c r="P47" s="1">
        <v>1.0</v>
      </c>
      <c r="Q47" s="1">
        <v>1.0</v>
      </c>
    </row>
    <row r="48">
      <c r="A48" s="1">
        <v>554.0</v>
      </c>
      <c r="B48" s="1" t="s">
        <v>480</v>
      </c>
      <c r="C48" s="1" t="s">
        <v>521</v>
      </c>
      <c r="D48" s="1" t="s">
        <v>138</v>
      </c>
      <c r="E48" s="1" t="s">
        <v>980</v>
      </c>
      <c r="F48" s="1">
        <v>14.0</v>
      </c>
      <c r="G48" s="1">
        <v>9.0</v>
      </c>
      <c r="H48" s="1">
        <v>5.0</v>
      </c>
      <c r="I48" s="1">
        <v>14.0</v>
      </c>
      <c r="J48" s="1">
        <v>8.0</v>
      </c>
      <c r="K48" s="1">
        <v>6.0</v>
      </c>
      <c r="L48" s="1">
        <v>33.0</v>
      </c>
      <c r="M48" s="1">
        <v>33.0</v>
      </c>
      <c r="N48" s="1">
        <v>30.0</v>
      </c>
      <c r="O48" s="1">
        <v>33.0</v>
      </c>
      <c r="P48" s="1">
        <v>38.0</v>
      </c>
      <c r="Q48" s="1">
        <v>29.0</v>
      </c>
    </row>
    <row r="49">
      <c r="A49" s="1">
        <v>572.0</v>
      </c>
      <c r="B49" s="1" t="s">
        <v>477</v>
      </c>
      <c r="C49" s="1" t="s">
        <v>478</v>
      </c>
      <c r="D49" s="1" t="s">
        <v>634</v>
      </c>
      <c r="E49" s="1" t="s">
        <v>987</v>
      </c>
      <c r="F49" s="1">
        <v>19.0</v>
      </c>
      <c r="G49" s="1">
        <v>15.0</v>
      </c>
      <c r="H49" s="1">
        <v>4.0</v>
      </c>
      <c r="I49" s="1">
        <v>19.0</v>
      </c>
      <c r="J49" s="1">
        <v>15.0</v>
      </c>
      <c r="K49" s="1">
        <v>4.0</v>
      </c>
      <c r="L49" s="1">
        <v>118.0</v>
      </c>
      <c r="M49" s="1">
        <v>118.0</v>
      </c>
      <c r="N49" s="1">
        <v>72.0</v>
      </c>
      <c r="O49" s="1">
        <v>55.0</v>
      </c>
      <c r="P49" s="1">
        <v>80.0</v>
      </c>
      <c r="Q49" s="1">
        <v>88.0</v>
      </c>
    </row>
    <row r="50">
      <c r="A50" s="1">
        <v>574.0</v>
      </c>
      <c r="B50" s="1" t="s">
        <v>477</v>
      </c>
      <c r="C50" s="1" t="s">
        <v>478</v>
      </c>
      <c r="D50" s="1" t="s">
        <v>651</v>
      </c>
      <c r="E50" s="1" t="s">
        <v>987</v>
      </c>
      <c r="F50" s="1">
        <v>1.0</v>
      </c>
      <c r="G50" s="1">
        <v>7.0</v>
      </c>
      <c r="H50" s="1">
        <v>-6.0</v>
      </c>
      <c r="I50" s="1">
        <v>1.0</v>
      </c>
      <c r="J50" s="1">
        <v>7.0</v>
      </c>
      <c r="K50" s="1">
        <v>-6.0</v>
      </c>
      <c r="L50" s="1">
        <v>1.0</v>
      </c>
      <c r="M50" s="1">
        <v>1.0</v>
      </c>
      <c r="N50" s="1">
        <v>29.0</v>
      </c>
      <c r="O50" s="1">
        <v>15.0</v>
      </c>
      <c r="P50" s="1">
        <v>1.0</v>
      </c>
      <c r="Q50" s="1">
        <v>15.0</v>
      </c>
    </row>
    <row r="51">
      <c r="A51" s="1">
        <v>581.0</v>
      </c>
      <c r="B51" s="1" t="s">
        <v>480</v>
      </c>
      <c r="C51" s="1" t="s">
        <v>938</v>
      </c>
      <c r="D51" s="1" t="s">
        <v>1234</v>
      </c>
      <c r="E51" s="1" t="s">
        <v>983</v>
      </c>
      <c r="F51" s="1">
        <v>1.0</v>
      </c>
      <c r="G51" s="1">
        <v>3.0</v>
      </c>
      <c r="H51" s="1">
        <v>-2.0</v>
      </c>
      <c r="I51" s="1">
        <v>1.0</v>
      </c>
      <c r="J51" s="1">
        <v>3.0</v>
      </c>
      <c r="K51" s="1">
        <v>-2.0</v>
      </c>
      <c r="L51" s="1">
        <v>8.0</v>
      </c>
      <c r="M51" s="1">
        <v>8.0</v>
      </c>
      <c r="N51" s="1">
        <v>6.0</v>
      </c>
      <c r="O51" s="1">
        <v>20.0</v>
      </c>
      <c r="P51" s="1">
        <v>16.0</v>
      </c>
      <c r="Q51" s="1">
        <v>7.0</v>
      </c>
    </row>
    <row r="52">
      <c r="A52" s="1">
        <v>608.0</v>
      </c>
      <c r="B52" s="1" t="s">
        <v>507</v>
      </c>
      <c r="C52" s="1" t="s">
        <v>512</v>
      </c>
      <c r="D52" s="1" t="s">
        <v>743</v>
      </c>
      <c r="E52" s="1" t="s">
        <v>972</v>
      </c>
      <c r="F52" s="1">
        <v>13.0</v>
      </c>
      <c r="G52" s="1">
        <v>25.0</v>
      </c>
      <c r="H52" s="1">
        <v>-12.0</v>
      </c>
      <c r="I52" s="1">
        <v>13.0</v>
      </c>
      <c r="J52" s="1">
        <v>25.0</v>
      </c>
      <c r="K52" s="1">
        <v>-12.0</v>
      </c>
      <c r="L52" s="1">
        <v>90.0</v>
      </c>
      <c r="M52" s="1">
        <v>90.0</v>
      </c>
      <c r="N52" s="1">
        <v>170.0</v>
      </c>
      <c r="O52" s="1">
        <v>210.0</v>
      </c>
      <c r="P52" s="1">
        <v>170.0</v>
      </c>
      <c r="Q52" s="1">
        <v>124.0</v>
      </c>
    </row>
    <row r="53">
      <c r="A53" s="1">
        <v>610.0</v>
      </c>
      <c r="B53" s="1" t="s">
        <v>477</v>
      </c>
      <c r="C53" s="1" t="s">
        <v>478</v>
      </c>
      <c r="D53" s="1" t="s">
        <v>135</v>
      </c>
      <c r="E53" s="1" t="s">
        <v>988</v>
      </c>
      <c r="F53" s="1">
        <v>1.0</v>
      </c>
      <c r="G53" s="1">
        <v>10.0</v>
      </c>
      <c r="H53" s="1">
        <v>-9.0</v>
      </c>
      <c r="I53" s="1">
        <v>1.0</v>
      </c>
      <c r="J53" s="1">
        <v>10.0</v>
      </c>
      <c r="K53" s="1">
        <v>-9.0</v>
      </c>
      <c r="L53" s="1">
        <v>1.0</v>
      </c>
      <c r="M53" s="1">
        <v>1.0</v>
      </c>
      <c r="N53" s="1">
        <v>38.0</v>
      </c>
      <c r="O53" s="1">
        <v>5.0</v>
      </c>
      <c r="P53" s="1">
        <v>1.0</v>
      </c>
      <c r="Q53" s="1">
        <v>19.0</v>
      </c>
    </row>
    <row r="54">
      <c r="A54" s="1">
        <v>632.0</v>
      </c>
      <c r="B54" s="1" t="s">
        <v>492</v>
      </c>
      <c r="C54" s="1" t="s">
        <v>935</v>
      </c>
      <c r="D54" s="1" t="s">
        <v>752</v>
      </c>
      <c r="E54" s="1" t="s">
        <v>1000</v>
      </c>
      <c r="F54" s="1">
        <v>23.0</v>
      </c>
      <c r="G54" s="1">
        <v>27.0</v>
      </c>
      <c r="H54" s="1">
        <v>-4.0</v>
      </c>
      <c r="I54" s="1">
        <v>23.0</v>
      </c>
      <c r="J54" s="1">
        <v>26.0</v>
      </c>
      <c r="K54" s="1">
        <v>-3.0</v>
      </c>
      <c r="L54" s="1">
        <v>170.0</v>
      </c>
      <c r="M54" s="1">
        <v>170.0</v>
      </c>
      <c r="N54" s="1">
        <v>155.0</v>
      </c>
      <c r="O54" s="1">
        <v>120.0</v>
      </c>
      <c r="P54" s="1">
        <v>155.0</v>
      </c>
      <c r="Q54" s="1">
        <v>152.0</v>
      </c>
    </row>
    <row r="55">
      <c r="A55" s="1">
        <v>695.0</v>
      </c>
      <c r="B55" s="1" t="s">
        <v>480</v>
      </c>
      <c r="C55" s="1" t="s">
        <v>481</v>
      </c>
      <c r="D55" s="1" t="s">
        <v>1236</v>
      </c>
      <c r="E55" s="1" t="s">
        <v>980</v>
      </c>
      <c r="F55" s="1">
        <v>3.0</v>
      </c>
      <c r="G55" s="1">
        <v>4.0</v>
      </c>
      <c r="H55" s="1">
        <v>-1.0</v>
      </c>
      <c r="I55" s="1">
        <v>3.0</v>
      </c>
      <c r="J55" s="1">
        <v>4.0</v>
      </c>
      <c r="K55" s="1">
        <v>-1.0</v>
      </c>
      <c r="L55" s="1">
        <v>12.0</v>
      </c>
      <c r="M55" s="1">
        <v>12.0</v>
      </c>
      <c r="N55" s="1">
        <v>9.0</v>
      </c>
      <c r="O55" s="1">
        <v>13.0</v>
      </c>
      <c r="P55" s="1">
        <v>12.0</v>
      </c>
      <c r="Q55" s="1">
        <v>10.0</v>
      </c>
    </row>
    <row r="56">
      <c r="A56" s="1">
        <v>696.0</v>
      </c>
      <c r="B56" s="1" t="s">
        <v>507</v>
      </c>
      <c r="C56" s="1" t="s">
        <v>512</v>
      </c>
      <c r="D56" s="1" t="s">
        <v>1554</v>
      </c>
      <c r="E56" s="1" t="s">
        <v>1026</v>
      </c>
      <c r="F56" s="1">
        <v>2.0</v>
      </c>
      <c r="G56" s="1">
        <v>10.0</v>
      </c>
      <c r="H56" s="1">
        <v>-8.0</v>
      </c>
      <c r="I56" s="1">
        <v>2.0</v>
      </c>
      <c r="J56" s="1">
        <v>10.0</v>
      </c>
      <c r="K56" s="1">
        <v>-8.0</v>
      </c>
      <c r="L56" s="1">
        <v>5.0</v>
      </c>
      <c r="M56" s="1">
        <v>5.0</v>
      </c>
      <c r="N56" s="1" t="e">
        <v>#N/A</v>
      </c>
      <c r="O56" s="1" t="e">
        <v>#N/A</v>
      </c>
      <c r="P56" s="1" t="e">
        <v>#N/A</v>
      </c>
      <c r="Q56" s="1" t="e">
        <v>#N/A</v>
      </c>
    </row>
    <row r="57">
      <c r="A57" s="1">
        <v>697.0</v>
      </c>
      <c r="B57" s="1" t="s">
        <v>480</v>
      </c>
      <c r="C57" s="1" t="s">
        <v>521</v>
      </c>
      <c r="D57" s="1" t="s">
        <v>825</v>
      </c>
      <c r="E57" s="1" t="s">
        <v>980</v>
      </c>
      <c r="F57" s="1">
        <v>8.0</v>
      </c>
      <c r="G57" s="1">
        <v>4.0</v>
      </c>
      <c r="H57" s="1">
        <v>4.0</v>
      </c>
      <c r="I57" s="1">
        <v>8.0</v>
      </c>
      <c r="J57" s="1">
        <v>4.0</v>
      </c>
      <c r="K57" s="1">
        <v>4.0</v>
      </c>
      <c r="L57" s="1">
        <v>15.0</v>
      </c>
      <c r="M57" s="1">
        <v>15.0</v>
      </c>
      <c r="N57" s="1">
        <v>8.0</v>
      </c>
      <c r="O57" s="1">
        <v>12.0</v>
      </c>
      <c r="P57" s="1">
        <v>28.0</v>
      </c>
      <c r="Q57" s="1">
        <v>11.0</v>
      </c>
    </row>
    <row r="58">
      <c r="A58" s="1">
        <v>729.0</v>
      </c>
      <c r="B58" s="1" t="s">
        <v>480</v>
      </c>
      <c r="C58" s="1" t="s">
        <v>938</v>
      </c>
      <c r="D58" s="1" t="s">
        <v>724</v>
      </c>
      <c r="E58" s="1" t="s">
        <v>1225</v>
      </c>
      <c r="F58" s="1">
        <v>4.0</v>
      </c>
      <c r="G58" s="1">
        <v>5.0</v>
      </c>
      <c r="H58" s="1">
        <v>-1.0</v>
      </c>
      <c r="I58" s="1">
        <v>4.0</v>
      </c>
      <c r="J58" s="1">
        <v>5.0</v>
      </c>
      <c r="K58" s="1">
        <v>-1.0</v>
      </c>
      <c r="L58" s="1">
        <v>11.0</v>
      </c>
      <c r="M58" s="1">
        <v>11.0</v>
      </c>
      <c r="N58" s="1">
        <v>8.0</v>
      </c>
      <c r="O58" s="1">
        <v>14.0</v>
      </c>
      <c r="P58" s="1">
        <v>1.0</v>
      </c>
      <c r="Q58" s="1">
        <v>9.0</v>
      </c>
    </row>
    <row r="59">
      <c r="A59" s="1">
        <v>770.0</v>
      </c>
      <c r="B59" s="1" t="s">
        <v>480</v>
      </c>
      <c r="C59" s="1" t="s">
        <v>931</v>
      </c>
      <c r="D59" s="1" t="s">
        <v>801</v>
      </c>
      <c r="E59" s="1" t="s">
        <v>1222</v>
      </c>
      <c r="F59" s="1">
        <v>10.0</v>
      </c>
      <c r="G59" s="1">
        <v>5.0</v>
      </c>
      <c r="H59" s="1">
        <v>5.0</v>
      </c>
      <c r="I59" s="1">
        <v>10.0</v>
      </c>
      <c r="J59" s="1">
        <v>5.0</v>
      </c>
      <c r="K59" s="1">
        <v>5.0</v>
      </c>
      <c r="L59" s="1">
        <v>19.0</v>
      </c>
      <c r="M59" s="1">
        <v>19.0</v>
      </c>
      <c r="N59" s="1">
        <v>7.0</v>
      </c>
      <c r="O59" s="1">
        <v>5.0</v>
      </c>
      <c r="P59" s="1">
        <v>5.0</v>
      </c>
      <c r="Q59" s="1">
        <v>12.0</v>
      </c>
    </row>
    <row r="60">
      <c r="A60" s="1">
        <v>779.0</v>
      </c>
      <c r="B60" s="1" t="s">
        <v>492</v>
      </c>
      <c r="C60" s="1" t="s">
        <v>930</v>
      </c>
      <c r="D60" s="1" t="s">
        <v>747</v>
      </c>
      <c r="E60" s="1" t="s">
        <v>988</v>
      </c>
      <c r="F60" s="1">
        <v>15.0</v>
      </c>
      <c r="G60" s="1">
        <v>9.0</v>
      </c>
      <c r="H60" s="1">
        <v>6.0</v>
      </c>
      <c r="I60" s="1">
        <v>15.0</v>
      </c>
      <c r="J60" s="1">
        <v>10.0</v>
      </c>
      <c r="K60" s="1">
        <v>5.0</v>
      </c>
      <c r="L60" s="1">
        <v>32.0</v>
      </c>
      <c r="M60" s="1">
        <v>42.0</v>
      </c>
      <c r="N60" s="1">
        <v>22.0</v>
      </c>
      <c r="O60" s="1">
        <v>40.0</v>
      </c>
      <c r="P60" s="1">
        <v>23.0</v>
      </c>
      <c r="Q60" s="1">
        <v>29.0</v>
      </c>
    </row>
    <row r="61">
      <c r="A61" s="1">
        <v>787.0</v>
      </c>
      <c r="B61" s="1" t="s">
        <v>480</v>
      </c>
      <c r="C61" s="1" t="s">
        <v>481</v>
      </c>
      <c r="D61" s="1" t="s">
        <v>693</v>
      </c>
      <c r="E61" s="1" t="s">
        <v>980</v>
      </c>
      <c r="F61" s="1">
        <v>8.0</v>
      </c>
      <c r="G61" s="1">
        <v>8.0</v>
      </c>
      <c r="H61" s="1">
        <v>0.0</v>
      </c>
      <c r="I61" s="1">
        <v>8.0</v>
      </c>
      <c r="J61" s="1">
        <v>8.0</v>
      </c>
      <c r="K61" s="1">
        <v>0.0</v>
      </c>
      <c r="L61" s="1">
        <v>23.0</v>
      </c>
      <c r="M61" s="1">
        <v>23.0</v>
      </c>
      <c r="N61" s="1">
        <v>18.0</v>
      </c>
      <c r="O61" s="1">
        <v>33.0</v>
      </c>
      <c r="P61" s="1">
        <v>16.0</v>
      </c>
      <c r="Q61" s="1">
        <v>19.0</v>
      </c>
    </row>
    <row r="62">
      <c r="A62" s="1">
        <v>788.0</v>
      </c>
      <c r="B62" s="1" t="s">
        <v>492</v>
      </c>
      <c r="C62" s="1" t="s">
        <v>930</v>
      </c>
      <c r="D62" s="1" t="s">
        <v>821</v>
      </c>
      <c r="E62" s="1" t="s">
        <v>1009</v>
      </c>
      <c r="F62" s="1">
        <v>13.0</v>
      </c>
      <c r="G62" s="1">
        <v>9.0</v>
      </c>
      <c r="H62" s="1">
        <v>4.0</v>
      </c>
      <c r="I62" s="1">
        <v>13.0</v>
      </c>
      <c r="J62" s="1">
        <v>10.0</v>
      </c>
      <c r="K62" s="1">
        <v>3.0</v>
      </c>
      <c r="L62" s="1">
        <v>28.0</v>
      </c>
      <c r="M62" s="1">
        <v>38.0</v>
      </c>
      <c r="N62" s="1">
        <v>22.0</v>
      </c>
      <c r="O62" s="1">
        <v>32.0</v>
      </c>
      <c r="P62" s="1">
        <v>16.0</v>
      </c>
      <c r="Q62" s="1">
        <v>28.0</v>
      </c>
    </row>
    <row r="63">
      <c r="A63" s="1">
        <v>791.0</v>
      </c>
      <c r="B63" s="1" t="s">
        <v>480</v>
      </c>
      <c r="C63" s="1" t="s">
        <v>944</v>
      </c>
      <c r="D63" s="1" t="s">
        <v>806</v>
      </c>
      <c r="E63" s="1" t="s">
        <v>1026</v>
      </c>
      <c r="F63" s="1">
        <v>7.0</v>
      </c>
      <c r="G63" s="1">
        <v>6.0</v>
      </c>
      <c r="H63" s="1">
        <v>1.0</v>
      </c>
      <c r="I63" s="1">
        <v>7.0</v>
      </c>
      <c r="J63" s="1">
        <v>7.0</v>
      </c>
      <c r="K63" s="1">
        <v>0.0</v>
      </c>
      <c r="L63" s="1">
        <v>9.0</v>
      </c>
      <c r="M63" s="1">
        <v>12.0</v>
      </c>
      <c r="N63" s="1">
        <v>10.0</v>
      </c>
      <c r="O63" s="1">
        <v>22.0</v>
      </c>
      <c r="P63" s="1">
        <v>12.0</v>
      </c>
      <c r="Q63" s="1">
        <v>10.0</v>
      </c>
    </row>
    <row r="64">
      <c r="A64" s="1">
        <v>795.0</v>
      </c>
      <c r="B64" s="1" t="s">
        <v>492</v>
      </c>
      <c r="C64" s="1" t="s">
        <v>563</v>
      </c>
      <c r="D64" s="1" t="s">
        <v>778</v>
      </c>
      <c r="E64" s="1" t="s">
        <v>988</v>
      </c>
      <c r="F64" s="1">
        <v>15.0</v>
      </c>
      <c r="G64" s="1">
        <v>8.0</v>
      </c>
      <c r="H64" s="1">
        <v>7.0</v>
      </c>
      <c r="I64" s="1">
        <v>15.0</v>
      </c>
      <c r="J64" s="1">
        <v>7.0</v>
      </c>
      <c r="K64" s="1">
        <v>8.0</v>
      </c>
      <c r="L64" s="1">
        <v>16.0</v>
      </c>
      <c r="M64" s="1">
        <v>16.0</v>
      </c>
      <c r="N64" s="1">
        <v>17.0</v>
      </c>
      <c r="O64" s="1">
        <v>39.0</v>
      </c>
      <c r="P64" s="1">
        <v>31.0</v>
      </c>
      <c r="Q64" s="1">
        <v>16.0</v>
      </c>
    </row>
    <row r="65">
      <c r="A65" s="1">
        <v>797.0</v>
      </c>
      <c r="B65" s="1" t="s">
        <v>477</v>
      </c>
      <c r="C65" s="1" t="s">
        <v>478</v>
      </c>
      <c r="D65" s="1" t="s">
        <v>1539</v>
      </c>
      <c r="E65" s="1" t="s">
        <v>985</v>
      </c>
      <c r="F65" s="1">
        <v>1.0</v>
      </c>
      <c r="G65" s="1">
        <v>1.0</v>
      </c>
      <c r="H65" s="1">
        <v>0.0</v>
      </c>
      <c r="I65" s="1">
        <v>1.0</v>
      </c>
      <c r="J65" s="1">
        <v>1.0</v>
      </c>
      <c r="K65" s="1">
        <v>0.0</v>
      </c>
      <c r="L65" s="1">
        <v>1.0</v>
      </c>
      <c r="M65" s="1">
        <v>1.0</v>
      </c>
      <c r="N65" s="1" t="e">
        <v>#N/A</v>
      </c>
      <c r="O65" s="1" t="e">
        <v>#N/A</v>
      </c>
      <c r="P65" s="1" t="e">
        <v>#N/A</v>
      </c>
      <c r="Q65" s="1" t="e">
        <v>#N/A</v>
      </c>
    </row>
    <row r="66">
      <c r="A66" s="1">
        <v>801.0</v>
      </c>
      <c r="B66" s="1" t="s">
        <v>492</v>
      </c>
      <c r="C66" s="1" t="s">
        <v>930</v>
      </c>
      <c r="D66" s="1" t="s">
        <v>1237</v>
      </c>
      <c r="E66" s="1" t="s">
        <v>1225</v>
      </c>
      <c r="F66" s="1">
        <v>2.0</v>
      </c>
      <c r="G66" s="1">
        <v>5.0</v>
      </c>
      <c r="H66" s="1">
        <v>-3.0</v>
      </c>
      <c r="I66" s="1">
        <v>2.0</v>
      </c>
      <c r="J66" s="1">
        <v>6.0</v>
      </c>
      <c r="K66" s="1">
        <v>-4.0</v>
      </c>
      <c r="L66" s="1">
        <v>4.0</v>
      </c>
      <c r="M66" s="1">
        <v>6.0</v>
      </c>
      <c r="N66" s="1">
        <v>11.0</v>
      </c>
      <c r="O66" s="1">
        <v>30.0</v>
      </c>
      <c r="P66" s="1">
        <v>14.0</v>
      </c>
      <c r="Q66" s="1">
        <v>8.0</v>
      </c>
    </row>
    <row r="67">
      <c r="A67" s="1">
        <v>827.0</v>
      </c>
      <c r="B67" s="1" t="s">
        <v>492</v>
      </c>
      <c r="C67" s="1" t="s">
        <v>930</v>
      </c>
      <c r="D67" s="1" t="s">
        <v>789</v>
      </c>
      <c r="E67" s="1" t="s">
        <v>976</v>
      </c>
      <c r="F67" s="1">
        <v>13.0</v>
      </c>
      <c r="G67" s="1">
        <v>8.0</v>
      </c>
      <c r="H67" s="1">
        <v>5.0</v>
      </c>
      <c r="I67" s="1">
        <v>13.0</v>
      </c>
      <c r="J67" s="1">
        <v>9.0</v>
      </c>
      <c r="K67" s="1">
        <v>4.0</v>
      </c>
      <c r="L67" s="1">
        <v>34.0</v>
      </c>
      <c r="M67" s="1">
        <v>44.0</v>
      </c>
      <c r="N67" s="1">
        <v>22.0</v>
      </c>
      <c r="O67" s="1">
        <v>33.0</v>
      </c>
      <c r="P67" s="1">
        <v>32.0</v>
      </c>
      <c r="Q67" s="1">
        <v>30.0</v>
      </c>
    </row>
    <row r="68">
      <c r="A68" s="1">
        <v>1843.0</v>
      </c>
      <c r="B68" s="1" t="s">
        <v>477</v>
      </c>
      <c r="C68" s="1" t="s">
        <v>478</v>
      </c>
      <c r="D68" s="1" t="s">
        <v>1640</v>
      </c>
      <c r="E68" s="1" t="s">
        <v>1233</v>
      </c>
      <c r="F68" s="1">
        <v>8.0</v>
      </c>
      <c r="G68" s="1">
        <v>3.0</v>
      </c>
      <c r="H68" s="1">
        <v>5.0</v>
      </c>
      <c r="I68" s="1">
        <v>8.0</v>
      </c>
      <c r="J68" s="1">
        <v>3.0</v>
      </c>
      <c r="K68" s="1">
        <v>5.0</v>
      </c>
      <c r="L68" s="1">
        <v>21.0</v>
      </c>
      <c r="M68" s="1">
        <v>21.0</v>
      </c>
      <c r="N68" s="1" t="e">
        <v>#N/A</v>
      </c>
      <c r="O68" s="1" t="e">
        <v>#N/A</v>
      </c>
      <c r="P68" s="1" t="e">
        <v>#N/A</v>
      </c>
      <c r="Q68" s="1" t="e">
        <v>#N/A</v>
      </c>
    </row>
    <row r="69">
      <c r="A69" s="1">
        <v>1852.0</v>
      </c>
      <c r="B69" s="1" t="s">
        <v>480</v>
      </c>
      <c r="C69" s="1" t="s">
        <v>521</v>
      </c>
      <c r="D69" s="1" t="s">
        <v>678</v>
      </c>
      <c r="E69" s="1" t="s">
        <v>987</v>
      </c>
      <c r="F69" s="1">
        <v>11.0</v>
      </c>
      <c r="G69" s="1">
        <v>13.0</v>
      </c>
      <c r="H69" s="1">
        <v>-2.0</v>
      </c>
      <c r="I69" s="1">
        <v>11.0</v>
      </c>
      <c r="J69" s="1">
        <v>12.0</v>
      </c>
      <c r="K69" s="1">
        <v>-1.0</v>
      </c>
      <c r="L69" s="1">
        <v>22.0</v>
      </c>
      <c r="M69" s="1">
        <v>22.0</v>
      </c>
      <c r="N69" s="1">
        <v>41.0</v>
      </c>
      <c r="O69" s="1">
        <v>20.0</v>
      </c>
      <c r="P69" s="1">
        <v>22.0</v>
      </c>
      <c r="Q69" s="1">
        <v>30.0</v>
      </c>
    </row>
    <row r="70">
      <c r="A70" s="1">
        <v>1870.0</v>
      </c>
      <c r="B70" s="1" t="s">
        <v>492</v>
      </c>
      <c r="C70" s="1" t="s">
        <v>492</v>
      </c>
      <c r="D70" s="1" t="s">
        <v>610</v>
      </c>
      <c r="E70" s="1" t="s">
        <v>973</v>
      </c>
      <c r="F70" s="1">
        <v>19.0</v>
      </c>
      <c r="G70" s="1">
        <v>20.0</v>
      </c>
      <c r="H70" s="1">
        <v>-1.0</v>
      </c>
      <c r="I70" s="1">
        <v>19.0</v>
      </c>
      <c r="J70" s="1">
        <v>19.0</v>
      </c>
      <c r="K70" s="1">
        <v>0.0</v>
      </c>
      <c r="L70" s="1">
        <v>55.0</v>
      </c>
      <c r="M70" s="1">
        <v>55.0</v>
      </c>
      <c r="N70" s="1">
        <v>75.0</v>
      </c>
      <c r="O70" s="1">
        <v>57.0</v>
      </c>
      <c r="P70" s="1">
        <v>78.0</v>
      </c>
      <c r="Q70" s="1">
        <v>61.0</v>
      </c>
    </row>
    <row r="71">
      <c r="A71" s="1">
        <v>1871.0</v>
      </c>
      <c r="B71" s="1" t="s">
        <v>492</v>
      </c>
      <c r="C71" s="1" t="s">
        <v>930</v>
      </c>
      <c r="D71" s="1" t="s">
        <v>1044</v>
      </c>
      <c r="E71" s="1" t="s">
        <v>975</v>
      </c>
      <c r="F71" s="1">
        <v>8.0</v>
      </c>
      <c r="G71" s="1">
        <v>4.0</v>
      </c>
      <c r="H71" s="1">
        <v>4.0</v>
      </c>
      <c r="I71" s="1">
        <v>8.0</v>
      </c>
      <c r="J71" s="1">
        <v>5.0</v>
      </c>
      <c r="K71" s="1">
        <v>3.0</v>
      </c>
      <c r="L71" s="1">
        <v>11.0</v>
      </c>
      <c r="M71" s="1">
        <v>14.0</v>
      </c>
      <c r="N71" s="1">
        <v>7.0</v>
      </c>
      <c r="O71" s="1">
        <v>10.0</v>
      </c>
      <c r="P71" s="1">
        <v>6.0</v>
      </c>
      <c r="Q71" s="1">
        <v>10.0</v>
      </c>
    </row>
    <row r="72">
      <c r="A72" s="1">
        <v>1926.0</v>
      </c>
      <c r="B72" s="1" t="s">
        <v>477</v>
      </c>
      <c r="C72" s="1" t="s">
        <v>478</v>
      </c>
      <c r="D72" s="1" t="s">
        <v>834</v>
      </c>
      <c r="E72" s="1" t="s">
        <v>973</v>
      </c>
      <c r="F72" s="1">
        <v>1.0</v>
      </c>
      <c r="G72" s="1">
        <v>1.0</v>
      </c>
      <c r="H72" s="1">
        <v>0.0</v>
      </c>
      <c r="I72" s="1">
        <v>1.0</v>
      </c>
      <c r="J72" s="1">
        <v>1.0</v>
      </c>
      <c r="K72" s="1">
        <v>0.0</v>
      </c>
      <c r="L72" s="1">
        <v>1.0</v>
      </c>
      <c r="M72" s="1">
        <v>1.0</v>
      </c>
      <c r="N72" s="1">
        <v>1.0</v>
      </c>
      <c r="O72" s="1">
        <v>1.0</v>
      </c>
      <c r="P72" s="1">
        <v>1.0</v>
      </c>
      <c r="Q72" s="1">
        <v>1.0</v>
      </c>
    </row>
    <row r="73">
      <c r="A73" s="1">
        <v>1930.0</v>
      </c>
      <c r="B73" s="1" t="s">
        <v>477</v>
      </c>
      <c r="C73" s="1" t="s">
        <v>478</v>
      </c>
      <c r="D73" s="1" t="s">
        <v>805</v>
      </c>
      <c r="E73" s="1" t="s">
        <v>976</v>
      </c>
      <c r="F73" s="1">
        <v>1.0</v>
      </c>
      <c r="G73" s="1">
        <v>1.0</v>
      </c>
      <c r="H73" s="1">
        <v>0.0</v>
      </c>
      <c r="I73" s="1">
        <v>1.0</v>
      </c>
      <c r="J73" s="1">
        <v>1.0</v>
      </c>
      <c r="K73" s="1">
        <v>0.0</v>
      </c>
      <c r="L73" s="1">
        <v>1.0</v>
      </c>
      <c r="M73" s="1">
        <v>1.0</v>
      </c>
      <c r="N73" s="1">
        <v>1.0</v>
      </c>
      <c r="O73" s="1">
        <v>1.0</v>
      </c>
      <c r="P73" s="1">
        <v>1.0</v>
      </c>
      <c r="Q73" s="1">
        <v>1.0</v>
      </c>
    </row>
    <row r="74">
      <c r="A74" s="1">
        <v>1933.0</v>
      </c>
      <c r="B74" s="1" t="s">
        <v>492</v>
      </c>
      <c r="C74" s="1" t="s">
        <v>930</v>
      </c>
      <c r="D74" s="1" t="s">
        <v>884</v>
      </c>
      <c r="E74" s="1" t="s">
        <v>1033</v>
      </c>
      <c r="F74" s="1">
        <v>17.0</v>
      </c>
      <c r="G74" s="1">
        <v>8.0</v>
      </c>
      <c r="H74" s="1">
        <v>9.0</v>
      </c>
      <c r="I74" s="1">
        <v>17.0</v>
      </c>
      <c r="J74" s="1">
        <v>9.0</v>
      </c>
      <c r="K74" s="1">
        <v>8.0</v>
      </c>
      <c r="L74" s="1">
        <v>43.0</v>
      </c>
      <c r="M74" s="1">
        <v>53.0</v>
      </c>
      <c r="N74" s="1">
        <v>18.0</v>
      </c>
      <c r="O74" s="1">
        <v>19.0</v>
      </c>
      <c r="P74" s="1">
        <v>16.0</v>
      </c>
      <c r="Q74" s="1">
        <v>32.0</v>
      </c>
    </row>
    <row r="75">
      <c r="A75" s="1">
        <v>1952.0</v>
      </c>
      <c r="B75" s="1" t="s">
        <v>480</v>
      </c>
      <c r="C75" s="1" t="s">
        <v>944</v>
      </c>
      <c r="D75" s="1" t="s">
        <v>630</v>
      </c>
      <c r="E75" s="1" t="s">
        <v>1233</v>
      </c>
      <c r="F75" s="1">
        <v>4.0</v>
      </c>
      <c r="G75" s="1">
        <v>5.0</v>
      </c>
      <c r="H75" s="1">
        <v>-1.0</v>
      </c>
      <c r="I75" s="1">
        <v>4.0</v>
      </c>
      <c r="J75" s="1">
        <v>6.0</v>
      </c>
      <c r="K75" s="1">
        <v>-2.0</v>
      </c>
      <c r="L75" s="1">
        <v>9.0</v>
      </c>
      <c r="M75" s="1">
        <v>11.0</v>
      </c>
      <c r="N75" s="1">
        <v>10.0</v>
      </c>
      <c r="O75" s="1" t="e">
        <v>#N/A</v>
      </c>
      <c r="P75" s="1" t="e">
        <v>#N/A</v>
      </c>
      <c r="Q75" s="1">
        <v>10.0</v>
      </c>
    </row>
    <row r="76">
      <c r="A76" s="1">
        <v>1958.0</v>
      </c>
      <c r="B76" s="1" t="s">
        <v>507</v>
      </c>
      <c r="C76" s="1" t="s">
        <v>507</v>
      </c>
      <c r="D76" s="1" t="s">
        <v>1239</v>
      </c>
      <c r="E76" s="1" t="s">
        <v>1225</v>
      </c>
      <c r="F76" s="1">
        <v>11.0</v>
      </c>
      <c r="G76" s="1">
        <v>9.0</v>
      </c>
      <c r="H76" s="1">
        <v>2.0</v>
      </c>
      <c r="I76" s="1">
        <v>11.0</v>
      </c>
      <c r="J76" s="1">
        <v>9.0</v>
      </c>
      <c r="K76" s="1">
        <v>2.0</v>
      </c>
      <c r="L76" s="1">
        <v>20.0</v>
      </c>
      <c r="M76" s="1">
        <v>20.0</v>
      </c>
      <c r="N76" s="1">
        <v>17.0</v>
      </c>
      <c r="O76" s="1">
        <v>15.0</v>
      </c>
      <c r="P76" s="1">
        <v>45.0</v>
      </c>
      <c r="Q76" s="1">
        <v>17.0</v>
      </c>
    </row>
    <row r="77">
      <c r="A77" s="1">
        <v>1978.0</v>
      </c>
      <c r="B77" s="1" t="s">
        <v>492</v>
      </c>
      <c r="C77" s="1" t="s">
        <v>934</v>
      </c>
      <c r="D77" s="1" t="s">
        <v>1240</v>
      </c>
      <c r="E77" s="1" t="s">
        <v>1225</v>
      </c>
      <c r="F77" s="1">
        <v>5.0</v>
      </c>
      <c r="G77" s="1">
        <v>7.0</v>
      </c>
      <c r="H77" s="1">
        <v>-2.0</v>
      </c>
      <c r="I77" s="1">
        <v>5.0</v>
      </c>
      <c r="J77" s="1">
        <v>7.0</v>
      </c>
      <c r="K77" s="1">
        <v>-2.0</v>
      </c>
      <c r="L77" s="1">
        <v>9.0</v>
      </c>
      <c r="M77" s="1">
        <v>9.0</v>
      </c>
      <c r="N77" s="1">
        <v>16.0</v>
      </c>
      <c r="O77" s="1">
        <v>10.0</v>
      </c>
      <c r="P77" s="1">
        <v>10.0</v>
      </c>
      <c r="Q77" s="1">
        <v>12.0</v>
      </c>
    </row>
    <row r="78">
      <c r="A78" s="1">
        <v>1987.0</v>
      </c>
      <c r="B78" s="1" t="s">
        <v>492</v>
      </c>
      <c r="C78" s="1" t="s">
        <v>1242</v>
      </c>
      <c r="D78" s="1" t="s">
        <v>1241</v>
      </c>
      <c r="E78" s="1" t="s">
        <v>975</v>
      </c>
      <c r="F78" s="1">
        <v>1.0</v>
      </c>
      <c r="G78" s="1">
        <v>3.0</v>
      </c>
      <c r="H78" s="1">
        <v>-2.0</v>
      </c>
      <c r="I78" s="1">
        <v>1.0</v>
      </c>
      <c r="J78" s="1">
        <v>4.0</v>
      </c>
      <c r="K78" s="1">
        <v>-3.0</v>
      </c>
      <c r="L78" s="1">
        <v>6.0</v>
      </c>
      <c r="M78" s="1">
        <v>7.0</v>
      </c>
      <c r="N78" s="1">
        <v>7.0</v>
      </c>
      <c r="O78" s="1">
        <v>15.0</v>
      </c>
      <c r="P78" s="1">
        <v>18.0</v>
      </c>
      <c r="Q78" s="1">
        <v>7.0</v>
      </c>
    </row>
    <row r="79">
      <c r="A79" s="1">
        <v>2008.0</v>
      </c>
      <c r="B79" s="1" t="s">
        <v>492</v>
      </c>
      <c r="C79" s="1" t="s">
        <v>930</v>
      </c>
      <c r="D79" s="1" t="s">
        <v>1243</v>
      </c>
      <c r="E79" s="1" t="s">
        <v>972</v>
      </c>
      <c r="F79" s="1">
        <v>4.0</v>
      </c>
      <c r="G79" s="1">
        <v>3.0</v>
      </c>
      <c r="H79" s="1">
        <v>1.0</v>
      </c>
      <c r="I79" s="1">
        <v>4.0</v>
      </c>
      <c r="J79" s="1">
        <v>3.0</v>
      </c>
      <c r="K79" s="1">
        <v>1.0</v>
      </c>
      <c r="L79" s="1">
        <v>12.0</v>
      </c>
      <c r="M79" s="1">
        <v>15.0</v>
      </c>
      <c r="N79" s="1">
        <v>7.0</v>
      </c>
      <c r="O79" s="1">
        <v>19.0</v>
      </c>
      <c r="P79" s="1">
        <v>7.0</v>
      </c>
      <c r="Q79" s="1">
        <v>10.0</v>
      </c>
    </row>
    <row r="80">
      <c r="A80" s="1">
        <v>2012.0</v>
      </c>
      <c r="B80" s="1" t="s">
        <v>507</v>
      </c>
      <c r="C80" s="1" t="s">
        <v>512</v>
      </c>
      <c r="D80" s="1" t="s">
        <v>1108</v>
      </c>
      <c r="E80" s="1" t="s">
        <v>976</v>
      </c>
      <c r="F80" s="1">
        <v>1.0</v>
      </c>
      <c r="G80" s="1">
        <v>12.0</v>
      </c>
      <c r="H80" s="1">
        <v>-11.0</v>
      </c>
      <c r="I80" s="1">
        <v>1.0</v>
      </c>
      <c r="J80" s="1">
        <v>10.0</v>
      </c>
      <c r="K80" s="1">
        <v>-9.0</v>
      </c>
      <c r="L80" s="1">
        <v>3.0</v>
      </c>
      <c r="M80" s="1">
        <v>3.0</v>
      </c>
      <c r="N80" s="1">
        <v>18.0</v>
      </c>
      <c r="O80" s="1">
        <v>20.0</v>
      </c>
      <c r="P80" s="1">
        <v>82.0</v>
      </c>
      <c r="Q80" s="1">
        <v>10.0</v>
      </c>
    </row>
    <row r="81">
      <c r="A81" s="1">
        <v>2038.0</v>
      </c>
      <c r="B81" s="1" t="s">
        <v>507</v>
      </c>
      <c r="C81" s="1" t="s">
        <v>512</v>
      </c>
      <c r="D81" s="1" t="s">
        <v>740</v>
      </c>
      <c r="E81" s="1" t="s">
        <v>1026</v>
      </c>
      <c r="F81" s="1">
        <v>19.0</v>
      </c>
      <c r="G81" s="1">
        <v>18.0</v>
      </c>
      <c r="H81" s="1">
        <v>1.0</v>
      </c>
      <c r="I81" s="1">
        <v>18.0</v>
      </c>
      <c r="J81" s="1">
        <v>17.0</v>
      </c>
      <c r="K81" s="1">
        <v>1.0</v>
      </c>
      <c r="L81" s="1">
        <v>85.0</v>
      </c>
      <c r="M81" s="1">
        <v>82.0</v>
      </c>
      <c r="N81" s="1">
        <v>95.0</v>
      </c>
      <c r="O81" s="1">
        <v>110.0</v>
      </c>
      <c r="P81" s="1">
        <v>55.0</v>
      </c>
      <c r="Q81" s="1">
        <v>83.0</v>
      </c>
    </row>
    <row r="82">
      <c r="A82" s="1">
        <v>2061.0</v>
      </c>
      <c r="B82" s="1" t="s">
        <v>507</v>
      </c>
      <c r="C82" s="1" t="s">
        <v>512</v>
      </c>
      <c r="D82" s="1" t="s">
        <v>1180</v>
      </c>
      <c r="E82" s="1" t="s">
        <v>987</v>
      </c>
      <c r="F82" s="1">
        <v>7.0</v>
      </c>
      <c r="G82" s="1">
        <v>11.0</v>
      </c>
      <c r="H82" s="1">
        <v>-4.0</v>
      </c>
      <c r="I82" s="1">
        <v>7.0</v>
      </c>
      <c r="J82" s="1">
        <v>10.0</v>
      </c>
      <c r="K82" s="1">
        <v>-3.0</v>
      </c>
      <c r="L82" s="1">
        <v>7.0</v>
      </c>
      <c r="M82" s="1">
        <v>7.0</v>
      </c>
      <c r="N82" s="1">
        <v>13.0</v>
      </c>
      <c r="O82" s="1">
        <v>10.0</v>
      </c>
      <c r="P82" s="1">
        <v>23.0</v>
      </c>
      <c r="Q82" s="1">
        <v>10.0</v>
      </c>
    </row>
    <row r="83">
      <c r="A83" s="1">
        <v>2077.0</v>
      </c>
      <c r="B83" s="1" t="s">
        <v>492</v>
      </c>
      <c r="C83" s="1" t="s">
        <v>934</v>
      </c>
      <c r="D83" s="1" t="s">
        <v>803</v>
      </c>
      <c r="E83" s="1" t="s">
        <v>980</v>
      </c>
      <c r="F83" s="1">
        <v>11.0</v>
      </c>
      <c r="G83" s="1">
        <v>15.0</v>
      </c>
      <c r="H83" s="1">
        <v>-4.0</v>
      </c>
      <c r="I83" s="1">
        <v>11.0</v>
      </c>
      <c r="J83" s="1">
        <v>15.0</v>
      </c>
      <c r="K83" s="1">
        <v>-4.0</v>
      </c>
      <c r="L83" s="1">
        <v>27.0</v>
      </c>
      <c r="M83" s="1">
        <v>27.0</v>
      </c>
      <c r="N83" s="1">
        <v>52.0</v>
      </c>
      <c r="O83" s="1">
        <v>130.0</v>
      </c>
      <c r="P83" s="1">
        <v>25.0</v>
      </c>
      <c r="Q83" s="1">
        <v>38.0</v>
      </c>
    </row>
    <row r="84">
      <c r="A84" s="1">
        <v>2097.0</v>
      </c>
      <c r="B84" s="1" t="s">
        <v>507</v>
      </c>
      <c r="C84" s="1" t="s">
        <v>512</v>
      </c>
      <c r="D84" s="1" t="s">
        <v>108</v>
      </c>
      <c r="E84" s="1" t="s">
        <v>1033</v>
      </c>
      <c r="F84" s="1">
        <v>34.0</v>
      </c>
      <c r="G84" s="1">
        <v>21.0</v>
      </c>
      <c r="H84" s="1">
        <v>13.0</v>
      </c>
      <c r="I84" s="1">
        <v>34.0</v>
      </c>
      <c r="J84" s="1">
        <v>21.0</v>
      </c>
      <c r="K84" s="1">
        <v>13.0</v>
      </c>
      <c r="L84" s="1">
        <v>436.0</v>
      </c>
      <c r="M84" s="1">
        <v>436.0</v>
      </c>
      <c r="N84" s="1">
        <v>97.0</v>
      </c>
      <c r="O84" s="1">
        <v>10.0</v>
      </c>
      <c r="P84" s="1">
        <v>17.0</v>
      </c>
      <c r="Q84" s="1">
        <v>241.0</v>
      </c>
    </row>
    <row r="85">
      <c r="A85" s="1">
        <v>2103.0</v>
      </c>
      <c r="B85" s="1" t="s">
        <v>507</v>
      </c>
      <c r="C85" s="1" t="s">
        <v>512</v>
      </c>
      <c r="D85" s="1" t="s">
        <v>1245</v>
      </c>
      <c r="E85" s="1" t="s">
        <v>1222</v>
      </c>
      <c r="F85" s="1">
        <v>4.0</v>
      </c>
      <c r="G85" s="1">
        <v>3.0</v>
      </c>
      <c r="H85" s="1">
        <v>1.0</v>
      </c>
      <c r="I85" s="1">
        <v>4.0</v>
      </c>
      <c r="J85" s="1">
        <v>3.0</v>
      </c>
      <c r="K85" s="1">
        <v>1.0</v>
      </c>
      <c r="L85" s="1">
        <v>29.0</v>
      </c>
      <c r="M85" s="1">
        <v>29.0</v>
      </c>
      <c r="N85" s="1">
        <v>6.0</v>
      </c>
      <c r="O85" s="1">
        <v>10.0</v>
      </c>
      <c r="P85" s="1">
        <v>7.0</v>
      </c>
      <c r="Q85" s="1">
        <v>16.0</v>
      </c>
    </row>
    <row r="86">
      <c r="A86" s="1">
        <v>2117.0</v>
      </c>
      <c r="B86" s="1" t="s">
        <v>492</v>
      </c>
      <c r="C86" s="1" t="s">
        <v>934</v>
      </c>
      <c r="D86" s="1" t="s">
        <v>1084</v>
      </c>
      <c r="E86" s="1" t="s">
        <v>983</v>
      </c>
      <c r="F86" s="1">
        <v>5.0</v>
      </c>
      <c r="G86" s="1">
        <v>4.0</v>
      </c>
      <c r="H86" s="1">
        <v>1.0</v>
      </c>
      <c r="I86" s="1">
        <v>5.0</v>
      </c>
      <c r="J86" s="1">
        <v>4.0</v>
      </c>
      <c r="K86" s="1">
        <v>1.0</v>
      </c>
      <c r="L86" s="1">
        <v>9.0</v>
      </c>
      <c r="M86" s="1">
        <v>9.0</v>
      </c>
      <c r="N86" s="1">
        <v>7.0</v>
      </c>
      <c r="O86" s="1">
        <v>13.0</v>
      </c>
      <c r="P86" s="1">
        <v>12.0</v>
      </c>
      <c r="Q86" s="1">
        <v>7.0</v>
      </c>
    </row>
    <row r="87">
      <c r="A87" s="1">
        <v>2120.0</v>
      </c>
      <c r="B87" s="1" t="s">
        <v>480</v>
      </c>
      <c r="C87" s="1" t="s">
        <v>481</v>
      </c>
      <c r="D87" s="1" t="s">
        <v>192</v>
      </c>
      <c r="E87" s="1" t="s">
        <v>973</v>
      </c>
      <c r="F87" s="1">
        <v>16.0</v>
      </c>
      <c r="G87" s="1">
        <v>16.0</v>
      </c>
      <c r="H87" s="1">
        <v>0.0</v>
      </c>
      <c r="I87" s="1">
        <v>16.0</v>
      </c>
      <c r="J87" s="1">
        <v>16.0</v>
      </c>
      <c r="K87" s="1">
        <v>0.0</v>
      </c>
      <c r="L87" s="1">
        <v>86.0</v>
      </c>
      <c r="M87" s="1">
        <v>86.0</v>
      </c>
      <c r="N87" s="1">
        <v>50.0</v>
      </c>
      <c r="O87" s="1">
        <v>85.0</v>
      </c>
      <c r="P87" s="1">
        <v>48.0</v>
      </c>
      <c r="Q87" s="1">
        <v>63.0</v>
      </c>
    </row>
    <row r="88">
      <c r="A88" s="1">
        <v>2134.0</v>
      </c>
      <c r="B88" s="1" t="s">
        <v>477</v>
      </c>
      <c r="C88" s="1" t="s">
        <v>478</v>
      </c>
      <c r="D88" s="1" t="s">
        <v>204</v>
      </c>
      <c r="E88" s="1" t="s">
        <v>998</v>
      </c>
      <c r="F88" s="1">
        <v>11.0</v>
      </c>
      <c r="G88" s="1">
        <v>9.0</v>
      </c>
      <c r="H88" s="1">
        <v>2.0</v>
      </c>
      <c r="I88" s="1">
        <v>11.0</v>
      </c>
      <c r="J88" s="1">
        <v>9.0</v>
      </c>
      <c r="K88" s="1">
        <v>2.0</v>
      </c>
      <c r="L88" s="1">
        <v>24.0</v>
      </c>
      <c r="M88" s="1">
        <v>24.0</v>
      </c>
      <c r="N88" s="1">
        <v>29.0</v>
      </c>
      <c r="O88" s="1">
        <v>25.0</v>
      </c>
      <c r="P88" s="1">
        <v>22.0</v>
      </c>
      <c r="Q88" s="1">
        <v>25.0</v>
      </c>
    </row>
    <row r="89">
      <c r="A89" s="1">
        <v>2137.0</v>
      </c>
      <c r="B89" s="1" t="s">
        <v>507</v>
      </c>
      <c r="C89" s="1" t="s">
        <v>512</v>
      </c>
      <c r="D89" s="1" t="s">
        <v>452</v>
      </c>
      <c r="E89" s="1" t="s">
        <v>980</v>
      </c>
      <c r="F89" s="1">
        <v>14.0</v>
      </c>
      <c r="G89" s="1">
        <v>28.0</v>
      </c>
      <c r="H89" s="1">
        <v>-14.0</v>
      </c>
      <c r="I89" s="1">
        <v>13.0</v>
      </c>
      <c r="J89" s="1">
        <v>27.0</v>
      </c>
      <c r="K89" s="1">
        <v>-14.0</v>
      </c>
      <c r="L89" s="1">
        <v>70.0</v>
      </c>
      <c r="M89" s="1">
        <v>70.0</v>
      </c>
      <c r="N89" s="1">
        <v>140.0</v>
      </c>
      <c r="O89" s="1">
        <v>330.0</v>
      </c>
      <c r="P89" s="1">
        <v>195.0</v>
      </c>
      <c r="Q89" s="1">
        <v>100.0</v>
      </c>
    </row>
    <row r="90">
      <c r="A90" s="1">
        <v>2155.0</v>
      </c>
      <c r="B90" s="1" t="s">
        <v>507</v>
      </c>
      <c r="C90" s="1" t="s">
        <v>512</v>
      </c>
      <c r="D90" s="1" t="s">
        <v>716</v>
      </c>
      <c r="E90" s="1" t="s">
        <v>974</v>
      </c>
      <c r="F90" s="1">
        <v>17.0</v>
      </c>
      <c r="G90" s="1">
        <v>9.0</v>
      </c>
      <c r="H90" s="1">
        <v>8.0</v>
      </c>
      <c r="I90" s="1">
        <v>16.0</v>
      </c>
      <c r="J90" s="1">
        <v>8.0</v>
      </c>
      <c r="K90" s="1">
        <v>8.0</v>
      </c>
      <c r="L90" s="1">
        <v>26.0</v>
      </c>
      <c r="M90" s="1">
        <v>23.0</v>
      </c>
      <c r="N90" s="1">
        <v>20.0</v>
      </c>
      <c r="O90" s="1" t="e">
        <v>#N/A</v>
      </c>
      <c r="P90" s="1" t="e">
        <v>#N/A</v>
      </c>
      <c r="Q90" s="1">
        <v>20.0</v>
      </c>
    </row>
    <row r="91">
      <c r="A91" s="1">
        <v>2160.0</v>
      </c>
      <c r="B91" s="1" t="s">
        <v>480</v>
      </c>
      <c r="C91" s="1" t="s">
        <v>521</v>
      </c>
      <c r="D91" s="1" t="s">
        <v>662</v>
      </c>
      <c r="E91" s="1" t="s">
        <v>1033</v>
      </c>
      <c r="F91" s="1">
        <v>16.0</v>
      </c>
      <c r="G91" s="1">
        <v>13.0</v>
      </c>
      <c r="H91" s="1">
        <v>3.0</v>
      </c>
      <c r="I91" s="1">
        <v>16.0</v>
      </c>
      <c r="J91" s="1">
        <v>12.0</v>
      </c>
      <c r="K91" s="1">
        <v>4.0</v>
      </c>
      <c r="L91" s="1">
        <v>74.0</v>
      </c>
      <c r="M91" s="1">
        <v>74.0</v>
      </c>
      <c r="N91" s="1">
        <v>37.0</v>
      </c>
      <c r="O91" s="1" t="e">
        <v>#N/A</v>
      </c>
      <c r="P91" s="1" t="e">
        <v>#N/A</v>
      </c>
      <c r="Q91" s="1">
        <v>51.0</v>
      </c>
    </row>
    <row r="92">
      <c r="A92" s="1">
        <v>2161.0</v>
      </c>
      <c r="B92" s="1" t="s">
        <v>492</v>
      </c>
      <c r="C92" s="1" t="s">
        <v>930</v>
      </c>
      <c r="D92" s="1" t="s">
        <v>1246</v>
      </c>
      <c r="E92" s="1" t="s">
        <v>1222</v>
      </c>
      <c r="F92" s="1">
        <v>2.0</v>
      </c>
      <c r="G92" s="1">
        <v>2.0</v>
      </c>
      <c r="H92" s="1">
        <v>0.0</v>
      </c>
      <c r="I92" s="1">
        <v>2.0</v>
      </c>
      <c r="J92" s="1">
        <v>2.0</v>
      </c>
      <c r="K92" s="1">
        <v>0.0</v>
      </c>
      <c r="L92" s="1">
        <v>3.0</v>
      </c>
      <c r="M92" s="1">
        <v>3.0</v>
      </c>
      <c r="N92" s="1">
        <v>3.0</v>
      </c>
      <c r="O92" s="1" t="e">
        <v>#N/A</v>
      </c>
      <c r="P92" s="1" t="e">
        <v>#N/A</v>
      </c>
      <c r="Q92" s="1">
        <v>3.0</v>
      </c>
    </row>
    <row r="93">
      <c r="A93" s="1">
        <v>2167.0</v>
      </c>
      <c r="B93" s="1" t="s">
        <v>492</v>
      </c>
      <c r="C93" s="1" t="s">
        <v>563</v>
      </c>
      <c r="D93" s="1" t="s">
        <v>670</v>
      </c>
      <c r="E93" s="1" t="s">
        <v>1009</v>
      </c>
      <c r="F93" s="1">
        <v>36.0</v>
      </c>
      <c r="G93" s="1">
        <v>21.0</v>
      </c>
      <c r="H93" s="1">
        <v>15.0</v>
      </c>
      <c r="I93" s="1">
        <v>36.0</v>
      </c>
      <c r="J93" s="1">
        <v>21.0</v>
      </c>
      <c r="K93" s="1">
        <v>15.0</v>
      </c>
      <c r="L93" s="1">
        <v>245.0</v>
      </c>
      <c r="M93" s="1">
        <v>245.0</v>
      </c>
      <c r="N93" s="1">
        <v>88.0</v>
      </c>
      <c r="O93" s="1">
        <v>200.0</v>
      </c>
      <c r="P93" s="1">
        <v>91.0</v>
      </c>
      <c r="Q93" s="1">
        <v>152.0</v>
      </c>
    </row>
    <row r="94">
      <c r="A94" s="1">
        <v>2170.0</v>
      </c>
      <c r="B94" s="1" t="s">
        <v>477</v>
      </c>
      <c r="C94" s="1" t="s">
        <v>478</v>
      </c>
      <c r="D94" s="1" t="s">
        <v>734</v>
      </c>
      <c r="E94" s="1" t="s">
        <v>972</v>
      </c>
      <c r="F94" s="1">
        <v>16.0</v>
      </c>
      <c r="G94" s="1">
        <v>10.0</v>
      </c>
      <c r="H94" s="1">
        <v>6.0</v>
      </c>
      <c r="I94" s="1">
        <v>16.0</v>
      </c>
      <c r="J94" s="1">
        <v>10.0</v>
      </c>
      <c r="K94" s="1">
        <v>6.0</v>
      </c>
      <c r="L94" s="1">
        <v>66.0</v>
      </c>
      <c r="M94" s="1">
        <v>66.0</v>
      </c>
      <c r="N94" s="1">
        <v>47.0</v>
      </c>
      <c r="O94" s="1">
        <v>65.0</v>
      </c>
      <c r="P94" s="1">
        <v>31.0</v>
      </c>
      <c r="Q94" s="1">
        <v>52.0</v>
      </c>
    </row>
    <row r="95">
      <c r="A95" s="1">
        <v>2181.0</v>
      </c>
      <c r="B95" s="1" t="s">
        <v>480</v>
      </c>
      <c r="C95" s="1" t="s">
        <v>481</v>
      </c>
      <c r="D95" s="1" t="s">
        <v>1247</v>
      </c>
      <c r="E95" s="1" t="s">
        <v>975</v>
      </c>
      <c r="F95" s="1">
        <v>5.0</v>
      </c>
      <c r="G95" s="1">
        <v>5.0</v>
      </c>
      <c r="H95" s="1">
        <v>0.0</v>
      </c>
      <c r="I95" s="1">
        <v>5.0</v>
      </c>
      <c r="J95" s="1">
        <v>5.0</v>
      </c>
      <c r="K95" s="1">
        <v>0.0</v>
      </c>
      <c r="L95" s="1">
        <v>10.0</v>
      </c>
      <c r="M95" s="1">
        <v>10.0</v>
      </c>
      <c r="N95" s="1">
        <v>8.0</v>
      </c>
      <c r="O95" s="1">
        <v>8.0</v>
      </c>
      <c r="P95" s="1">
        <v>8.0</v>
      </c>
      <c r="Q95" s="1">
        <v>8.0</v>
      </c>
    </row>
    <row r="96">
      <c r="A96" s="1">
        <v>2188.0</v>
      </c>
      <c r="B96" s="1" t="s">
        <v>480</v>
      </c>
      <c r="C96" s="1" t="s">
        <v>944</v>
      </c>
      <c r="D96" s="1" t="s">
        <v>793</v>
      </c>
      <c r="E96" s="1" t="s">
        <v>1000</v>
      </c>
      <c r="F96" s="1">
        <v>11.0</v>
      </c>
      <c r="G96" s="1">
        <v>6.0</v>
      </c>
      <c r="H96" s="1">
        <v>5.0</v>
      </c>
      <c r="I96" s="1">
        <v>11.0</v>
      </c>
      <c r="J96" s="1">
        <v>7.0</v>
      </c>
      <c r="K96" s="1">
        <v>4.0</v>
      </c>
      <c r="L96" s="1">
        <v>29.0</v>
      </c>
      <c r="M96" s="1">
        <v>34.0</v>
      </c>
      <c r="N96" s="1">
        <v>12.0</v>
      </c>
      <c r="O96" s="1">
        <v>24.0</v>
      </c>
      <c r="P96" s="1">
        <v>20.0</v>
      </c>
      <c r="Q96" s="1">
        <v>21.0</v>
      </c>
    </row>
    <row r="97">
      <c r="A97" s="1">
        <v>2194.0</v>
      </c>
      <c r="B97" s="1" t="s">
        <v>492</v>
      </c>
      <c r="C97" s="1" t="s">
        <v>930</v>
      </c>
      <c r="D97" s="1" t="s">
        <v>719</v>
      </c>
      <c r="E97" s="1" t="s">
        <v>973</v>
      </c>
      <c r="F97" s="1">
        <v>20.0</v>
      </c>
      <c r="G97" s="1">
        <v>28.0</v>
      </c>
      <c r="H97" s="1">
        <v>-8.0</v>
      </c>
      <c r="I97" s="1">
        <v>20.0</v>
      </c>
      <c r="J97" s="1">
        <v>30.0</v>
      </c>
      <c r="K97" s="1">
        <v>-10.0</v>
      </c>
      <c r="L97" s="1">
        <v>116.0</v>
      </c>
      <c r="M97" s="1">
        <v>126.0</v>
      </c>
      <c r="N97" s="1">
        <v>183.0</v>
      </c>
      <c r="O97" s="1">
        <v>330.0</v>
      </c>
      <c r="P97" s="1">
        <v>81.0</v>
      </c>
      <c r="Q97" s="1">
        <v>146.0</v>
      </c>
    </row>
    <row r="98">
      <c r="A98" s="1">
        <v>2211.0</v>
      </c>
      <c r="B98" s="1" t="s">
        <v>477</v>
      </c>
      <c r="C98" s="1" t="s">
        <v>478</v>
      </c>
      <c r="D98" s="1" t="s">
        <v>1179</v>
      </c>
      <c r="E98" s="1" t="s">
        <v>1222</v>
      </c>
      <c r="F98" s="1">
        <v>1.0</v>
      </c>
      <c r="G98" s="1">
        <v>1.0</v>
      </c>
      <c r="H98" s="1">
        <v>0.0</v>
      </c>
      <c r="I98" s="1">
        <v>1.0</v>
      </c>
      <c r="J98" s="1">
        <v>1.0</v>
      </c>
      <c r="K98" s="1">
        <v>0.0</v>
      </c>
      <c r="L98" s="1">
        <v>1.0</v>
      </c>
      <c r="M98" s="1">
        <v>1.0</v>
      </c>
      <c r="N98" s="1" t="e">
        <v>#N/A</v>
      </c>
      <c r="O98" s="1">
        <v>1.0</v>
      </c>
      <c r="P98" s="1">
        <v>31.0</v>
      </c>
      <c r="Q98" s="1" t="e">
        <v>#N/A</v>
      </c>
    </row>
    <row r="99">
      <c r="A99" s="1">
        <v>2263.0</v>
      </c>
      <c r="B99" s="1" t="s">
        <v>480</v>
      </c>
      <c r="C99" s="1" t="s">
        <v>938</v>
      </c>
      <c r="D99" s="1" t="s">
        <v>788</v>
      </c>
      <c r="E99" s="1" t="s">
        <v>1000</v>
      </c>
      <c r="F99" s="1">
        <v>5.0</v>
      </c>
      <c r="G99" s="1">
        <v>5.0</v>
      </c>
      <c r="H99" s="1">
        <v>0.0</v>
      </c>
      <c r="I99" s="1">
        <v>5.0</v>
      </c>
      <c r="J99" s="1">
        <v>5.0</v>
      </c>
      <c r="K99" s="1">
        <v>0.0</v>
      </c>
      <c r="L99" s="1">
        <v>10.0</v>
      </c>
      <c r="M99" s="1">
        <v>10.0</v>
      </c>
      <c r="N99" s="1">
        <v>12.0</v>
      </c>
      <c r="O99" s="1">
        <v>24.0</v>
      </c>
      <c r="P99" s="1">
        <v>16.0</v>
      </c>
      <c r="Q99" s="1">
        <v>10.0</v>
      </c>
    </row>
    <row r="100">
      <c r="A100" s="1">
        <v>2285.0</v>
      </c>
      <c r="B100" s="1" t="s">
        <v>480</v>
      </c>
      <c r="C100" s="1" t="s">
        <v>481</v>
      </c>
      <c r="D100" s="1" t="s">
        <v>858</v>
      </c>
      <c r="E100" s="1" t="s">
        <v>1026</v>
      </c>
      <c r="F100" s="1">
        <v>5.0</v>
      </c>
      <c r="G100" s="1">
        <v>7.0</v>
      </c>
      <c r="H100" s="1">
        <v>-2.0</v>
      </c>
      <c r="I100" s="1">
        <v>5.0</v>
      </c>
      <c r="J100" s="1">
        <v>7.0</v>
      </c>
      <c r="K100" s="1">
        <v>-2.0</v>
      </c>
      <c r="L100" s="1">
        <v>11.0</v>
      </c>
      <c r="M100" s="1">
        <v>11.0</v>
      </c>
      <c r="N100" s="1">
        <v>14.0</v>
      </c>
      <c r="O100" s="1">
        <v>24.0</v>
      </c>
      <c r="P100" s="1">
        <v>6.0</v>
      </c>
      <c r="Q100" s="1">
        <v>12.0</v>
      </c>
    </row>
    <row r="101">
      <c r="A101" s="1">
        <v>2296.0</v>
      </c>
      <c r="B101" s="1" t="s">
        <v>480</v>
      </c>
      <c r="C101" s="1" t="s">
        <v>481</v>
      </c>
      <c r="D101" s="1" t="s">
        <v>70</v>
      </c>
      <c r="E101" s="1" t="s">
        <v>988</v>
      </c>
      <c r="F101" s="1">
        <v>14.0</v>
      </c>
      <c r="G101" s="1">
        <v>10.0</v>
      </c>
      <c r="H101" s="1">
        <v>4.0</v>
      </c>
      <c r="I101" s="1">
        <v>14.0</v>
      </c>
      <c r="J101" s="1">
        <v>10.0</v>
      </c>
      <c r="K101" s="1">
        <v>4.0</v>
      </c>
      <c r="L101" s="1">
        <v>33.0</v>
      </c>
      <c r="M101" s="1">
        <v>33.0</v>
      </c>
      <c r="N101" s="1">
        <v>26.0</v>
      </c>
      <c r="O101" s="1">
        <v>60.0</v>
      </c>
      <c r="P101" s="1">
        <v>26.0</v>
      </c>
      <c r="Q101" s="1">
        <v>27.0</v>
      </c>
    </row>
    <row r="102">
      <c r="A102" s="1">
        <v>2297.0</v>
      </c>
      <c r="B102" s="1" t="s">
        <v>477</v>
      </c>
      <c r="C102" s="1" t="s">
        <v>478</v>
      </c>
      <c r="D102" s="1" t="s">
        <v>418</v>
      </c>
      <c r="E102" s="1" t="s">
        <v>980</v>
      </c>
      <c r="F102" s="1">
        <v>1.0</v>
      </c>
      <c r="G102" s="1">
        <v>1.0</v>
      </c>
      <c r="H102" s="1">
        <v>0.0</v>
      </c>
      <c r="I102" s="1">
        <v>1.0</v>
      </c>
      <c r="J102" s="1">
        <v>1.0</v>
      </c>
      <c r="K102" s="1">
        <v>0.0</v>
      </c>
      <c r="L102" s="1">
        <v>1.0</v>
      </c>
      <c r="M102" s="1">
        <v>1.0</v>
      </c>
      <c r="N102" s="1">
        <v>1.0</v>
      </c>
      <c r="O102" s="1">
        <v>1.0</v>
      </c>
      <c r="P102" s="1">
        <v>1.0</v>
      </c>
      <c r="Q102" s="1">
        <v>1.0</v>
      </c>
    </row>
    <row r="103">
      <c r="A103" s="1">
        <v>2325.0</v>
      </c>
      <c r="B103" s="1" t="s">
        <v>507</v>
      </c>
      <c r="C103" s="1" t="s">
        <v>507</v>
      </c>
      <c r="D103" s="1" t="s">
        <v>1250</v>
      </c>
      <c r="E103" s="1" t="s">
        <v>972</v>
      </c>
      <c r="F103" s="1">
        <v>6.0</v>
      </c>
      <c r="G103" s="1">
        <v>1.0</v>
      </c>
      <c r="H103" s="1">
        <v>5.0</v>
      </c>
      <c r="I103" s="1">
        <v>6.0</v>
      </c>
      <c r="J103" s="1">
        <v>1.0</v>
      </c>
      <c r="K103" s="1">
        <v>5.0</v>
      </c>
      <c r="L103" s="1">
        <v>9.0</v>
      </c>
      <c r="M103" s="1">
        <v>9.0</v>
      </c>
      <c r="N103" s="1">
        <v>1.0</v>
      </c>
      <c r="O103" s="1" t="e">
        <v>#N/A</v>
      </c>
      <c r="P103" s="1">
        <v>6.0</v>
      </c>
      <c r="Q103" s="1">
        <v>5.0</v>
      </c>
    </row>
    <row r="104">
      <c r="A104" s="1">
        <v>2369.0</v>
      </c>
      <c r="B104" s="1" t="s">
        <v>507</v>
      </c>
      <c r="C104" s="1" t="s">
        <v>507</v>
      </c>
      <c r="D104" s="1" t="s">
        <v>857</v>
      </c>
      <c r="E104" s="1" t="s">
        <v>993</v>
      </c>
      <c r="F104" s="1">
        <v>18.0</v>
      </c>
      <c r="G104" s="1">
        <v>10.0</v>
      </c>
      <c r="H104" s="1">
        <v>8.0</v>
      </c>
      <c r="I104" s="1">
        <v>18.0</v>
      </c>
      <c r="J104" s="1">
        <v>10.0</v>
      </c>
      <c r="K104" s="1">
        <v>8.0</v>
      </c>
      <c r="L104" s="1">
        <v>38.0</v>
      </c>
      <c r="M104" s="1">
        <v>38.0</v>
      </c>
      <c r="N104" s="1">
        <v>37.0</v>
      </c>
      <c r="O104" s="1">
        <v>41.0</v>
      </c>
      <c r="P104" s="1">
        <v>18.0</v>
      </c>
      <c r="Q104" s="1">
        <v>35.0</v>
      </c>
    </row>
    <row r="105">
      <c r="A105" s="1">
        <v>2401.0</v>
      </c>
      <c r="B105" s="1" t="s">
        <v>477</v>
      </c>
      <c r="C105" s="1" t="s">
        <v>478</v>
      </c>
      <c r="D105" s="1" t="s">
        <v>1066</v>
      </c>
      <c r="E105" s="1" t="s">
        <v>998</v>
      </c>
      <c r="F105" s="1">
        <v>1.0</v>
      </c>
      <c r="G105" s="1">
        <v>1.0</v>
      </c>
      <c r="H105" s="1">
        <v>0.0</v>
      </c>
      <c r="I105" s="1">
        <v>1.0</v>
      </c>
      <c r="J105" s="1">
        <v>1.0</v>
      </c>
      <c r="K105" s="1">
        <v>0.0</v>
      </c>
      <c r="L105" s="1">
        <v>1.0</v>
      </c>
      <c r="M105" s="1">
        <v>1.0</v>
      </c>
      <c r="N105" s="1">
        <v>1.0</v>
      </c>
      <c r="O105" s="1" t="e">
        <v>#N/A</v>
      </c>
      <c r="P105" s="1" t="e">
        <v>#N/A</v>
      </c>
      <c r="Q105" s="1">
        <v>1.0</v>
      </c>
    </row>
    <row r="106">
      <c r="A106" s="1">
        <v>2406.0</v>
      </c>
      <c r="B106" s="1" t="s">
        <v>480</v>
      </c>
      <c r="C106" s="1" t="s">
        <v>481</v>
      </c>
      <c r="D106" s="1" t="s">
        <v>755</v>
      </c>
      <c r="E106" s="1" t="s">
        <v>988</v>
      </c>
      <c r="F106" s="1">
        <v>3.0</v>
      </c>
      <c r="G106" s="1">
        <v>8.0</v>
      </c>
      <c r="H106" s="1">
        <v>-5.0</v>
      </c>
      <c r="I106" s="1">
        <v>3.0</v>
      </c>
      <c r="J106" s="1">
        <v>8.0</v>
      </c>
      <c r="K106" s="1">
        <v>-5.0</v>
      </c>
      <c r="L106" s="1">
        <v>14.0</v>
      </c>
      <c r="M106" s="1">
        <v>14.0</v>
      </c>
      <c r="N106" s="1">
        <v>19.0</v>
      </c>
      <c r="O106" s="1" t="e">
        <v>#N/A</v>
      </c>
      <c r="P106" s="1" t="e">
        <v>#N/A</v>
      </c>
      <c r="Q106" s="1">
        <v>16.0</v>
      </c>
    </row>
    <row r="107">
      <c r="A107" s="1">
        <v>2423.0</v>
      </c>
      <c r="B107" s="1" t="s">
        <v>492</v>
      </c>
      <c r="C107" s="1" t="s">
        <v>947</v>
      </c>
      <c r="D107" s="1" t="s">
        <v>125</v>
      </c>
      <c r="E107" s="1" t="s">
        <v>991</v>
      </c>
      <c r="F107" s="1">
        <v>28.0</v>
      </c>
      <c r="G107" s="1">
        <v>30.0</v>
      </c>
      <c r="H107" s="1">
        <v>-2.0</v>
      </c>
      <c r="I107" s="1">
        <v>28.0</v>
      </c>
      <c r="J107" s="1">
        <v>29.0</v>
      </c>
      <c r="K107" s="1">
        <v>-1.0</v>
      </c>
      <c r="L107" s="1">
        <v>231.0</v>
      </c>
      <c r="M107" s="1">
        <v>231.0</v>
      </c>
      <c r="N107" s="1">
        <v>180.0</v>
      </c>
      <c r="O107" s="1">
        <v>300.0</v>
      </c>
      <c r="P107" s="1">
        <v>120.0</v>
      </c>
      <c r="Q107" s="1">
        <v>191.0</v>
      </c>
    </row>
    <row r="108">
      <c r="A108" s="1">
        <v>2428.0</v>
      </c>
      <c r="B108" s="1" t="s">
        <v>477</v>
      </c>
      <c r="C108" s="1" t="s">
        <v>478</v>
      </c>
      <c r="D108" s="1" t="s">
        <v>382</v>
      </c>
      <c r="E108" s="1" t="s">
        <v>973</v>
      </c>
      <c r="F108" s="1">
        <v>15.0</v>
      </c>
      <c r="G108" s="1">
        <v>18.0</v>
      </c>
      <c r="H108" s="1">
        <v>-3.0</v>
      </c>
      <c r="I108" s="1">
        <v>15.0</v>
      </c>
      <c r="J108" s="1">
        <v>18.0</v>
      </c>
      <c r="K108" s="1">
        <v>-3.0</v>
      </c>
      <c r="L108" s="1">
        <v>83.0</v>
      </c>
      <c r="M108" s="1">
        <v>83.0</v>
      </c>
      <c r="N108" s="1">
        <v>111.0</v>
      </c>
      <c r="O108" s="1">
        <v>120.0</v>
      </c>
      <c r="P108" s="1">
        <v>67.0</v>
      </c>
      <c r="Q108" s="1">
        <v>91.0</v>
      </c>
    </row>
    <row r="109">
      <c r="A109" s="1">
        <v>2438.0</v>
      </c>
      <c r="B109" s="1" t="s">
        <v>507</v>
      </c>
      <c r="C109" s="1" t="s">
        <v>512</v>
      </c>
      <c r="D109" s="1" t="s">
        <v>883</v>
      </c>
      <c r="E109" s="1" t="s">
        <v>991</v>
      </c>
      <c r="F109" s="1">
        <v>12.0</v>
      </c>
      <c r="G109" s="1">
        <v>10.0</v>
      </c>
      <c r="H109" s="1">
        <v>2.0</v>
      </c>
      <c r="I109" s="1">
        <v>12.0</v>
      </c>
      <c r="J109" s="1">
        <v>9.0</v>
      </c>
      <c r="K109" s="1">
        <v>3.0</v>
      </c>
      <c r="L109" s="1">
        <v>23.0</v>
      </c>
      <c r="M109" s="1">
        <v>20.0</v>
      </c>
      <c r="N109" s="1">
        <v>15.0</v>
      </c>
      <c r="O109" s="1">
        <v>18.0</v>
      </c>
      <c r="P109" s="1">
        <v>20.0</v>
      </c>
      <c r="Q109" s="1">
        <v>16.0</v>
      </c>
    </row>
    <row r="110">
      <c r="A110" s="1">
        <v>2475.0</v>
      </c>
      <c r="B110" s="1" t="s">
        <v>507</v>
      </c>
      <c r="C110" s="1" t="s">
        <v>507</v>
      </c>
      <c r="D110" s="1" t="s">
        <v>1252</v>
      </c>
      <c r="E110" s="1" t="s">
        <v>993</v>
      </c>
      <c r="F110" s="1">
        <v>3.0</v>
      </c>
      <c r="G110" s="1">
        <v>16.0</v>
      </c>
      <c r="H110" s="1">
        <v>-13.0</v>
      </c>
      <c r="I110" s="1">
        <v>3.0</v>
      </c>
      <c r="J110" s="1">
        <v>16.0</v>
      </c>
      <c r="K110" s="1">
        <v>-13.0</v>
      </c>
      <c r="L110" s="1">
        <v>7.0</v>
      </c>
      <c r="M110" s="1">
        <v>7.0</v>
      </c>
      <c r="N110" s="1">
        <v>70.0</v>
      </c>
      <c r="O110" s="1">
        <v>21.0</v>
      </c>
      <c r="P110" s="1">
        <v>44.0</v>
      </c>
      <c r="Q110" s="1">
        <v>38.0</v>
      </c>
    </row>
    <row r="111">
      <c r="A111" s="1">
        <v>2489.0</v>
      </c>
      <c r="B111" s="1" t="s">
        <v>507</v>
      </c>
      <c r="C111" s="1" t="s">
        <v>507</v>
      </c>
      <c r="D111" s="1" t="s">
        <v>233</v>
      </c>
      <c r="E111" s="1" t="s">
        <v>1000</v>
      </c>
      <c r="F111" s="1">
        <v>25.0</v>
      </c>
      <c r="G111" s="1">
        <v>3.0</v>
      </c>
      <c r="H111" s="1">
        <v>22.0</v>
      </c>
      <c r="I111" s="1">
        <v>25.0</v>
      </c>
      <c r="J111" s="1">
        <v>3.0</v>
      </c>
      <c r="K111" s="1">
        <v>22.0</v>
      </c>
      <c r="L111" s="1">
        <v>57.0</v>
      </c>
      <c r="M111" s="1">
        <v>57.0</v>
      </c>
      <c r="N111" s="1">
        <v>5.0</v>
      </c>
      <c r="O111" s="1">
        <v>21.0</v>
      </c>
      <c r="P111" s="1">
        <v>18.0</v>
      </c>
      <c r="Q111" s="1">
        <v>28.0</v>
      </c>
    </row>
    <row r="112">
      <c r="A112" s="1">
        <v>2515.0</v>
      </c>
      <c r="B112" s="1" t="s">
        <v>480</v>
      </c>
      <c r="C112" s="1" t="s">
        <v>1019</v>
      </c>
      <c r="D112" s="1" t="s">
        <v>800</v>
      </c>
      <c r="E112" s="1" t="s">
        <v>991</v>
      </c>
      <c r="F112" s="1">
        <v>8.0</v>
      </c>
      <c r="G112" s="1">
        <v>10.0</v>
      </c>
      <c r="H112" s="1">
        <v>-2.0</v>
      </c>
      <c r="I112" s="1">
        <v>9.0</v>
      </c>
      <c r="J112" s="1">
        <v>11.0</v>
      </c>
      <c r="K112" s="1">
        <v>-2.0</v>
      </c>
      <c r="L112" s="1">
        <v>13.0</v>
      </c>
      <c r="M112" s="1">
        <v>16.0</v>
      </c>
      <c r="N112" s="1" t="e">
        <v>#N/A</v>
      </c>
      <c r="O112" s="1" t="e">
        <v>#N/A</v>
      </c>
      <c r="P112" s="1" t="e">
        <v>#N/A</v>
      </c>
      <c r="Q112" s="1">
        <v>15.0</v>
      </c>
    </row>
    <row r="113">
      <c r="A113" s="1">
        <v>2521.0</v>
      </c>
      <c r="B113" s="1" t="s">
        <v>477</v>
      </c>
      <c r="C113" s="1" t="s">
        <v>478</v>
      </c>
      <c r="D113" s="1" t="s">
        <v>687</v>
      </c>
      <c r="E113" s="1" t="s">
        <v>1033</v>
      </c>
      <c r="F113" s="1">
        <v>16.0</v>
      </c>
      <c r="G113" s="1">
        <v>11.0</v>
      </c>
      <c r="H113" s="1">
        <v>5.0</v>
      </c>
      <c r="I113" s="1">
        <v>16.0</v>
      </c>
      <c r="J113" s="1">
        <v>11.0</v>
      </c>
      <c r="K113" s="1">
        <v>5.0</v>
      </c>
      <c r="L113" s="1">
        <v>69.0</v>
      </c>
      <c r="M113" s="1">
        <v>69.0</v>
      </c>
      <c r="N113" s="1">
        <v>39.0</v>
      </c>
      <c r="O113" s="1" t="e">
        <v>#N/A</v>
      </c>
      <c r="P113" s="1" t="e">
        <v>#N/A</v>
      </c>
      <c r="Q113" s="1">
        <v>50.0</v>
      </c>
    </row>
    <row r="114">
      <c r="A114" s="1">
        <v>2525.0</v>
      </c>
      <c r="B114" s="1" t="s">
        <v>480</v>
      </c>
      <c r="C114" s="1" t="s">
        <v>1019</v>
      </c>
      <c r="D114" s="1" t="s">
        <v>193</v>
      </c>
      <c r="E114" s="1" t="s">
        <v>973</v>
      </c>
      <c r="F114" s="1">
        <v>12.0</v>
      </c>
      <c r="G114" s="1">
        <v>8.0</v>
      </c>
      <c r="H114" s="1">
        <v>4.0</v>
      </c>
      <c r="I114" s="1">
        <v>12.0</v>
      </c>
      <c r="J114" s="1">
        <v>9.0</v>
      </c>
      <c r="K114" s="1">
        <v>3.0</v>
      </c>
      <c r="L114" s="1">
        <v>15.0</v>
      </c>
      <c r="M114" s="1">
        <v>18.0</v>
      </c>
      <c r="N114" s="1">
        <v>24.0</v>
      </c>
      <c r="O114" s="1">
        <v>52.0</v>
      </c>
      <c r="P114" s="1">
        <v>27.0</v>
      </c>
      <c r="Q114" s="1">
        <v>20.0</v>
      </c>
    </row>
    <row r="115">
      <c r="A115" s="1">
        <v>2529.0</v>
      </c>
      <c r="B115" s="1" t="s">
        <v>492</v>
      </c>
      <c r="C115" s="1" t="s">
        <v>492</v>
      </c>
      <c r="D115" s="1" t="s">
        <v>703</v>
      </c>
      <c r="E115" s="1" t="s">
        <v>973</v>
      </c>
      <c r="F115" s="1">
        <v>12.0</v>
      </c>
      <c r="G115" s="1">
        <v>15.0</v>
      </c>
      <c r="H115" s="1">
        <v>-3.0</v>
      </c>
      <c r="I115" s="1">
        <v>12.0</v>
      </c>
      <c r="J115" s="1">
        <v>14.0</v>
      </c>
      <c r="K115" s="1">
        <v>-2.0</v>
      </c>
      <c r="L115" s="1">
        <v>26.0</v>
      </c>
      <c r="M115" s="1">
        <v>26.0</v>
      </c>
      <c r="N115" s="1">
        <v>39.0</v>
      </c>
      <c r="O115" s="1">
        <v>40.0</v>
      </c>
      <c r="P115" s="1">
        <v>42.0</v>
      </c>
      <c r="Q115" s="1">
        <v>31.0</v>
      </c>
    </row>
    <row r="116">
      <c r="A116" s="1">
        <v>2531.0</v>
      </c>
      <c r="B116" s="1" t="s">
        <v>507</v>
      </c>
      <c r="C116" s="1" t="s">
        <v>512</v>
      </c>
      <c r="D116" s="1" t="s">
        <v>685</v>
      </c>
      <c r="E116" s="1" t="s">
        <v>987</v>
      </c>
      <c r="F116" s="1">
        <v>30.0</v>
      </c>
      <c r="G116" s="1">
        <v>33.0</v>
      </c>
      <c r="H116" s="1">
        <v>-3.0</v>
      </c>
      <c r="I116" s="1">
        <v>30.0</v>
      </c>
      <c r="J116" s="1">
        <v>33.0</v>
      </c>
      <c r="K116" s="1">
        <v>-3.0</v>
      </c>
      <c r="L116" s="1">
        <v>427.0</v>
      </c>
      <c r="M116" s="1">
        <v>427.0</v>
      </c>
      <c r="N116" s="1">
        <v>340.0</v>
      </c>
      <c r="O116" s="1">
        <v>260.0</v>
      </c>
      <c r="P116" s="1">
        <v>303.0</v>
      </c>
      <c r="Q116" s="1">
        <v>356.0</v>
      </c>
    </row>
    <row r="117">
      <c r="A117" s="1">
        <v>2544.0</v>
      </c>
      <c r="B117" s="1" t="s">
        <v>507</v>
      </c>
      <c r="C117" s="1" t="s">
        <v>512</v>
      </c>
      <c r="D117" s="1" t="s">
        <v>877</v>
      </c>
      <c r="E117" s="1" t="s">
        <v>991</v>
      </c>
      <c r="F117" s="1">
        <v>10.0</v>
      </c>
      <c r="G117" s="1">
        <v>13.0</v>
      </c>
      <c r="H117" s="1">
        <v>-3.0</v>
      </c>
      <c r="I117" s="1">
        <v>10.0</v>
      </c>
      <c r="J117" s="1">
        <v>13.0</v>
      </c>
      <c r="K117" s="1">
        <v>-3.0</v>
      </c>
      <c r="L117" s="1">
        <v>39.0</v>
      </c>
      <c r="M117" s="1">
        <v>36.0</v>
      </c>
      <c r="N117" s="1">
        <v>27.0</v>
      </c>
      <c r="O117" s="1">
        <v>45.0</v>
      </c>
      <c r="P117" s="1">
        <v>45.0</v>
      </c>
      <c r="Q117" s="1">
        <v>29.0</v>
      </c>
    </row>
    <row r="118">
      <c r="A118" s="1">
        <v>2553.0</v>
      </c>
      <c r="B118" s="1" t="s">
        <v>492</v>
      </c>
      <c r="C118" s="1" t="s">
        <v>543</v>
      </c>
      <c r="D118" s="1" t="s">
        <v>1546</v>
      </c>
      <c r="E118" s="1" t="s">
        <v>974</v>
      </c>
      <c r="F118" s="1">
        <v>1.0</v>
      </c>
      <c r="G118" s="1">
        <v>3.0</v>
      </c>
      <c r="H118" s="1">
        <v>-2.0</v>
      </c>
      <c r="I118" s="1">
        <v>1.0</v>
      </c>
      <c r="J118" s="1">
        <v>3.0</v>
      </c>
      <c r="K118" s="1">
        <v>-2.0</v>
      </c>
      <c r="L118" s="1">
        <v>8.0</v>
      </c>
      <c r="M118" s="1">
        <v>8.0</v>
      </c>
      <c r="N118" s="1" t="e">
        <v>#N/A</v>
      </c>
      <c r="O118" s="1" t="e">
        <v>#N/A</v>
      </c>
      <c r="P118" s="1" t="e">
        <v>#N/A</v>
      </c>
      <c r="Q118" s="1" t="e">
        <v>#N/A</v>
      </c>
    </row>
    <row r="119">
      <c r="A119" s="1">
        <v>2593.0</v>
      </c>
      <c r="B119" s="1" t="s">
        <v>480</v>
      </c>
      <c r="C119" s="1" t="s">
        <v>931</v>
      </c>
      <c r="D119" s="1" t="s">
        <v>841</v>
      </c>
      <c r="E119" s="1" t="s">
        <v>1026</v>
      </c>
      <c r="F119" s="1">
        <v>14.0</v>
      </c>
      <c r="G119" s="1">
        <v>4.0</v>
      </c>
      <c r="H119" s="1">
        <v>10.0</v>
      </c>
      <c r="I119" s="1">
        <v>14.0</v>
      </c>
      <c r="J119" s="1">
        <v>4.0</v>
      </c>
      <c r="K119" s="1">
        <v>10.0</v>
      </c>
      <c r="L119" s="1">
        <v>52.0</v>
      </c>
      <c r="M119" s="1">
        <v>52.0</v>
      </c>
      <c r="N119" s="1">
        <v>13.0</v>
      </c>
      <c r="O119" s="1">
        <v>20.0</v>
      </c>
      <c r="P119" s="1">
        <v>12.0</v>
      </c>
      <c r="Q119" s="1">
        <v>29.0</v>
      </c>
    </row>
    <row r="120">
      <c r="A120" s="1">
        <v>2640.0</v>
      </c>
      <c r="B120" s="1" t="s">
        <v>480</v>
      </c>
      <c r="C120" s="1" t="s">
        <v>979</v>
      </c>
      <c r="D120" s="1" t="s">
        <v>386</v>
      </c>
      <c r="E120" s="1" t="s">
        <v>980</v>
      </c>
      <c r="F120" s="1">
        <v>6.0</v>
      </c>
      <c r="G120" s="1">
        <v>9.0</v>
      </c>
      <c r="H120" s="1">
        <v>-3.0</v>
      </c>
      <c r="I120" s="1">
        <v>6.0</v>
      </c>
      <c r="J120" s="1">
        <v>10.0</v>
      </c>
      <c r="K120" s="1">
        <v>-4.0</v>
      </c>
      <c r="L120" s="1">
        <v>21.0</v>
      </c>
      <c r="M120" s="1">
        <v>26.0</v>
      </c>
      <c r="N120" s="1">
        <v>25.0</v>
      </c>
      <c r="O120" s="1">
        <v>38.0</v>
      </c>
      <c r="P120" s="1">
        <v>27.0</v>
      </c>
      <c r="Q120" s="1">
        <v>24.0</v>
      </c>
    </row>
    <row r="121">
      <c r="A121" s="1">
        <v>2653.0</v>
      </c>
      <c r="B121" s="1" t="s">
        <v>480</v>
      </c>
      <c r="C121" s="1" t="s">
        <v>931</v>
      </c>
      <c r="D121" s="1" t="s">
        <v>872</v>
      </c>
      <c r="E121" s="1" t="s">
        <v>1009</v>
      </c>
      <c r="F121" s="1">
        <v>7.0</v>
      </c>
      <c r="G121" s="1">
        <v>4.0</v>
      </c>
      <c r="H121" s="1">
        <v>3.0</v>
      </c>
      <c r="I121" s="1">
        <v>7.0</v>
      </c>
      <c r="J121" s="1">
        <v>4.0</v>
      </c>
      <c r="K121" s="1">
        <v>3.0</v>
      </c>
      <c r="L121" s="1">
        <v>13.0</v>
      </c>
      <c r="M121" s="1">
        <v>13.0</v>
      </c>
      <c r="N121" s="1">
        <v>12.0</v>
      </c>
      <c r="O121" s="1">
        <v>12.0</v>
      </c>
      <c r="P121" s="1">
        <v>8.0</v>
      </c>
      <c r="Q121" s="1">
        <v>12.0</v>
      </c>
    </row>
    <row r="122">
      <c r="A122" s="1">
        <v>2722.0</v>
      </c>
      <c r="B122" s="1" t="s">
        <v>477</v>
      </c>
      <c r="C122" s="1" t="s">
        <v>478</v>
      </c>
      <c r="D122" s="1" t="s">
        <v>628</v>
      </c>
      <c r="E122" s="1" t="s">
        <v>1009</v>
      </c>
      <c r="F122" s="1">
        <v>6.0</v>
      </c>
      <c r="G122" s="1">
        <v>1.0</v>
      </c>
      <c r="H122" s="1">
        <v>5.0</v>
      </c>
      <c r="I122" s="1">
        <v>6.0</v>
      </c>
      <c r="J122" s="1">
        <v>1.0</v>
      </c>
      <c r="K122" s="1">
        <v>5.0</v>
      </c>
      <c r="L122" s="1">
        <v>1.0</v>
      </c>
      <c r="M122" s="1">
        <v>1.0</v>
      </c>
      <c r="N122" s="1">
        <v>1.0</v>
      </c>
      <c r="O122" s="1">
        <v>1.0</v>
      </c>
      <c r="P122" s="1">
        <v>1.0</v>
      </c>
      <c r="Q122" s="1">
        <v>1.0</v>
      </c>
    </row>
    <row r="123">
      <c r="A123" s="1">
        <v>2724.0</v>
      </c>
      <c r="B123" s="1" t="s">
        <v>480</v>
      </c>
      <c r="C123" s="1" t="s">
        <v>481</v>
      </c>
      <c r="D123" s="1" t="s">
        <v>429</v>
      </c>
      <c r="E123" s="1" t="s">
        <v>987</v>
      </c>
      <c r="F123" s="1">
        <v>11.0</v>
      </c>
      <c r="G123" s="1">
        <v>16.0</v>
      </c>
      <c r="H123" s="1">
        <v>-5.0</v>
      </c>
      <c r="I123" s="1">
        <v>11.0</v>
      </c>
      <c r="J123" s="1">
        <v>16.0</v>
      </c>
      <c r="K123" s="1">
        <v>-5.0</v>
      </c>
      <c r="L123" s="1">
        <v>57.0</v>
      </c>
      <c r="M123" s="1">
        <v>57.0</v>
      </c>
      <c r="N123" s="1">
        <v>57.0</v>
      </c>
      <c r="O123" s="1">
        <v>90.0</v>
      </c>
      <c r="P123" s="1">
        <v>23.0</v>
      </c>
      <c r="Q123" s="1">
        <v>53.0</v>
      </c>
    </row>
    <row r="124">
      <c r="A124" s="1">
        <v>2728.0</v>
      </c>
      <c r="B124" s="1" t="s">
        <v>480</v>
      </c>
      <c r="C124" s="1" t="s">
        <v>931</v>
      </c>
      <c r="D124" s="1" t="s">
        <v>1145</v>
      </c>
      <c r="E124" s="1" t="s">
        <v>1000</v>
      </c>
      <c r="F124" s="1">
        <v>8.0</v>
      </c>
      <c r="G124" s="1">
        <v>3.0</v>
      </c>
      <c r="H124" s="1">
        <v>5.0</v>
      </c>
      <c r="I124" s="1">
        <v>8.0</v>
      </c>
      <c r="J124" s="1">
        <v>3.0</v>
      </c>
      <c r="K124" s="1">
        <v>5.0</v>
      </c>
      <c r="L124" s="1">
        <v>13.0</v>
      </c>
      <c r="M124" s="1">
        <v>13.0</v>
      </c>
      <c r="N124" s="1">
        <v>6.0</v>
      </c>
      <c r="O124" s="1">
        <v>12.0</v>
      </c>
      <c r="P124" s="1">
        <v>8.0</v>
      </c>
      <c r="Q124" s="1">
        <v>9.0</v>
      </c>
    </row>
    <row r="125">
      <c r="A125" s="1">
        <v>2741.0</v>
      </c>
      <c r="B125" s="1" t="s">
        <v>492</v>
      </c>
      <c r="C125" s="1" t="s">
        <v>930</v>
      </c>
      <c r="D125" s="1" t="s">
        <v>819</v>
      </c>
      <c r="E125" s="1" t="s">
        <v>1225</v>
      </c>
      <c r="F125" s="1">
        <v>2.0</v>
      </c>
      <c r="G125" s="1">
        <v>12.0</v>
      </c>
      <c r="H125" s="1">
        <v>-10.0</v>
      </c>
      <c r="I125" s="1">
        <v>2.0</v>
      </c>
      <c r="J125" s="1">
        <v>13.0</v>
      </c>
      <c r="K125" s="1">
        <v>-11.0</v>
      </c>
      <c r="L125" s="1">
        <v>12.0</v>
      </c>
      <c r="M125" s="1">
        <v>12.0</v>
      </c>
      <c r="N125" s="1">
        <v>42.0</v>
      </c>
      <c r="O125" s="1">
        <v>43.0</v>
      </c>
      <c r="P125" s="1">
        <v>40.0</v>
      </c>
      <c r="Q125" s="1">
        <v>26.0</v>
      </c>
    </row>
    <row r="126">
      <c r="A126" s="1">
        <v>2762.0</v>
      </c>
      <c r="B126" s="1" t="s">
        <v>507</v>
      </c>
      <c r="C126" s="1" t="s">
        <v>507</v>
      </c>
      <c r="D126" s="1" t="s">
        <v>837</v>
      </c>
      <c r="E126" s="1" t="s">
        <v>1222</v>
      </c>
      <c r="F126" s="1">
        <v>5.0</v>
      </c>
      <c r="G126" s="1">
        <v>4.0</v>
      </c>
      <c r="H126" s="1">
        <v>1.0</v>
      </c>
      <c r="I126" s="1">
        <v>5.0</v>
      </c>
      <c r="J126" s="1">
        <v>4.0</v>
      </c>
      <c r="K126" s="1">
        <v>1.0</v>
      </c>
      <c r="L126" s="1">
        <v>11.0</v>
      </c>
      <c r="M126" s="1">
        <v>11.0</v>
      </c>
      <c r="N126" s="1">
        <v>13.0</v>
      </c>
      <c r="O126" s="1">
        <v>13.0</v>
      </c>
      <c r="P126" s="1">
        <v>9.0</v>
      </c>
      <c r="Q126" s="1">
        <v>11.0</v>
      </c>
    </row>
    <row r="127">
      <c r="A127" s="1">
        <v>2764.0</v>
      </c>
      <c r="B127" s="1" t="s">
        <v>507</v>
      </c>
      <c r="C127" s="1" t="s">
        <v>512</v>
      </c>
      <c r="D127" s="1" t="s">
        <v>145</v>
      </c>
      <c r="E127" s="1" t="s">
        <v>973</v>
      </c>
      <c r="F127" s="1">
        <v>26.0</v>
      </c>
      <c r="G127" s="1">
        <v>41.0</v>
      </c>
      <c r="H127" s="1">
        <v>-15.0</v>
      </c>
      <c r="I127" s="1">
        <v>26.0</v>
      </c>
      <c r="J127" s="1">
        <v>42.0</v>
      </c>
      <c r="K127" s="1">
        <v>-16.0</v>
      </c>
      <c r="L127" s="1">
        <v>357.0</v>
      </c>
      <c r="M127" s="1">
        <v>357.0</v>
      </c>
      <c r="N127" s="1">
        <v>406.0</v>
      </c>
      <c r="O127" s="1">
        <v>450.0</v>
      </c>
      <c r="P127" s="1">
        <v>436.0</v>
      </c>
      <c r="Q127" s="1">
        <v>358.0</v>
      </c>
    </row>
    <row r="128">
      <c r="A128" s="1">
        <v>2765.0</v>
      </c>
      <c r="B128" s="1" t="s">
        <v>507</v>
      </c>
      <c r="C128" s="1" t="s">
        <v>507</v>
      </c>
      <c r="D128" s="1" t="s">
        <v>73</v>
      </c>
      <c r="E128" s="1" t="s">
        <v>1009</v>
      </c>
      <c r="F128" s="1">
        <v>18.0</v>
      </c>
      <c r="G128" s="1">
        <v>10.0</v>
      </c>
      <c r="H128" s="1">
        <v>8.0</v>
      </c>
      <c r="I128" s="1">
        <v>18.0</v>
      </c>
      <c r="J128" s="1">
        <v>11.0</v>
      </c>
      <c r="K128" s="1">
        <v>7.0</v>
      </c>
      <c r="L128" s="1">
        <v>46.0</v>
      </c>
      <c r="M128" s="1">
        <v>46.0</v>
      </c>
      <c r="N128" s="1">
        <v>15.0</v>
      </c>
      <c r="O128" s="1">
        <v>12.0</v>
      </c>
      <c r="P128" s="1">
        <v>10.0</v>
      </c>
      <c r="Q128" s="1">
        <v>28.0</v>
      </c>
    </row>
    <row r="129">
      <c r="A129" s="1">
        <v>2766.0</v>
      </c>
      <c r="B129" s="1" t="s">
        <v>492</v>
      </c>
      <c r="C129" s="1" t="s">
        <v>947</v>
      </c>
      <c r="D129" s="1" t="s">
        <v>787</v>
      </c>
      <c r="E129" s="1" t="s">
        <v>1033</v>
      </c>
      <c r="F129" s="1">
        <v>7.0</v>
      </c>
      <c r="G129" s="1">
        <v>13.0</v>
      </c>
      <c r="H129" s="1">
        <v>-6.0</v>
      </c>
      <c r="I129" s="1">
        <v>7.0</v>
      </c>
      <c r="J129" s="1">
        <v>12.0</v>
      </c>
      <c r="K129" s="1">
        <v>-5.0</v>
      </c>
      <c r="L129" s="1">
        <v>11.0</v>
      </c>
      <c r="M129" s="1">
        <v>11.0</v>
      </c>
      <c r="N129" s="1">
        <v>30.0</v>
      </c>
      <c r="O129" s="1" t="e">
        <v>#N/A</v>
      </c>
      <c r="P129" s="1" t="e">
        <v>#N/A</v>
      </c>
      <c r="Q129" s="1">
        <v>20.0</v>
      </c>
    </row>
    <row r="130">
      <c r="A130" s="1">
        <v>2788.0</v>
      </c>
      <c r="B130" s="1" t="s">
        <v>480</v>
      </c>
      <c r="C130" s="1" t="s">
        <v>481</v>
      </c>
      <c r="D130" s="1" t="s">
        <v>246</v>
      </c>
      <c r="E130" s="1" t="s">
        <v>976</v>
      </c>
      <c r="F130" s="1">
        <v>8.0</v>
      </c>
      <c r="G130" s="1">
        <v>16.0</v>
      </c>
      <c r="H130" s="1">
        <v>-8.0</v>
      </c>
      <c r="I130" s="1">
        <v>8.0</v>
      </c>
      <c r="J130" s="1">
        <v>16.0</v>
      </c>
      <c r="K130" s="1">
        <v>-8.0</v>
      </c>
      <c r="L130" s="1">
        <v>39.0</v>
      </c>
      <c r="M130" s="1">
        <v>39.0</v>
      </c>
      <c r="N130" s="1">
        <v>57.0</v>
      </c>
      <c r="O130" s="1">
        <v>80.0</v>
      </c>
      <c r="P130" s="1">
        <v>48.0</v>
      </c>
      <c r="Q130" s="1">
        <v>45.0</v>
      </c>
    </row>
    <row r="131">
      <c r="A131" s="1">
        <v>2809.0</v>
      </c>
      <c r="B131" s="1" t="s">
        <v>477</v>
      </c>
      <c r="C131" s="1" t="s">
        <v>478</v>
      </c>
      <c r="D131" s="1" t="s">
        <v>1211</v>
      </c>
      <c r="E131" s="1" t="s">
        <v>974</v>
      </c>
      <c r="F131" s="1">
        <v>1.0</v>
      </c>
      <c r="G131" s="1">
        <v>1.0</v>
      </c>
      <c r="H131" s="1">
        <v>0.0</v>
      </c>
      <c r="I131" s="1">
        <v>1.0</v>
      </c>
      <c r="J131" s="1">
        <v>1.0</v>
      </c>
      <c r="K131" s="1">
        <v>0.0</v>
      </c>
      <c r="L131" s="1">
        <v>1.0</v>
      </c>
      <c r="M131" s="1">
        <v>1.0</v>
      </c>
      <c r="N131" s="1">
        <v>1.0</v>
      </c>
      <c r="O131" s="1" t="e">
        <v>#N/A</v>
      </c>
      <c r="P131" s="1" t="e">
        <v>#N/A</v>
      </c>
      <c r="Q131" s="1">
        <v>1.0</v>
      </c>
    </row>
    <row r="132">
      <c r="A132" s="1">
        <v>2814.0</v>
      </c>
      <c r="B132" s="1" t="s">
        <v>477</v>
      </c>
      <c r="C132" s="1" t="s">
        <v>478</v>
      </c>
      <c r="D132" s="1" t="s">
        <v>347</v>
      </c>
      <c r="E132" s="1" t="s">
        <v>1000</v>
      </c>
      <c r="F132" s="1">
        <v>7.0</v>
      </c>
      <c r="G132" s="1">
        <v>12.0</v>
      </c>
      <c r="H132" s="1">
        <v>-5.0</v>
      </c>
      <c r="I132" s="1">
        <v>7.0</v>
      </c>
      <c r="J132" s="1">
        <v>12.0</v>
      </c>
      <c r="K132" s="1">
        <v>-5.0</v>
      </c>
      <c r="L132" s="1">
        <v>1.0</v>
      </c>
      <c r="M132" s="1">
        <v>1.0</v>
      </c>
      <c r="N132" s="1">
        <v>60.0</v>
      </c>
      <c r="O132" s="1">
        <v>55.0</v>
      </c>
      <c r="P132" s="1">
        <v>60.0</v>
      </c>
      <c r="Q132" s="1">
        <v>30.0</v>
      </c>
    </row>
    <row r="133">
      <c r="A133" s="1">
        <v>2815.0</v>
      </c>
      <c r="B133" s="1" t="s">
        <v>477</v>
      </c>
      <c r="C133" s="1" t="s">
        <v>478</v>
      </c>
      <c r="D133" s="1" t="s">
        <v>709</v>
      </c>
      <c r="E133" s="1" t="s">
        <v>1033</v>
      </c>
      <c r="F133" s="1">
        <v>2.0</v>
      </c>
      <c r="G133" s="1">
        <v>11.0</v>
      </c>
      <c r="H133" s="1">
        <v>-9.0</v>
      </c>
      <c r="I133" s="1">
        <v>2.0</v>
      </c>
      <c r="J133" s="1">
        <v>11.0</v>
      </c>
      <c r="K133" s="1">
        <v>-9.0</v>
      </c>
      <c r="L133" s="1">
        <v>1.0</v>
      </c>
      <c r="M133" s="1">
        <v>1.0</v>
      </c>
      <c r="N133" s="1">
        <v>20.0</v>
      </c>
      <c r="O133" s="1">
        <v>65.0</v>
      </c>
      <c r="P133" s="1">
        <v>14.0</v>
      </c>
      <c r="Q133" s="1">
        <v>10.0</v>
      </c>
    </row>
    <row r="134">
      <c r="A134" s="1">
        <v>2816.0</v>
      </c>
      <c r="B134" s="1" t="s">
        <v>480</v>
      </c>
      <c r="C134" s="1" t="s">
        <v>1019</v>
      </c>
      <c r="D134" s="1" t="s">
        <v>717</v>
      </c>
      <c r="E134" s="1" t="s">
        <v>987</v>
      </c>
      <c r="F134" s="1">
        <v>15.0</v>
      </c>
      <c r="G134" s="1">
        <v>18.0</v>
      </c>
      <c r="H134" s="1">
        <v>-3.0</v>
      </c>
      <c r="I134" s="1">
        <v>15.0</v>
      </c>
      <c r="J134" s="1">
        <v>20.0</v>
      </c>
      <c r="K134" s="1">
        <v>-5.0</v>
      </c>
      <c r="L134" s="1">
        <v>66.0</v>
      </c>
      <c r="M134" s="1">
        <v>76.0</v>
      </c>
      <c r="N134" s="1">
        <v>85.0</v>
      </c>
      <c r="O134" s="1">
        <v>55.0</v>
      </c>
      <c r="P134" s="1">
        <v>96.0</v>
      </c>
      <c r="Q134" s="1">
        <v>76.0</v>
      </c>
    </row>
    <row r="135">
      <c r="A135" s="1">
        <v>2839.0</v>
      </c>
      <c r="B135" s="1" t="s">
        <v>492</v>
      </c>
      <c r="C135" s="1" t="s">
        <v>563</v>
      </c>
      <c r="D135" s="1" t="s">
        <v>1185</v>
      </c>
      <c r="E135" s="1" t="s">
        <v>991</v>
      </c>
      <c r="F135" s="1">
        <v>7.0</v>
      </c>
      <c r="G135" s="1">
        <v>9.0</v>
      </c>
      <c r="H135" s="1">
        <v>-2.0</v>
      </c>
      <c r="I135" s="1">
        <v>7.0</v>
      </c>
      <c r="J135" s="1">
        <v>9.0</v>
      </c>
      <c r="K135" s="1">
        <v>-2.0</v>
      </c>
      <c r="L135" s="1">
        <v>12.0</v>
      </c>
      <c r="M135" s="1">
        <v>9.0</v>
      </c>
      <c r="N135" s="1">
        <v>18.0</v>
      </c>
      <c r="O135" s="1">
        <v>21.0</v>
      </c>
      <c r="P135" s="1">
        <v>12.0</v>
      </c>
      <c r="Q135" s="1">
        <v>13.0</v>
      </c>
    </row>
    <row r="136">
      <c r="A136" s="1">
        <v>2841.0</v>
      </c>
      <c r="B136" s="1" t="s">
        <v>507</v>
      </c>
      <c r="C136" s="1" t="s">
        <v>512</v>
      </c>
      <c r="D136" s="1" t="s">
        <v>282</v>
      </c>
      <c r="E136" s="1" t="s">
        <v>976</v>
      </c>
      <c r="F136" s="1">
        <v>24.0</v>
      </c>
      <c r="G136" s="1">
        <v>37.0</v>
      </c>
      <c r="H136" s="1">
        <v>-13.0</v>
      </c>
      <c r="I136" s="1">
        <v>24.0</v>
      </c>
      <c r="J136" s="1">
        <v>38.0</v>
      </c>
      <c r="K136" s="1">
        <v>-14.0</v>
      </c>
      <c r="L136" s="1">
        <v>163.0</v>
      </c>
      <c r="M136" s="1">
        <v>163.0</v>
      </c>
      <c r="N136" s="1">
        <v>383.0</v>
      </c>
      <c r="O136" s="1">
        <v>350.0</v>
      </c>
      <c r="P136" s="1">
        <v>342.0</v>
      </c>
      <c r="Q136" s="1">
        <v>261.0</v>
      </c>
    </row>
    <row r="137">
      <c r="A137" s="1">
        <v>2845.0</v>
      </c>
      <c r="B137" s="1" t="s">
        <v>477</v>
      </c>
      <c r="C137" s="1" t="s">
        <v>478</v>
      </c>
      <c r="D137" s="1" t="s">
        <v>456</v>
      </c>
      <c r="E137" s="1" t="s">
        <v>987</v>
      </c>
      <c r="F137" s="1">
        <v>1.0</v>
      </c>
      <c r="G137" s="1">
        <v>1.0</v>
      </c>
      <c r="H137" s="1">
        <v>0.0</v>
      </c>
      <c r="I137" s="1">
        <v>1.0</v>
      </c>
      <c r="J137" s="1">
        <v>1.0</v>
      </c>
      <c r="K137" s="1">
        <v>0.0</v>
      </c>
      <c r="L137" s="1">
        <v>1.0</v>
      </c>
      <c r="M137" s="1">
        <v>1.0</v>
      </c>
      <c r="N137" s="1">
        <v>1.0</v>
      </c>
      <c r="O137" s="1">
        <v>1.0</v>
      </c>
      <c r="P137" s="1">
        <v>1.0</v>
      </c>
      <c r="Q137" s="1">
        <v>1.0</v>
      </c>
    </row>
    <row r="138">
      <c r="A138" s="1">
        <v>2848.0</v>
      </c>
      <c r="B138" s="1" t="s">
        <v>492</v>
      </c>
      <c r="C138" s="1" t="s">
        <v>934</v>
      </c>
      <c r="D138" s="1" t="s">
        <v>256</v>
      </c>
      <c r="E138" s="1" t="s">
        <v>973</v>
      </c>
      <c r="F138" s="1">
        <v>15.0</v>
      </c>
      <c r="G138" s="1">
        <v>18.0</v>
      </c>
      <c r="H138" s="1">
        <v>-3.0</v>
      </c>
      <c r="I138" s="1">
        <v>15.0</v>
      </c>
      <c r="J138" s="1">
        <v>17.0</v>
      </c>
      <c r="K138" s="1">
        <v>-2.0</v>
      </c>
      <c r="L138" s="1">
        <v>27.0</v>
      </c>
      <c r="M138" s="1">
        <v>27.0</v>
      </c>
      <c r="N138" s="1">
        <v>59.0</v>
      </c>
      <c r="O138" s="1">
        <v>55.0</v>
      </c>
      <c r="P138" s="1">
        <v>54.0</v>
      </c>
      <c r="Q138" s="1">
        <v>41.0</v>
      </c>
    </row>
    <row r="139">
      <c r="A139" s="1">
        <v>4177.0</v>
      </c>
      <c r="B139" s="1" t="s">
        <v>480</v>
      </c>
      <c r="C139" s="1" t="s">
        <v>937</v>
      </c>
      <c r="D139" s="1" t="s">
        <v>718</v>
      </c>
      <c r="E139" s="1" t="s">
        <v>973</v>
      </c>
      <c r="F139" s="1">
        <v>7.0</v>
      </c>
      <c r="G139" s="1">
        <v>14.0</v>
      </c>
      <c r="H139" s="1">
        <v>-7.0</v>
      </c>
      <c r="I139" s="1">
        <v>7.0</v>
      </c>
      <c r="J139" s="1">
        <v>15.0</v>
      </c>
      <c r="K139" s="1">
        <v>-8.0</v>
      </c>
      <c r="L139" s="1">
        <v>20.0</v>
      </c>
      <c r="M139" s="1">
        <v>23.0</v>
      </c>
      <c r="N139" s="1">
        <v>45.0</v>
      </c>
      <c r="O139" s="1">
        <v>75.0</v>
      </c>
      <c r="P139" s="1">
        <v>50.0</v>
      </c>
      <c r="Q139" s="1">
        <v>32.0</v>
      </c>
    </row>
    <row r="140">
      <c r="A140" s="1">
        <v>4179.0</v>
      </c>
      <c r="B140" s="1" t="s">
        <v>507</v>
      </c>
      <c r="C140" s="1" t="s">
        <v>507</v>
      </c>
      <c r="D140" s="1" t="s">
        <v>720</v>
      </c>
      <c r="E140" s="1" t="s">
        <v>976</v>
      </c>
      <c r="F140" s="1">
        <v>13.0</v>
      </c>
      <c r="G140" s="1">
        <v>25.0</v>
      </c>
      <c r="H140" s="1">
        <v>-12.0</v>
      </c>
      <c r="I140" s="1">
        <v>13.0</v>
      </c>
      <c r="J140" s="1">
        <v>26.0</v>
      </c>
      <c r="K140" s="1">
        <v>-13.0</v>
      </c>
      <c r="L140" s="1">
        <v>37.0</v>
      </c>
      <c r="M140" s="1">
        <v>37.0</v>
      </c>
      <c r="N140" s="1">
        <v>105.0</v>
      </c>
      <c r="O140" s="1">
        <v>125.0</v>
      </c>
      <c r="P140" s="1">
        <v>100.0</v>
      </c>
      <c r="Q140" s="1">
        <v>68.0</v>
      </c>
    </row>
    <row r="141">
      <c r="A141" s="1">
        <v>4186.0</v>
      </c>
      <c r="B141" s="1" t="s">
        <v>492</v>
      </c>
      <c r="C141" s="1" t="s">
        <v>492</v>
      </c>
      <c r="D141" s="1" t="s">
        <v>438</v>
      </c>
      <c r="E141" s="1" t="s">
        <v>1000</v>
      </c>
      <c r="F141" s="1">
        <v>11.0</v>
      </c>
      <c r="G141" s="1">
        <v>10.0</v>
      </c>
      <c r="H141" s="1">
        <v>1.0</v>
      </c>
      <c r="I141" s="1">
        <v>11.0</v>
      </c>
      <c r="J141" s="1">
        <v>9.0</v>
      </c>
      <c r="K141" s="1">
        <v>2.0</v>
      </c>
      <c r="L141" s="1">
        <v>21.0</v>
      </c>
      <c r="M141" s="1">
        <v>21.0</v>
      </c>
      <c r="N141" s="1">
        <v>16.0</v>
      </c>
      <c r="O141" s="1">
        <v>29.0</v>
      </c>
      <c r="P141" s="1">
        <v>30.0</v>
      </c>
      <c r="Q141" s="1">
        <v>17.0</v>
      </c>
    </row>
    <row r="142">
      <c r="A142" s="1">
        <v>4199.0</v>
      </c>
      <c r="B142" s="1" t="s">
        <v>492</v>
      </c>
      <c r="C142" s="1" t="s">
        <v>934</v>
      </c>
      <c r="D142" s="1" t="s">
        <v>444</v>
      </c>
      <c r="E142" s="1" t="s">
        <v>991</v>
      </c>
      <c r="F142" s="1">
        <v>9.0</v>
      </c>
      <c r="G142" s="1">
        <v>19.0</v>
      </c>
      <c r="H142" s="1">
        <v>-10.0</v>
      </c>
      <c r="I142" s="1">
        <v>9.0</v>
      </c>
      <c r="J142" s="1">
        <v>19.0</v>
      </c>
      <c r="K142" s="1">
        <v>-10.0</v>
      </c>
      <c r="L142" s="1">
        <v>8.0</v>
      </c>
      <c r="M142" s="1">
        <v>8.0</v>
      </c>
      <c r="N142" s="1">
        <v>51.0</v>
      </c>
      <c r="O142" s="1">
        <v>65.0</v>
      </c>
      <c r="P142" s="1">
        <v>33.0</v>
      </c>
      <c r="Q142" s="1">
        <v>29.0</v>
      </c>
    </row>
    <row r="143">
      <c r="A143" s="1">
        <v>4210.0</v>
      </c>
      <c r="B143" s="1" t="s">
        <v>480</v>
      </c>
      <c r="C143" s="1" t="s">
        <v>481</v>
      </c>
      <c r="D143" s="1" t="s">
        <v>820</v>
      </c>
      <c r="E143" s="1" t="s">
        <v>975</v>
      </c>
      <c r="F143" s="1">
        <v>9.0</v>
      </c>
      <c r="G143" s="1">
        <v>8.0</v>
      </c>
      <c r="H143" s="1">
        <v>1.0</v>
      </c>
      <c r="I143" s="1">
        <v>9.0</v>
      </c>
      <c r="J143" s="1">
        <v>8.0</v>
      </c>
      <c r="K143" s="1">
        <v>1.0</v>
      </c>
      <c r="L143" s="1">
        <v>23.0</v>
      </c>
      <c r="M143" s="1">
        <v>23.0</v>
      </c>
      <c r="N143" s="1">
        <v>13.0</v>
      </c>
      <c r="O143" s="1">
        <v>25.0</v>
      </c>
      <c r="P143" s="1">
        <v>12.0</v>
      </c>
      <c r="Q143" s="1">
        <v>17.0</v>
      </c>
    </row>
    <row r="144">
      <c r="A144" s="1">
        <v>4220.0</v>
      </c>
      <c r="B144" s="1" t="s">
        <v>492</v>
      </c>
      <c r="C144" s="1" t="s">
        <v>930</v>
      </c>
      <c r="D144" s="1" t="s">
        <v>866</v>
      </c>
      <c r="E144" s="1" t="s">
        <v>987</v>
      </c>
      <c r="F144" s="1">
        <v>22.0</v>
      </c>
      <c r="G144" s="1">
        <v>10.0</v>
      </c>
      <c r="H144" s="1">
        <v>12.0</v>
      </c>
      <c r="I144" s="1">
        <v>22.0</v>
      </c>
      <c r="J144" s="1">
        <v>11.0</v>
      </c>
      <c r="K144" s="1">
        <v>11.0</v>
      </c>
      <c r="L144" s="1">
        <v>92.0</v>
      </c>
      <c r="M144" s="1">
        <v>102.0</v>
      </c>
      <c r="N144" s="1">
        <v>23.0</v>
      </c>
      <c r="O144" s="1">
        <v>25.0</v>
      </c>
      <c r="P144" s="1">
        <v>40.0</v>
      </c>
      <c r="Q144" s="1">
        <v>56.0</v>
      </c>
    </row>
    <row r="145">
      <c r="A145" s="1">
        <v>4263.0</v>
      </c>
      <c r="B145" s="1" t="s">
        <v>480</v>
      </c>
      <c r="C145" s="1" t="s">
        <v>481</v>
      </c>
      <c r="D145" s="1" t="s">
        <v>228</v>
      </c>
      <c r="E145" s="1" t="s">
        <v>993</v>
      </c>
      <c r="F145" s="1">
        <v>6.0</v>
      </c>
      <c r="G145" s="1">
        <v>3.0</v>
      </c>
      <c r="H145" s="1">
        <v>3.0</v>
      </c>
      <c r="I145" s="1">
        <v>6.0</v>
      </c>
      <c r="J145" s="1">
        <v>3.0</v>
      </c>
      <c r="K145" s="1">
        <v>3.0</v>
      </c>
      <c r="L145" s="1">
        <v>7.0</v>
      </c>
      <c r="M145" s="1">
        <v>7.0</v>
      </c>
      <c r="N145" s="1">
        <v>4.0</v>
      </c>
      <c r="O145" s="1">
        <v>5.0</v>
      </c>
      <c r="P145" s="1">
        <v>5.0</v>
      </c>
      <c r="Q145" s="1">
        <v>5.0</v>
      </c>
    </row>
    <row r="146">
      <c r="A146" s="1">
        <v>4268.0</v>
      </c>
      <c r="B146" s="1" t="s">
        <v>507</v>
      </c>
      <c r="C146" s="1" t="s">
        <v>512</v>
      </c>
      <c r="D146" s="1" t="s">
        <v>1256</v>
      </c>
      <c r="E146" s="1" t="s">
        <v>973</v>
      </c>
      <c r="F146" s="1">
        <v>14.0</v>
      </c>
      <c r="G146" s="1">
        <v>8.0</v>
      </c>
      <c r="H146" s="1">
        <v>6.0</v>
      </c>
      <c r="I146" s="1">
        <v>14.0</v>
      </c>
      <c r="J146" s="1">
        <v>7.0</v>
      </c>
      <c r="K146" s="1">
        <v>7.0</v>
      </c>
      <c r="L146" s="1">
        <v>30.0</v>
      </c>
      <c r="M146" s="1">
        <v>27.0</v>
      </c>
      <c r="N146" s="1">
        <v>16.0</v>
      </c>
      <c r="O146" s="1">
        <v>25.0</v>
      </c>
      <c r="P146" s="1">
        <v>131.0</v>
      </c>
      <c r="Q146" s="1">
        <v>20.0</v>
      </c>
    </row>
    <row r="147">
      <c r="A147" s="1">
        <v>4270.0</v>
      </c>
      <c r="B147" s="1" t="s">
        <v>477</v>
      </c>
      <c r="C147" s="1" t="s">
        <v>478</v>
      </c>
      <c r="D147" s="1" t="s">
        <v>867</v>
      </c>
      <c r="E147" s="1" t="s">
        <v>980</v>
      </c>
      <c r="F147" s="1">
        <v>1.0</v>
      </c>
      <c r="G147" s="1">
        <v>1.0</v>
      </c>
      <c r="H147" s="1">
        <v>0.0</v>
      </c>
      <c r="I147" s="1">
        <v>1.0</v>
      </c>
      <c r="J147" s="1">
        <v>1.0</v>
      </c>
      <c r="K147" s="1">
        <v>0.0</v>
      </c>
      <c r="L147" s="1">
        <v>1.0</v>
      </c>
      <c r="M147" s="1">
        <v>1.0</v>
      </c>
      <c r="N147" s="1">
        <v>1.0</v>
      </c>
      <c r="O147" s="1">
        <v>5.0</v>
      </c>
      <c r="P147" s="1">
        <v>47.0</v>
      </c>
      <c r="Q147" s="1">
        <v>1.0</v>
      </c>
    </row>
    <row r="148">
      <c r="A148" s="1">
        <v>4284.0</v>
      </c>
      <c r="B148" s="1" t="s">
        <v>480</v>
      </c>
      <c r="C148" s="1" t="s">
        <v>1152</v>
      </c>
      <c r="D148" s="1" t="s">
        <v>707</v>
      </c>
      <c r="E148" s="1" t="s">
        <v>974</v>
      </c>
      <c r="F148" s="1">
        <v>2.0</v>
      </c>
      <c r="G148" s="1">
        <v>9.0</v>
      </c>
      <c r="H148" s="1">
        <v>-7.0</v>
      </c>
      <c r="I148" s="1">
        <v>2.0</v>
      </c>
      <c r="J148" s="1">
        <v>9.0</v>
      </c>
      <c r="K148" s="1">
        <v>-7.0</v>
      </c>
      <c r="L148" s="1">
        <v>10.0</v>
      </c>
      <c r="M148" s="1">
        <v>15.0</v>
      </c>
      <c r="N148" s="1">
        <v>18.0</v>
      </c>
      <c r="O148" s="1" t="e">
        <v>#N/A</v>
      </c>
      <c r="P148" s="1" t="e">
        <v>#N/A</v>
      </c>
      <c r="Q148" s="1">
        <v>16.0</v>
      </c>
    </row>
    <row r="149">
      <c r="A149" s="1">
        <v>4287.0</v>
      </c>
      <c r="B149" s="1" t="s">
        <v>492</v>
      </c>
      <c r="C149" s="1" t="s">
        <v>930</v>
      </c>
      <c r="D149" s="1" t="s">
        <v>609</v>
      </c>
      <c r="E149" s="1" t="s">
        <v>987</v>
      </c>
      <c r="F149" s="1">
        <v>9.0</v>
      </c>
      <c r="G149" s="1">
        <v>9.0</v>
      </c>
      <c r="H149" s="1">
        <v>0.0</v>
      </c>
      <c r="I149" s="1">
        <v>9.0</v>
      </c>
      <c r="J149" s="1">
        <v>10.0</v>
      </c>
      <c r="K149" s="1">
        <v>-1.0</v>
      </c>
      <c r="L149" s="1">
        <v>21.0</v>
      </c>
      <c r="M149" s="1">
        <v>26.0</v>
      </c>
      <c r="N149" s="1">
        <v>20.0</v>
      </c>
      <c r="O149" s="1">
        <v>40.0</v>
      </c>
      <c r="P149" s="1">
        <v>36.0</v>
      </c>
      <c r="Q149" s="1">
        <v>21.0</v>
      </c>
    </row>
    <row r="150">
      <c r="A150" s="1">
        <v>4292.0</v>
      </c>
      <c r="B150" s="1" t="s">
        <v>480</v>
      </c>
      <c r="C150" s="1" t="s">
        <v>931</v>
      </c>
      <c r="D150" s="1" t="s">
        <v>633</v>
      </c>
      <c r="E150" s="1" t="s">
        <v>991</v>
      </c>
      <c r="F150" s="1">
        <v>13.0</v>
      </c>
      <c r="G150" s="1">
        <v>20.0</v>
      </c>
      <c r="H150" s="1">
        <v>-7.0</v>
      </c>
      <c r="I150" s="1">
        <v>13.0</v>
      </c>
      <c r="J150" s="1">
        <v>20.0</v>
      </c>
      <c r="K150" s="1">
        <v>-7.0</v>
      </c>
      <c r="L150" s="1">
        <v>53.0</v>
      </c>
      <c r="M150" s="1">
        <v>53.0</v>
      </c>
      <c r="N150" s="1">
        <v>80.0</v>
      </c>
      <c r="O150" s="1">
        <v>100.0</v>
      </c>
      <c r="P150" s="1">
        <v>88.0</v>
      </c>
      <c r="Q150" s="1">
        <v>63.0</v>
      </c>
    </row>
    <row r="151">
      <c r="A151" s="1">
        <v>4312.0</v>
      </c>
      <c r="B151" s="1" t="s">
        <v>477</v>
      </c>
      <c r="C151" s="1" t="s">
        <v>478</v>
      </c>
      <c r="D151" s="1" t="s">
        <v>261</v>
      </c>
      <c r="E151" s="1" t="s">
        <v>991</v>
      </c>
      <c r="F151" s="1">
        <v>14.0</v>
      </c>
      <c r="G151" s="1">
        <v>15.0</v>
      </c>
      <c r="H151" s="1">
        <v>-1.0</v>
      </c>
      <c r="I151" s="1">
        <v>14.0</v>
      </c>
      <c r="J151" s="1">
        <v>15.0</v>
      </c>
      <c r="K151" s="1">
        <v>-1.0</v>
      </c>
      <c r="L151" s="1">
        <v>67.0</v>
      </c>
      <c r="M151" s="1">
        <v>67.0</v>
      </c>
      <c r="N151" s="1">
        <v>78.0</v>
      </c>
      <c r="O151" s="1">
        <v>75.0</v>
      </c>
      <c r="P151" s="1">
        <v>89.0</v>
      </c>
      <c r="Q151" s="1">
        <v>68.0</v>
      </c>
    </row>
    <row r="152">
      <c r="A152" s="1">
        <v>4317.0</v>
      </c>
      <c r="B152" s="1" t="s">
        <v>480</v>
      </c>
      <c r="C152" s="1" t="s">
        <v>481</v>
      </c>
      <c r="D152" s="1" t="s">
        <v>756</v>
      </c>
      <c r="E152" s="1" t="s">
        <v>988</v>
      </c>
      <c r="F152" s="1">
        <v>10.0</v>
      </c>
      <c r="G152" s="1">
        <v>8.0</v>
      </c>
      <c r="H152" s="1">
        <v>2.0</v>
      </c>
      <c r="I152" s="1">
        <v>10.0</v>
      </c>
      <c r="J152" s="1">
        <v>8.0</v>
      </c>
      <c r="K152" s="1">
        <v>2.0</v>
      </c>
      <c r="L152" s="1">
        <v>27.0</v>
      </c>
      <c r="M152" s="1">
        <v>27.0</v>
      </c>
      <c r="N152" s="1">
        <v>20.0</v>
      </c>
      <c r="O152" s="1">
        <v>35.0</v>
      </c>
      <c r="P152" s="1">
        <v>18.0</v>
      </c>
      <c r="Q152" s="1">
        <v>22.0</v>
      </c>
    </row>
    <row r="153">
      <c r="A153" s="1">
        <v>4342.0</v>
      </c>
      <c r="B153" s="1" t="s">
        <v>492</v>
      </c>
      <c r="C153" s="1" t="s">
        <v>930</v>
      </c>
      <c r="D153" s="1" t="s">
        <v>658</v>
      </c>
      <c r="E153" s="1" t="s">
        <v>983</v>
      </c>
      <c r="F153" s="1">
        <v>8.0</v>
      </c>
      <c r="G153" s="1">
        <v>7.0</v>
      </c>
      <c r="H153" s="1">
        <v>1.0</v>
      </c>
      <c r="I153" s="1">
        <v>8.0</v>
      </c>
      <c r="J153" s="1">
        <v>8.0</v>
      </c>
      <c r="K153" s="1">
        <v>0.0</v>
      </c>
      <c r="L153" s="1">
        <v>17.0</v>
      </c>
      <c r="M153" s="1">
        <v>22.0</v>
      </c>
      <c r="N153" s="1">
        <v>20.0</v>
      </c>
      <c r="O153" s="1">
        <v>24.0</v>
      </c>
      <c r="P153" s="1">
        <v>14.0</v>
      </c>
      <c r="Q153" s="1">
        <v>20.0</v>
      </c>
    </row>
    <row r="154">
      <c r="A154" s="1">
        <v>4349.0</v>
      </c>
      <c r="B154" s="1" t="s">
        <v>492</v>
      </c>
      <c r="C154" s="1" t="s">
        <v>930</v>
      </c>
      <c r="D154" s="1" t="s">
        <v>842</v>
      </c>
      <c r="E154" s="1" t="s">
        <v>1233</v>
      </c>
      <c r="F154" s="1">
        <v>17.0</v>
      </c>
      <c r="G154" s="1">
        <v>1.0</v>
      </c>
      <c r="H154" s="1">
        <v>16.0</v>
      </c>
      <c r="I154" s="1">
        <v>17.0</v>
      </c>
      <c r="J154" s="1">
        <v>1.0</v>
      </c>
      <c r="K154" s="1">
        <v>16.0</v>
      </c>
      <c r="L154" s="1">
        <v>46.0</v>
      </c>
      <c r="M154" s="1">
        <v>56.0</v>
      </c>
      <c r="N154" s="1">
        <v>5.0</v>
      </c>
      <c r="O154" s="1">
        <v>10.0</v>
      </c>
      <c r="P154" s="1">
        <v>2.0</v>
      </c>
      <c r="Q154" s="1">
        <v>27.0</v>
      </c>
    </row>
    <row r="155">
      <c r="A155" s="1">
        <v>4351.0</v>
      </c>
      <c r="B155" s="1" t="s">
        <v>477</v>
      </c>
      <c r="C155" s="1" t="s">
        <v>478</v>
      </c>
      <c r="D155" s="1" t="s">
        <v>1257</v>
      </c>
      <c r="E155" s="1" t="s">
        <v>1222</v>
      </c>
      <c r="F155" s="1">
        <v>1.0</v>
      </c>
      <c r="G155" s="1">
        <v>1.0</v>
      </c>
      <c r="H155" s="1">
        <v>0.0</v>
      </c>
      <c r="I155" s="1">
        <v>1.0</v>
      </c>
      <c r="J155" s="1">
        <v>1.0</v>
      </c>
      <c r="K155" s="1">
        <v>0.0</v>
      </c>
      <c r="L155" s="1">
        <v>1.0</v>
      </c>
      <c r="M155" s="1">
        <v>1.0</v>
      </c>
      <c r="N155" s="1">
        <v>1.0</v>
      </c>
      <c r="O155" s="1">
        <v>1.0</v>
      </c>
      <c r="P155" s="1">
        <v>1.0</v>
      </c>
      <c r="Q155" s="1">
        <v>1.0</v>
      </c>
    </row>
    <row r="156">
      <c r="A156" s="1">
        <v>4359.0</v>
      </c>
      <c r="B156" s="1" t="s">
        <v>507</v>
      </c>
      <c r="C156" s="1" t="s">
        <v>512</v>
      </c>
      <c r="D156" s="1" t="s">
        <v>767</v>
      </c>
      <c r="E156" s="1" t="s">
        <v>975</v>
      </c>
      <c r="F156" s="1">
        <v>19.0</v>
      </c>
      <c r="G156" s="1">
        <v>13.0</v>
      </c>
      <c r="H156" s="1">
        <v>6.0</v>
      </c>
      <c r="I156" s="1">
        <v>19.0</v>
      </c>
      <c r="J156" s="1">
        <v>12.0</v>
      </c>
      <c r="K156" s="1">
        <v>7.0</v>
      </c>
      <c r="L156" s="1">
        <v>85.0</v>
      </c>
      <c r="M156" s="1">
        <v>82.0</v>
      </c>
      <c r="N156" s="1">
        <v>50.0</v>
      </c>
      <c r="O156" s="1">
        <v>12.0</v>
      </c>
      <c r="P156" s="1">
        <v>7.0</v>
      </c>
      <c r="Q156" s="1">
        <v>61.0</v>
      </c>
    </row>
    <row r="157">
      <c r="A157" s="1">
        <v>4360.0</v>
      </c>
      <c r="B157" s="1" t="s">
        <v>477</v>
      </c>
      <c r="C157" s="1" t="s">
        <v>478</v>
      </c>
      <c r="D157" s="1" t="s">
        <v>183</v>
      </c>
      <c r="E157" s="1" t="s">
        <v>975</v>
      </c>
      <c r="F157" s="1">
        <v>14.0</v>
      </c>
      <c r="G157" s="1">
        <v>2.0</v>
      </c>
      <c r="H157" s="1">
        <v>12.0</v>
      </c>
      <c r="I157" s="1">
        <v>14.0</v>
      </c>
      <c r="J157" s="1">
        <v>2.0</v>
      </c>
      <c r="K157" s="1">
        <v>12.0</v>
      </c>
      <c r="L157" s="1">
        <v>27.0</v>
      </c>
      <c r="M157" s="1">
        <v>27.0</v>
      </c>
      <c r="N157" s="1">
        <v>4.0</v>
      </c>
      <c r="O157" s="1">
        <v>25.0</v>
      </c>
      <c r="P157" s="1">
        <v>10.0</v>
      </c>
      <c r="Q157" s="1">
        <v>14.0</v>
      </c>
    </row>
    <row r="158">
      <c r="A158" s="1">
        <v>4364.0</v>
      </c>
      <c r="B158" s="1" t="s">
        <v>492</v>
      </c>
      <c r="C158" s="1" t="s">
        <v>543</v>
      </c>
      <c r="D158" s="1" t="s">
        <v>863</v>
      </c>
      <c r="E158" s="1" t="s">
        <v>975</v>
      </c>
      <c r="F158" s="1">
        <v>12.0</v>
      </c>
      <c r="G158" s="1">
        <v>9.0</v>
      </c>
      <c r="H158" s="1">
        <v>3.0</v>
      </c>
      <c r="I158" s="1">
        <v>12.0</v>
      </c>
      <c r="J158" s="1">
        <v>8.0</v>
      </c>
      <c r="K158" s="1">
        <v>4.0</v>
      </c>
      <c r="L158" s="1">
        <v>16.0</v>
      </c>
      <c r="M158" s="1">
        <v>13.0</v>
      </c>
      <c r="N158" s="1">
        <v>35.0</v>
      </c>
      <c r="O158" s="1">
        <v>44.0</v>
      </c>
      <c r="P158" s="1">
        <v>4.0</v>
      </c>
      <c r="Q158" s="1">
        <v>23.0</v>
      </c>
    </row>
    <row r="159">
      <c r="A159" s="1">
        <v>4371.0</v>
      </c>
      <c r="B159" s="1" t="s">
        <v>507</v>
      </c>
      <c r="C159" s="1" t="s">
        <v>507</v>
      </c>
      <c r="D159" s="1" t="s">
        <v>423</v>
      </c>
      <c r="E159" s="1" t="s">
        <v>987</v>
      </c>
      <c r="F159" s="1">
        <v>19.0</v>
      </c>
      <c r="G159" s="1">
        <v>11.0</v>
      </c>
      <c r="H159" s="1">
        <v>8.0</v>
      </c>
      <c r="I159" s="1">
        <v>19.0</v>
      </c>
      <c r="J159" s="1">
        <v>12.0</v>
      </c>
      <c r="K159" s="1">
        <v>7.0</v>
      </c>
      <c r="L159" s="1">
        <v>50.0</v>
      </c>
      <c r="M159" s="1">
        <v>50.0</v>
      </c>
      <c r="N159" s="1">
        <v>22.0</v>
      </c>
      <c r="O159" s="1">
        <v>25.0</v>
      </c>
      <c r="P159" s="1">
        <v>37.0</v>
      </c>
      <c r="Q159" s="1">
        <v>33.0</v>
      </c>
    </row>
    <row r="160">
      <c r="A160" s="1">
        <v>4374.0</v>
      </c>
      <c r="B160" s="1" t="s">
        <v>480</v>
      </c>
      <c r="C160" s="1" t="s">
        <v>481</v>
      </c>
      <c r="D160" s="1" t="s">
        <v>277</v>
      </c>
      <c r="E160" s="1" t="s">
        <v>972</v>
      </c>
      <c r="F160" s="1">
        <v>4.0</v>
      </c>
      <c r="G160" s="1">
        <v>4.0</v>
      </c>
      <c r="H160" s="1">
        <v>0.0</v>
      </c>
      <c r="I160" s="1">
        <v>4.0</v>
      </c>
      <c r="J160" s="1">
        <v>4.0</v>
      </c>
      <c r="K160" s="1">
        <v>0.0</v>
      </c>
      <c r="L160" s="1">
        <v>12.0</v>
      </c>
      <c r="M160" s="1">
        <v>12.0</v>
      </c>
      <c r="N160" s="1">
        <v>6.0</v>
      </c>
      <c r="O160" s="1">
        <v>11.0</v>
      </c>
      <c r="P160" s="1">
        <v>4.0</v>
      </c>
      <c r="Q160" s="1">
        <v>8.0</v>
      </c>
    </row>
    <row r="161">
      <c r="A161" s="1">
        <v>4376.0</v>
      </c>
      <c r="B161" s="1" t="s">
        <v>492</v>
      </c>
      <c r="C161" s="1" t="s">
        <v>934</v>
      </c>
      <c r="D161" s="1" t="s">
        <v>1258</v>
      </c>
      <c r="E161" s="1" t="s">
        <v>1222</v>
      </c>
      <c r="F161" s="1">
        <v>2.0</v>
      </c>
      <c r="G161" s="1">
        <v>10.0</v>
      </c>
      <c r="H161" s="1">
        <v>-8.0</v>
      </c>
      <c r="I161" s="1">
        <v>2.0</v>
      </c>
      <c r="J161" s="1">
        <v>10.0</v>
      </c>
      <c r="K161" s="1">
        <v>-8.0</v>
      </c>
      <c r="L161" s="1">
        <v>9.0</v>
      </c>
      <c r="M161" s="1">
        <v>9.0</v>
      </c>
      <c r="N161" s="1">
        <v>23.0</v>
      </c>
      <c r="O161" s="1">
        <v>30.0</v>
      </c>
      <c r="P161" s="1">
        <v>50.0</v>
      </c>
      <c r="Q161" s="1">
        <v>15.0</v>
      </c>
    </row>
    <row r="162">
      <c r="A162" s="1">
        <v>4377.0</v>
      </c>
      <c r="B162" s="1" t="s">
        <v>492</v>
      </c>
      <c r="C162" s="1" t="s">
        <v>934</v>
      </c>
      <c r="D162" s="1" t="s">
        <v>714</v>
      </c>
      <c r="E162" s="1" t="s">
        <v>1225</v>
      </c>
      <c r="F162" s="1">
        <v>6.0</v>
      </c>
      <c r="G162" s="1">
        <v>10.0</v>
      </c>
      <c r="H162" s="1">
        <v>-4.0</v>
      </c>
      <c r="I162" s="1">
        <v>6.0</v>
      </c>
      <c r="J162" s="1">
        <v>10.0</v>
      </c>
      <c r="K162" s="1">
        <v>-4.0</v>
      </c>
      <c r="L162" s="1">
        <v>15.0</v>
      </c>
      <c r="M162" s="1">
        <v>15.0</v>
      </c>
      <c r="N162" s="1">
        <v>17.0</v>
      </c>
      <c r="O162" s="1">
        <v>20.0</v>
      </c>
      <c r="P162" s="1">
        <v>9.0</v>
      </c>
      <c r="Q162" s="1">
        <v>15.0</v>
      </c>
    </row>
    <row r="163">
      <c r="A163" s="1">
        <v>4378.0</v>
      </c>
      <c r="B163" s="1" t="s">
        <v>480</v>
      </c>
      <c r="C163" s="1" t="s">
        <v>1022</v>
      </c>
      <c r="D163" s="1" t="s">
        <v>853</v>
      </c>
      <c r="E163" s="1" t="s">
        <v>1033</v>
      </c>
      <c r="F163" s="1">
        <v>9.0</v>
      </c>
      <c r="G163" s="1">
        <v>7.0</v>
      </c>
      <c r="H163" s="1">
        <v>2.0</v>
      </c>
      <c r="I163" s="1">
        <v>9.0</v>
      </c>
      <c r="J163" s="1">
        <v>8.0</v>
      </c>
      <c r="K163" s="1">
        <v>1.0</v>
      </c>
      <c r="L163" s="1">
        <v>16.0</v>
      </c>
      <c r="M163" s="1">
        <v>18.0</v>
      </c>
      <c r="N163" s="1">
        <v>16.0</v>
      </c>
      <c r="O163" s="1">
        <v>28.0</v>
      </c>
      <c r="P163" s="1">
        <v>12.0</v>
      </c>
      <c r="Q163" s="1">
        <v>16.0</v>
      </c>
    </row>
    <row r="164">
      <c r="A164" s="1">
        <v>4385.0</v>
      </c>
      <c r="B164" s="1" t="s">
        <v>480</v>
      </c>
      <c r="C164" s="1" t="s">
        <v>521</v>
      </c>
      <c r="D164" s="1" t="s">
        <v>838</v>
      </c>
      <c r="E164" s="1" t="s">
        <v>972</v>
      </c>
      <c r="F164" s="1">
        <v>9.0</v>
      </c>
      <c r="G164" s="1">
        <v>4.0</v>
      </c>
      <c r="H164" s="1">
        <v>5.0</v>
      </c>
      <c r="I164" s="1">
        <v>9.0</v>
      </c>
      <c r="J164" s="1">
        <v>4.0</v>
      </c>
      <c r="K164" s="1">
        <v>5.0</v>
      </c>
      <c r="L164" s="1">
        <v>23.0</v>
      </c>
      <c r="M164" s="1">
        <v>23.0</v>
      </c>
      <c r="N164" s="1">
        <v>7.0</v>
      </c>
      <c r="O164" s="1">
        <v>24.0</v>
      </c>
      <c r="P164" s="1">
        <v>8.0</v>
      </c>
      <c r="Q164" s="1">
        <v>14.0</v>
      </c>
    </row>
    <row r="165">
      <c r="A165" s="1">
        <v>4386.0</v>
      </c>
      <c r="B165" s="1" t="s">
        <v>480</v>
      </c>
      <c r="C165" s="1" t="s">
        <v>931</v>
      </c>
      <c r="D165" s="1" t="s">
        <v>1259</v>
      </c>
      <c r="E165" s="1" t="s">
        <v>998</v>
      </c>
      <c r="F165" s="1">
        <v>1.0</v>
      </c>
      <c r="G165" s="1">
        <v>2.0</v>
      </c>
      <c r="H165" s="1">
        <v>-1.0</v>
      </c>
      <c r="I165" s="1">
        <v>1.0</v>
      </c>
      <c r="J165" s="1">
        <v>2.0</v>
      </c>
      <c r="K165" s="1">
        <v>-1.0</v>
      </c>
      <c r="L165" s="1">
        <v>5.0</v>
      </c>
      <c r="M165" s="1">
        <v>5.0</v>
      </c>
      <c r="N165" s="1">
        <v>6.0</v>
      </c>
      <c r="O165" s="1" t="e">
        <v>#N/A</v>
      </c>
      <c r="P165" s="1" t="e">
        <v>#N/A</v>
      </c>
      <c r="Q165" s="1">
        <v>5.0</v>
      </c>
    </row>
    <row r="166">
      <c r="A166" s="1">
        <v>4401.0</v>
      </c>
      <c r="B166" s="1" t="s">
        <v>480</v>
      </c>
      <c r="C166" s="1" t="s">
        <v>481</v>
      </c>
      <c r="D166" s="1" t="s">
        <v>761</v>
      </c>
      <c r="E166" s="1" t="s">
        <v>991</v>
      </c>
      <c r="F166" s="1">
        <v>10.0</v>
      </c>
      <c r="G166" s="1">
        <v>4.0</v>
      </c>
      <c r="H166" s="1">
        <v>6.0</v>
      </c>
      <c r="I166" s="1">
        <v>10.0</v>
      </c>
      <c r="J166" s="1">
        <v>4.0</v>
      </c>
      <c r="K166" s="1">
        <v>6.0</v>
      </c>
      <c r="L166" s="1">
        <v>12.0</v>
      </c>
      <c r="M166" s="1">
        <v>12.0</v>
      </c>
      <c r="N166" s="1">
        <v>9.0</v>
      </c>
      <c r="O166" s="1">
        <v>18.0</v>
      </c>
      <c r="P166" s="1">
        <v>20.0</v>
      </c>
      <c r="Q166" s="1">
        <v>10.0</v>
      </c>
    </row>
    <row r="167">
      <c r="A167" s="1">
        <v>4404.0</v>
      </c>
      <c r="B167" s="1" t="s">
        <v>492</v>
      </c>
      <c r="C167" s="1" t="s">
        <v>492</v>
      </c>
      <c r="D167" s="1" t="s">
        <v>1194</v>
      </c>
      <c r="E167" s="1" t="s">
        <v>1026</v>
      </c>
      <c r="F167" s="1">
        <v>3.0</v>
      </c>
      <c r="G167" s="1">
        <v>5.0</v>
      </c>
      <c r="H167" s="1">
        <v>-2.0</v>
      </c>
      <c r="I167" s="1">
        <v>3.0</v>
      </c>
      <c r="J167" s="1">
        <v>4.0</v>
      </c>
      <c r="K167" s="1">
        <v>-1.0</v>
      </c>
      <c r="L167" s="1">
        <v>10.0</v>
      </c>
      <c r="M167" s="1">
        <v>13.0</v>
      </c>
      <c r="N167" s="1">
        <v>8.0</v>
      </c>
      <c r="O167" s="1">
        <v>20.0</v>
      </c>
      <c r="P167" s="1">
        <v>21.0</v>
      </c>
      <c r="Q167" s="1">
        <v>10.0</v>
      </c>
    </row>
    <row r="168">
      <c r="A168" s="1">
        <v>4409.0</v>
      </c>
      <c r="B168" s="1" t="s">
        <v>480</v>
      </c>
      <c r="C168" s="1" t="s">
        <v>481</v>
      </c>
      <c r="D168" s="1" t="s">
        <v>816</v>
      </c>
      <c r="E168" s="1" t="s">
        <v>987</v>
      </c>
      <c r="F168" s="1">
        <v>12.0</v>
      </c>
      <c r="G168" s="1">
        <v>11.0</v>
      </c>
      <c r="H168" s="1">
        <v>1.0</v>
      </c>
      <c r="I168" s="1">
        <v>12.0</v>
      </c>
      <c r="J168" s="1">
        <v>11.0</v>
      </c>
      <c r="K168" s="1">
        <v>1.0</v>
      </c>
      <c r="L168" s="1">
        <v>54.0</v>
      </c>
      <c r="M168" s="1">
        <v>54.0</v>
      </c>
      <c r="N168" s="1">
        <v>26.0</v>
      </c>
      <c r="O168" s="1">
        <v>38.0</v>
      </c>
      <c r="P168" s="1">
        <v>44.0</v>
      </c>
      <c r="Q168" s="1">
        <v>37.0</v>
      </c>
    </row>
    <row r="169">
      <c r="A169" s="1">
        <v>4421.0</v>
      </c>
      <c r="B169" s="1" t="s">
        <v>480</v>
      </c>
      <c r="C169" s="1" t="s">
        <v>931</v>
      </c>
      <c r="D169" s="1" t="s">
        <v>613</v>
      </c>
      <c r="E169" s="1" t="s">
        <v>975</v>
      </c>
      <c r="F169" s="1">
        <v>10.0</v>
      </c>
      <c r="G169" s="1">
        <v>5.0</v>
      </c>
      <c r="H169" s="1">
        <v>5.0</v>
      </c>
      <c r="I169" s="1">
        <v>10.0</v>
      </c>
      <c r="J169" s="1">
        <v>5.0</v>
      </c>
      <c r="K169" s="1">
        <v>5.0</v>
      </c>
      <c r="L169" s="1">
        <v>31.0</v>
      </c>
      <c r="M169" s="1">
        <v>31.0</v>
      </c>
      <c r="N169" s="1">
        <v>8.0</v>
      </c>
      <c r="O169" s="1">
        <v>11.0</v>
      </c>
      <c r="P169" s="1">
        <v>12.0</v>
      </c>
      <c r="Q169" s="1">
        <v>18.0</v>
      </c>
    </row>
    <row r="170">
      <c r="A170" s="1">
        <v>4423.0</v>
      </c>
      <c r="B170" s="1" t="s">
        <v>492</v>
      </c>
      <c r="C170" s="1" t="s">
        <v>492</v>
      </c>
      <c r="D170" s="1" t="s">
        <v>699</v>
      </c>
      <c r="E170" s="1" t="s">
        <v>985</v>
      </c>
      <c r="F170" s="1">
        <v>13.0</v>
      </c>
      <c r="G170" s="1">
        <v>6.0</v>
      </c>
      <c r="H170" s="1">
        <v>7.0</v>
      </c>
      <c r="I170" s="1">
        <v>13.0</v>
      </c>
      <c r="J170" s="1">
        <v>5.0</v>
      </c>
      <c r="K170" s="1">
        <v>8.0</v>
      </c>
      <c r="L170" s="1">
        <v>23.0</v>
      </c>
      <c r="M170" s="1">
        <v>23.0</v>
      </c>
      <c r="N170" s="1">
        <v>9.0</v>
      </c>
      <c r="O170" s="1" t="e">
        <v>#N/A</v>
      </c>
      <c r="P170" s="1" t="e">
        <v>#N/A</v>
      </c>
      <c r="Q170" s="1">
        <v>15.0</v>
      </c>
    </row>
    <row r="171">
      <c r="A171" s="1">
        <v>4425.0</v>
      </c>
      <c r="B171" s="1" t="s">
        <v>477</v>
      </c>
      <c r="C171" s="1" t="s">
        <v>478</v>
      </c>
      <c r="D171" s="1" t="s">
        <v>622</v>
      </c>
      <c r="E171" s="1" t="s">
        <v>1233</v>
      </c>
      <c r="F171" s="1">
        <v>2.0</v>
      </c>
      <c r="G171" s="1">
        <v>6.0</v>
      </c>
      <c r="H171" s="1">
        <v>-4.0</v>
      </c>
      <c r="I171" s="1">
        <v>2.0</v>
      </c>
      <c r="J171" s="1">
        <v>6.0</v>
      </c>
      <c r="K171" s="1">
        <v>-4.0</v>
      </c>
      <c r="L171" s="1">
        <v>1.0</v>
      </c>
      <c r="M171" s="1">
        <v>1.0</v>
      </c>
      <c r="N171" s="1">
        <v>21.0</v>
      </c>
      <c r="O171" s="1" t="e">
        <v>#N/A</v>
      </c>
      <c r="P171" s="1" t="e">
        <v>#N/A</v>
      </c>
      <c r="Q171" s="1">
        <v>11.0</v>
      </c>
    </row>
    <row r="172">
      <c r="A172" s="1">
        <v>4427.0</v>
      </c>
      <c r="B172" s="1" t="s">
        <v>492</v>
      </c>
      <c r="C172" s="1" t="s">
        <v>934</v>
      </c>
      <c r="D172" s="1" t="s">
        <v>462</v>
      </c>
      <c r="E172" s="1" t="s">
        <v>1026</v>
      </c>
      <c r="F172" s="1">
        <v>6.0</v>
      </c>
      <c r="G172" s="1">
        <v>11.0</v>
      </c>
      <c r="H172" s="1">
        <v>-5.0</v>
      </c>
      <c r="I172" s="1">
        <v>6.0</v>
      </c>
      <c r="J172" s="1">
        <v>11.0</v>
      </c>
      <c r="K172" s="1">
        <v>-5.0</v>
      </c>
      <c r="L172" s="1">
        <v>20.0</v>
      </c>
      <c r="M172" s="1">
        <v>20.0</v>
      </c>
      <c r="N172" s="1">
        <v>26.0</v>
      </c>
      <c r="O172" s="1">
        <v>23.0</v>
      </c>
      <c r="P172" s="1">
        <v>60.0</v>
      </c>
      <c r="Q172" s="1">
        <v>22.0</v>
      </c>
    </row>
    <row r="173">
      <c r="A173" s="1">
        <v>4431.0</v>
      </c>
      <c r="B173" s="1" t="s">
        <v>477</v>
      </c>
      <c r="C173" s="1" t="s">
        <v>478</v>
      </c>
      <c r="D173" s="1" t="s">
        <v>393</v>
      </c>
      <c r="E173" s="1" t="s">
        <v>980</v>
      </c>
      <c r="F173" s="1">
        <v>15.0</v>
      </c>
      <c r="G173" s="1">
        <v>13.0</v>
      </c>
      <c r="H173" s="1">
        <v>2.0</v>
      </c>
      <c r="I173" s="1">
        <v>15.0</v>
      </c>
      <c r="J173" s="1">
        <v>13.0</v>
      </c>
      <c r="K173" s="1">
        <v>2.0</v>
      </c>
      <c r="L173" s="1">
        <v>74.0</v>
      </c>
      <c r="M173" s="1">
        <v>74.0</v>
      </c>
      <c r="N173" s="1">
        <v>55.0</v>
      </c>
      <c r="O173" s="1">
        <v>65.0</v>
      </c>
      <c r="P173" s="1">
        <v>16.0</v>
      </c>
      <c r="Q173" s="1">
        <v>60.0</v>
      </c>
    </row>
    <row r="174">
      <c r="A174" s="1">
        <v>4433.0</v>
      </c>
      <c r="B174" s="1" t="s">
        <v>480</v>
      </c>
      <c r="C174" s="1" t="s">
        <v>944</v>
      </c>
      <c r="D174" s="1" t="s">
        <v>631</v>
      </c>
      <c r="E174" s="1" t="s">
        <v>975</v>
      </c>
      <c r="F174" s="1">
        <v>18.0</v>
      </c>
      <c r="G174" s="1">
        <v>7.0</v>
      </c>
      <c r="H174" s="1">
        <v>11.0</v>
      </c>
      <c r="I174" s="1">
        <v>18.0</v>
      </c>
      <c r="J174" s="1">
        <v>8.0</v>
      </c>
      <c r="K174" s="1">
        <v>10.0</v>
      </c>
      <c r="L174" s="1">
        <v>83.0</v>
      </c>
      <c r="M174" s="1">
        <v>88.0</v>
      </c>
      <c r="N174" s="1">
        <v>19.0</v>
      </c>
      <c r="O174" s="1">
        <v>60.0</v>
      </c>
      <c r="P174" s="1">
        <v>5.0</v>
      </c>
      <c r="Q174" s="1">
        <v>48.0</v>
      </c>
    </row>
    <row r="175">
      <c r="A175" s="1">
        <v>4436.0</v>
      </c>
      <c r="B175" s="1" t="s">
        <v>507</v>
      </c>
      <c r="C175" s="1" t="s">
        <v>507</v>
      </c>
      <c r="D175" s="1" t="s">
        <v>1020</v>
      </c>
      <c r="E175" s="1" t="s">
        <v>1009</v>
      </c>
      <c r="F175" s="1">
        <v>15.0</v>
      </c>
      <c r="G175" s="1">
        <v>12.0</v>
      </c>
      <c r="H175" s="1">
        <v>3.0</v>
      </c>
      <c r="I175" s="1">
        <v>15.0</v>
      </c>
      <c r="J175" s="1">
        <v>12.0</v>
      </c>
      <c r="K175" s="1">
        <v>3.0</v>
      </c>
      <c r="L175" s="1">
        <v>23.0</v>
      </c>
      <c r="M175" s="1">
        <v>23.0</v>
      </c>
      <c r="N175" s="1">
        <v>20.0</v>
      </c>
      <c r="O175" s="1">
        <v>27.0</v>
      </c>
      <c r="P175" s="1">
        <v>30.0</v>
      </c>
      <c r="Q175" s="1">
        <v>20.0</v>
      </c>
    </row>
    <row r="176">
      <c r="A176" s="1">
        <v>4459.0</v>
      </c>
      <c r="B176" s="1" t="s">
        <v>492</v>
      </c>
      <c r="C176" s="1" t="s">
        <v>930</v>
      </c>
      <c r="D176" s="1" t="s">
        <v>637</v>
      </c>
      <c r="E176" s="1" t="s">
        <v>1000</v>
      </c>
      <c r="F176" s="1">
        <v>9.0</v>
      </c>
      <c r="G176" s="1">
        <v>7.0</v>
      </c>
      <c r="H176" s="1">
        <v>2.0</v>
      </c>
      <c r="I176" s="1">
        <v>9.0</v>
      </c>
      <c r="J176" s="1">
        <v>7.0</v>
      </c>
      <c r="K176" s="1">
        <v>2.0</v>
      </c>
      <c r="L176" s="1">
        <v>23.0</v>
      </c>
      <c r="M176" s="1">
        <v>28.0</v>
      </c>
      <c r="N176" s="1">
        <v>12.0</v>
      </c>
      <c r="O176" s="1">
        <v>28.0</v>
      </c>
      <c r="P176" s="1">
        <v>12.0</v>
      </c>
      <c r="Q176" s="1">
        <v>18.0</v>
      </c>
    </row>
    <row r="177">
      <c r="A177" s="1">
        <v>4461.0</v>
      </c>
      <c r="B177" s="1" t="s">
        <v>480</v>
      </c>
      <c r="C177" s="1" t="s">
        <v>1019</v>
      </c>
      <c r="D177" s="1" t="s">
        <v>897</v>
      </c>
      <c r="E177" s="1" t="s">
        <v>975</v>
      </c>
      <c r="F177" s="1">
        <v>8.0</v>
      </c>
      <c r="G177" s="1">
        <v>6.0</v>
      </c>
      <c r="H177" s="1">
        <v>2.0</v>
      </c>
      <c r="I177" s="1">
        <v>8.0</v>
      </c>
      <c r="J177" s="1">
        <v>7.0</v>
      </c>
      <c r="K177" s="1">
        <v>1.0</v>
      </c>
      <c r="L177" s="1">
        <v>16.0</v>
      </c>
      <c r="M177" s="1">
        <v>20.0</v>
      </c>
      <c r="N177" s="1">
        <v>12.0</v>
      </c>
      <c r="O177" s="1">
        <v>21.0</v>
      </c>
      <c r="P177" s="1">
        <v>14.0</v>
      </c>
      <c r="Q177" s="1">
        <v>15.0</v>
      </c>
    </row>
    <row r="178">
      <c r="A178" s="1">
        <v>4463.0</v>
      </c>
      <c r="B178" s="1" t="s">
        <v>507</v>
      </c>
      <c r="C178" s="1" t="s">
        <v>507</v>
      </c>
      <c r="D178" s="1" t="s">
        <v>835</v>
      </c>
      <c r="E178" s="1" t="s">
        <v>1222</v>
      </c>
      <c r="F178" s="1">
        <v>21.0</v>
      </c>
      <c r="G178" s="1">
        <v>3.0</v>
      </c>
      <c r="H178" s="1">
        <v>18.0</v>
      </c>
      <c r="I178" s="1">
        <v>21.0</v>
      </c>
      <c r="J178" s="1">
        <v>3.0</v>
      </c>
      <c r="K178" s="1">
        <v>18.0</v>
      </c>
      <c r="L178" s="1">
        <v>43.0</v>
      </c>
      <c r="M178" s="1">
        <v>43.0</v>
      </c>
      <c r="N178" s="1">
        <v>15.0</v>
      </c>
      <c r="O178" s="1" t="e">
        <v>#N/A</v>
      </c>
      <c r="P178" s="1" t="e">
        <v>#N/A</v>
      </c>
      <c r="Q178" s="1">
        <v>26.0</v>
      </c>
    </row>
    <row r="179">
      <c r="A179" s="1">
        <v>4465.0</v>
      </c>
      <c r="B179" s="1" t="s">
        <v>492</v>
      </c>
      <c r="C179" s="1" t="s">
        <v>934</v>
      </c>
      <c r="D179" s="1" t="s">
        <v>779</v>
      </c>
      <c r="E179" s="1" t="s">
        <v>1033</v>
      </c>
      <c r="F179" s="1">
        <v>8.0</v>
      </c>
      <c r="G179" s="1">
        <v>10.0</v>
      </c>
      <c r="H179" s="1">
        <v>-2.0</v>
      </c>
      <c r="I179" s="1">
        <v>8.0</v>
      </c>
      <c r="J179" s="1">
        <v>9.0</v>
      </c>
      <c r="K179" s="1">
        <v>-1.0</v>
      </c>
      <c r="L179" s="1">
        <v>22.0</v>
      </c>
      <c r="M179" s="1">
        <v>22.0</v>
      </c>
      <c r="N179" s="1">
        <v>18.0</v>
      </c>
      <c r="O179" s="1">
        <v>10.0</v>
      </c>
      <c r="P179" s="1">
        <v>30.0</v>
      </c>
      <c r="Q179" s="1">
        <v>19.0</v>
      </c>
    </row>
    <row r="180">
      <c r="A180" s="1">
        <v>4479.0</v>
      </c>
      <c r="B180" s="1" t="s">
        <v>492</v>
      </c>
      <c r="C180" s="1" t="s">
        <v>1057</v>
      </c>
      <c r="D180" s="1" t="s">
        <v>253</v>
      </c>
      <c r="E180" s="1" t="s">
        <v>972</v>
      </c>
      <c r="F180" s="1">
        <v>13.0</v>
      </c>
      <c r="G180" s="1">
        <v>11.0</v>
      </c>
      <c r="H180" s="1">
        <v>2.0</v>
      </c>
      <c r="I180" s="1">
        <v>13.0</v>
      </c>
      <c r="J180" s="1">
        <v>11.0</v>
      </c>
      <c r="K180" s="1">
        <v>2.0</v>
      </c>
      <c r="L180" s="1">
        <v>71.0</v>
      </c>
      <c r="M180" s="1">
        <v>74.0</v>
      </c>
      <c r="N180" s="1" t="e">
        <v>#N/A</v>
      </c>
      <c r="O180" s="1" t="e">
        <v>#N/A</v>
      </c>
      <c r="P180" s="1">
        <v>42.0</v>
      </c>
      <c r="Q180" s="1">
        <v>45.0</v>
      </c>
    </row>
    <row r="181">
      <c r="A181" s="1">
        <v>4486.0</v>
      </c>
      <c r="B181" s="1" t="s">
        <v>492</v>
      </c>
      <c r="C181" s="1" t="s">
        <v>563</v>
      </c>
      <c r="D181" s="1" t="s">
        <v>629</v>
      </c>
      <c r="E181" s="1" t="s">
        <v>974</v>
      </c>
      <c r="F181" s="1">
        <v>21.0</v>
      </c>
      <c r="G181" s="1">
        <v>12.0</v>
      </c>
      <c r="H181" s="1">
        <v>9.0</v>
      </c>
      <c r="I181" s="1">
        <v>20.0</v>
      </c>
      <c r="J181" s="1">
        <v>11.0</v>
      </c>
      <c r="K181" s="1">
        <v>9.0</v>
      </c>
      <c r="L181" s="1">
        <v>66.0</v>
      </c>
      <c r="M181" s="1">
        <v>63.0</v>
      </c>
      <c r="N181" s="1">
        <v>30.0</v>
      </c>
      <c r="O181" s="1" t="e">
        <v>#N/A</v>
      </c>
      <c r="P181" s="1">
        <v>72.0</v>
      </c>
      <c r="Q181" s="1">
        <v>43.0</v>
      </c>
    </row>
    <row r="182">
      <c r="A182" s="1">
        <v>4491.0</v>
      </c>
      <c r="B182" s="1" t="s">
        <v>477</v>
      </c>
      <c r="C182" s="1" t="s">
        <v>478</v>
      </c>
      <c r="D182" s="1" t="s">
        <v>1261</v>
      </c>
      <c r="E182" s="1" t="s">
        <v>983</v>
      </c>
      <c r="F182" s="1">
        <v>1.0</v>
      </c>
      <c r="G182" s="1">
        <v>1.0</v>
      </c>
      <c r="H182" s="1">
        <v>0.0</v>
      </c>
      <c r="I182" s="1">
        <v>1.0</v>
      </c>
      <c r="J182" s="1">
        <v>1.0</v>
      </c>
      <c r="K182" s="1">
        <v>0.0</v>
      </c>
      <c r="L182" s="1">
        <v>1.0</v>
      </c>
      <c r="M182" s="1">
        <v>1.0</v>
      </c>
      <c r="N182" s="1">
        <v>1.0</v>
      </c>
      <c r="O182" s="1">
        <v>1.0</v>
      </c>
      <c r="P182" s="1">
        <v>1.0</v>
      </c>
      <c r="Q182" s="1">
        <v>1.0</v>
      </c>
    </row>
    <row r="183">
      <c r="A183" s="1">
        <v>4493.0</v>
      </c>
      <c r="B183" s="1" t="s">
        <v>480</v>
      </c>
      <c r="C183" s="1" t="s">
        <v>481</v>
      </c>
      <c r="D183" s="1" t="s">
        <v>881</v>
      </c>
      <c r="E183" s="1" t="s">
        <v>983</v>
      </c>
      <c r="F183" s="1">
        <v>4.0</v>
      </c>
      <c r="G183" s="1">
        <v>5.0</v>
      </c>
      <c r="H183" s="1">
        <v>-1.0</v>
      </c>
      <c r="I183" s="1">
        <v>4.0</v>
      </c>
      <c r="J183" s="1">
        <v>5.0</v>
      </c>
      <c r="K183" s="1">
        <v>-1.0</v>
      </c>
      <c r="L183" s="1">
        <v>9.0</v>
      </c>
      <c r="M183" s="1">
        <v>9.0</v>
      </c>
      <c r="N183" s="1">
        <v>7.0</v>
      </c>
      <c r="O183" s="1">
        <v>14.0</v>
      </c>
      <c r="P183" s="1">
        <v>5.0</v>
      </c>
      <c r="Q183" s="1">
        <v>7.0</v>
      </c>
    </row>
    <row r="184">
      <c r="A184" s="1">
        <v>4498.0</v>
      </c>
      <c r="B184" s="1" t="s">
        <v>492</v>
      </c>
      <c r="C184" s="1" t="s">
        <v>934</v>
      </c>
      <c r="D184" s="1" t="s">
        <v>902</v>
      </c>
      <c r="E184" s="1" t="s">
        <v>1222</v>
      </c>
      <c r="F184" s="1">
        <v>8.0</v>
      </c>
      <c r="G184" s="1">
        <v>4.0</v>
      </c>
      <c r="H184" s="1">
        <v>4.0</v>
      </c>
      <c r="I184" s="1">
        <v>8.0</v>
      </c>
      <c r="J184" s="1">
        <v>4.0</v>
      </c>
      <c r="K184" s="1">
        <v>4.0</v>
      </c>
      <c r="L184" s="1">
        <v>14.0</v>
      </c>
      <c r="M184" s="1">
        <v>14.0</v>
      </c>
      <c r="N184" s="1">
        <v>8.0</v>
      </c>
      <c r="O184" s="1" t="e">
        <v>#N/A</v>
      </c>
      <c r="P184" s="1" t="e">
        <v>#N/A</v>
      </c>
      <c r="Q184" s="1">
        <v>10.0</v>
      </c>
    </row>
    <row r="185">
      <c r="A185" s="1">
        <v>4502.0</v>
      </c>
      <c r="B185" s="1" t="s">
        <v>480</v>
      </c>
      <c r="C185" s="1" t="s">
        <v>931</v>
      </c>
      <c r="D185" s="1" t="s">
        <v>892</v>
      </c>
      <c r="E185" s="1" t="s">
        <v>998</v>
      </c>
      <c r="F185" s="1">
        <v>5.0</v>
      </c>
      <c r="G185" s="1">
        <v>5.0</v>
      </c>
      <c r="H185" s="1">
        <v>0.0</v>
      </c>
      <c r="I185" s="1">
        <v>5.0</v>
      </c>
      <c r="J185" s="1">
        <v>5.0</v>
      </c>
      <c r="K185" s="1">
        <v>0.0</v>
      </c>
      <c r="L185" s="1">
        <v>13.0</v>
      </c>
      <c r="M185" s="1">
        <v>13.0</v>
      </c>
      <c r="N185" s="1">
        <v>11.0</v>
      </c>
      <c r="O185" s="1">
        <v>23.0</v>
      </c>
      <c r="P185" s="1">
        <v>9.0</v>
      </c>
      <c r="Q185" s="1">
        <v>11.0</v>
      </c>
    </row>
    <row r="186">
      <c r="A186" s="1">
        <v>4510.0</v>
      </c>
      <c r="B186" s="1" t="s">
        <v>507</v>
      </c>
      <c r="C186" s="1" t="s">
        <v>507</v>
      </c>
      <c r="D186" s="1" t="s">
        <v>306</v>
      </c>
      <c r="E186" s="1" t="s">
        <v>991</v>
      </c>
      <c r="F186" s="1">
        <v>22.0</v>
      </c>
      <c r="G186" s="1">
        <v>25.0</v>
      </c>
      <c r="H186" s="1">
        <v>-3.0</v>
      </c>
      <c r="I186" s="1">
        <v>22.0</v>
      </c>
      <c r="J186" s="1">
        <v>26.0</v>
      </c>
      <c r="K186" s="1">
        <v>-4.0</v>
      </c>
      <c r="L186" s="1">
        <v>174.0</v>
      </c>
      <c r="M186" s="1">
        <v>174.0</v>
      </c>
      <c r="N186" s="1">
        <v>203.0</v>
      </c>
      <c r="O186" s="1">
        <v>200.0</v>
      </c>
      <c r="P186" s="1">
        <v>282.0</v>
      </c>
      <c r="Q186" s="1">
        <v>177.0</v>
      </c>
    </row>
    <row r="187">
      <c r="A187" s="1">
        <v>4530.0</v>
      </c>
      <c r="B187" s="1" t="s">
        <v>480</v>
      </c>
      <c r="C187" s="1" t="s">
        <v>931</v>
      </c>
      <c r="D187" s="1" t="s">
        <v>731</v>
      </c>
      <c r="E187" s="1" t="s">
        <v>1225</v>
      </c>
      <c r="F187" s="1">
        <v>11.0</v>
      </c>
      <c r="G187" s="1">
        <v>6.0</v>
      </c>
      <c r="H187" s="1">
        <v>5.0</v>
      </c>
      <c r="I187" s="1">
        <v>11.0</v>
      </c>
      <c r="J187" s="1">
        <v>6.0</v>
      </c>
      <c r="K187" s="1">
        <v>5.0</v>
      </c>
      <c r="L187" s="1">
        <v>18.0</v>
      </c>
      <c r="M187" s="1">
        <v>18.0</v>
      </c>
      <c r="N187" s="1">
        <v>13.0</v>
      </c>
      <c r="O187" s="1">
        <v>17.0</v>
      </c>
      <c r="P187" s="1">
        <v>15.0</v>
      </c>
      <c r="Q187" s="1">
        <v>14.0</v>
      </c>
    </row>
    <row r="188">
      <c r="A188" s="1">
        <v>4657.0</v>
      </c>
      <c r="B188" s="1" t="s">
        <v>480</v>
      </c>
      <c r="C188" s="1" t="s">
        <v>938</v>
      </c>
      <c r="D188" s="1" t="s">
        <v>1029</v>
      </c>
      <c r="E188" s="1" t="s">
        <v>988</v>
      </c>
      <c r="F188" s="1">
        <v>5.0</v>
      </c>
      <c r="G188" s="1">
        <v>3.0</v>
      </c>
      <c r="H188" s="1">
        <v>2.0</v>
      </c>
      <c r="I188" s="1">
        <v>5.0</v>
      </c>
      <c r="J188" s="1">
        <v>3.0</v>
      </c>
      <c r="K188" s="1">
        <v>2.0</v>
      </c>
      <c r="L188" s="1">
        <v>15.0</v>
      </c>
      <c r="M188" s="1">
        <v>15.0</v>
      </c>
      <c r="N188" s="1">
        <v>12.0</v>
      </c>
      <c r="O188" s="1">
        <v>5.0</v>
      </c>
      <c r="P188" s="1">
        <v>5.0</v>
      </c>
      <c r="Q188" s="1">
        <v>13.0</v>
      </c>
    </row>
    <row r="189">
      <c r="A189" s="1">
        <v>4658.0</v>
      </c>
      <c r="B189" s="1" t="s">
        <v>492</v>
      </c>
      <c r="C189" s="1" t="s">
        <v>563</v>
      </c>
      <c r="D189" s="1" t="s">
        <v>1262</v>
      </c>
      <c r="E189" s="1" t="s">
        <v>974</v>
      </c>
      <c r="F189" s="1">
        <v>10.0</v>
      </c>
      <c r="G189" s="1">
        <v>5.0</v>
      </c>
      <c r="H189" s="1">
        <v>5.0</v>
      </c>
      <c r="I189" s="1">
        <v>10.0</v>
      </c>
      <c r="J189" s="1">
        <v>5.0</v>
      </c>
      <c r="K189" s="1">
        <v>5.0</v>
      </c>
      <c r="L189" s="1">
        <v>17.0</v>
      </c>
      <c r="M189" s="1">
        <v>17.0</v>
      </c>
      <c r="N189" s="1">
        <v>13.0</v>
      </c>
      <c r="O189" s="1">
        <v>27.0</v>
      </c>
      <c r="P189" s="1">
        <v>18.0</v>
      </c>
      <c r="Q189" s="1">
        <v>14.0</v>
      </c>
    </row>
    <row r="190">
      <c r="A190" s="1">
        <v>4662.0</v>
      </c>
      <c r="B190" s="1" t="s">
        <v>492</v>
      </c>
      <c r="C190" s="1" t="s">
        <v>563</v>
      </c>
      <c r="D190" s="1" t="s">
        <v>846</v>
      </c>
      <c r="E190" s="1" t="s">
        <v>976</v>
      </c>
      <c r="F190" s="1">
        <v>18.0</v>
      </c>
      <c r="G190" s="1">
        <v>5.0</v>
      </c>
      <c r="H190" s="1">
        <v>13.0</v>
      </c>
      <c r="I190" s="1">
        <v>18.0</v>
      </c>
      <c r="J190" s="1">
        <v>4.0</v>
      </c>
      <c r="K190" s="1">
        <v>14.0</v>
      </c>
      <c r="L190" s="1">
        <v>20.0</v>
      </c>
      <c r="M190" s="1">
        <v>17.0</v>
      </c>
      <c r="N190" s="1">
        <v>20.0</v>
      </c>
      <c r="O190" s="1">
        <v>23.0</v>
      </c>
      <c r="P190" s="1">
        <v>38.0</v>
      </c>
      <c r="Q190" s="1">
        <v>17.0</v>
      </c>
    </row>
    <row r="191">
      <c r="A191" s="1">
        <v>4665.0</v>
      </c>
      <c r="B191" s="1" t="s">
        <v>480</v>
      </c>
      <c r="C191" s="1" t="s">
        <v>481</v>
      </c>
      <c r="D191" s="1" t="s">
        <v>697</v>
      </c>
      <c r="E191" s="1" t="s">
        <v>972</v>
      </c>
      <c r="F191" s="1">
        <v>8.0</v>
      </c>
      <c r="G191" s="1">
        <v>7.0</v>
      </c>
      <c r="H191" s="1">
        <v>1.0</v>
      </c>
      <c r="I191" s="1">
        <v>8.0</v>
      </c>
      <c r="J191" s="1">
        <v>7.0</v>
      </c>
      <c r="K191" s="1">
        <v>1.0</v>
      </c>
      <c r="L191" s="1">
        <v>21.0</v>
      </c>
      <c r="M191" s="1">
        <v>21.0</v>
      </c>
      <c r="N191" s="1">
        <v>15.0</v>
      </c>
      <c r="O191" s="1" t="e">
        <v>#N/A</v>
      </c>
      <c r="P191" s="1" t="e">
        <v>#N/A</v>
      </c>
      <c r="Q191" s="1">
        <v>17.0</v>
      </c>
    </row>
    <row r="192">
      <c r="A192" s="1">
        <v>4677.0</v>
      </c>
      <c r="B192" s="1" t="s">
        <v>492</v>
      </c>
      <c r="C192" s="1" t="s">
        <v>935</v>
      </c>
      <c r="D192" s="1" t="s">
        <v>1035</v>
      </c>
      <c r="E192" s="1" t="s">
        <v>1026</v>
      </c>
      <c r="F192" s="1">
        <v>7.0</v>
      </c>
      <c r="G192" s="1">
        <v>8.0</v>
      </c>
      <c r="H192" s="1">
        <v>-1.0</v>
      </c>
      <c r="I192" s="1">
        <v>7.0</v>
      </c>
      <c r="J192" s="1">
        <v>7.0</v>
      </c>
      <c r="K192" s="1">
        <v>0.0</v>
      </c>
      <c r="L192" s="1">
        <v>13.0</v>
      </c>
      <c r="M192" s="1">
        <v>13.0</v>
      </c>
      <c r="N192" s="1" t="e">
        <v>#N/A</v>
      </c>
      <c r="O192" s="1" t="e">
        <v>#N/A</v>
      </c>
      <c r="P192" s="1" t="e">
        <v>#N/A</v>
      </c>
      <c r="Q192" s="1" t="e">
        <v>#N/A</v>
      </c>
    </row>
    <row r="193">
      <c r="A193" s="1">
        <v>4686.0</v>
      </c>
      <c r="B193" s="1" t="s">
        <v>492</v>
      </c>
      <c r="C193" s="1" t="s">
        <v>930</v>
      </c>
      <c r="D193" s="1" t="s">
        <v>750</v>
      </c>
      <c r="E193" s="1" t="s">
        <v>991</v>
      </c>
      <c r="F193" s="1">
        <v>12.0</v>
      </c>
      <c r="G193" s="1">
        <v>8.0</v>
      </c>
      <c r="H193" s="1">
        <v>4.0</v>
      </c>
      <c r="I193" s="1">
        <v>12.0</v>
      </c>
      <c r="J193" s="1">
        <v>9.0</v>
      </c>
      <c r="K193" s="1">
        <v>3.0</v>
      </c>
      <c r="L193" s="1">
        <v>21.0</v>
      </c>
      <c r="M193" s="1">
        <v>26.0</v>
      </c>
      <c r="N193" s="1">
        <v>22.0</v>
      </c>
      <c r="O193" s="1" t="e">
        <v>#N/A</v>
      </c>
      <c r="P193" s="1" t="e">
        <v>#N/A</v>
      </c>
      <c r="Q193" s="1">
        <v>22.0</v>
      </c>
    </row>
    <row r="194">
      <c r="A194" s="1">
        <v>4730.0</v>
      </c>
      <c r="B194" s="1" t="s">
        <v>507</v>
      </c>
      <c r="C194" s="1" t="s">
        <v>507</v>
      </c>
      <c r="D194" s="1" t="s">
        <v>753</v>
      </c>
      <c r="E194" s="1" t="s">
        <v>980</v>
      </c>
      <c r="F194" s="1">
        <v>33.0</v>
      </c>
      <c r="G194" s="1">
        <v>28.0</v>
      </c>
      <c r="H194" s="1">
        <v>5.0</v>
      </c>
      <c r="I194" s="1">
        <v>33.0</v>
      </c>
      <c r="J194" s="1">
        <v>29.0</v>
      </c>
      <c r="K194" s="1">
        <v>4.0</v>
      </c>
      <c r="L194" s="1">
        <v>391.0</v>
      </c>
      <c r="M194" s="1">
        <v>391.0</v>
      </c>
      <c r="N194" s="1">
        <v>222.0</v>
      </c>
      <c r="O194" s="1">
        <v>250.0</v>
      </c>
      <c r="P194" s="1">
        <v>165.0</v>
      </c>
      <c r="Q194" s="1">
        <v>282.0</v>
      </c>
    </row>
    <row r="195">
      <c r="A195" s="1">
        <v>4734.0</v>
      </c>
      <c r="B195" s="1" t="s">
        <v>480</v>
      </c>
      <c r="C195" s="1" t="s">
        <v>931</v>
      </c>
      <c r="D195" s="1" t="s">
        <v>72</v>
      </c>
      <c r="E195" s="1" t="s">
        <v>1009</v>
      </c>
      <c r="F195" s="1">
        <v>10.0</v>
      </c>
      <c r="G195" s="1">
        <v>8.0</v>
      </c>
      <c r="H195" s="1">
        <v>2.0</v>
      </c>
      <c r="I195" s="1">
        <v>10.0</v>
      </c>
      <c r="J195" s="1">
        <v>8.0</v>
      </c>
      <c r="K195" s="1">
        <v>2.0</v>
      </c>
      <c r="L195" s="1">
        <v>30.0</v>
      </c>
      <c r="M195" s="1">
        <v>30.0</v>
      </c>
      <c r="N195" s="1">
        <v>16.0</v>
      </c>
      <c r="O195" s="1" t="e">
        <v>#N/A</v>
      </c>
      <c r="P195" s="1" t="e">
        <v>#N/A</v>
      </c>
      <c r="Q195" s="1">
        <v>21.0</v>
      </c>
    </row>
    <row r="196">
      <c r="A196" s="1">
        <v>4751.0</v>
      </c>
      <c r="B196" s="1" t="s">
        <v>480</v>
      </c>
      <c r="C196" s="1" t="s">
        <v>481</v>
      </c>
      <c r="D196" s="1" t="s">
        <v>769</v>
      </c>
      <c r="E196" s="1" t="s">
        <v>991</v>
      </c>
      <c r="F196" s="1">
        <v>7.0</v>
      </c>
      <c r="G196" s="1">
        <v>14.0</v>
      </c>
      <c r="H196" s="1">
        <v>-7.0</v>
      </c>
      <c r="I196" s="1">
        <v>7.0</v>
      </c>
      <c r="J196" s="1">
        <v>14.0</v>
      </c>
      <c r="K196" s="1">
        <v>-7.0</v>
      </c>
      <c r="L196" s="1">
        <v>18.0</v>
      </c>
      <c r="M196" s="1">
        <v>18.0</v>
      </c>
      <c r="N196" s="1">
        <v>41.0</v>
      </c>
      <c r="O196" s="1">
        <v>75.0</v>
      </c>
      <c r="P196" s="1">
        <v>43.0</v>
      </c>
      <c r="Q196" s="1">
        <v>28.0</v>
      </c>
    </row>
    <row r="197">
      <c r="A197" s="1">
        <v>4772.0</v>
      </c>
      <c r="B197" s="1" t="s">
        <v>480</v>
      </c>
      <c r="C197" s="1" t="s">
        <v>931</v>
      </c>
      <c r="D197" s="1" t="s">
        <v>321</v>
      </c>
      <c r="E197" s="1" t="s">
        <v>988</v>
      </c>
      <c r="F197" s="1">
        <v>14.0</v>
      </c>
      <c r="G197" s="1">
        <v>10.0</v>
      </c>
      <c r="H197" s="1">
        <v>4.0</v>
      </c>
      <c r="I197" s="1">
        <v>14.0</v>
      </c>
      <c r="J197" s="1">
        <v>10.0</v>
      </c>
      <c r="K197" s="1">
        <v>4.0</v>
      </c>
      <c r="L197" s="1">
        <v>50.0</v>
      </c>
      <c r="M197" s="1">
        <v>50.0</v>
      </c>
      <c r="N197" s="1">
        <v>27.0</v>
      </c>
      <c r="O197" s="1">
        <v>33.0</v>
      </c>
      <c r="P197" s="1">
        <v>27.0</v>
      </c>
      <c r="Q197" s="1">
        <v>35.0</v>
      </c>
    </row>
    <row r="198">
      <c r="A198" s="1">
        <v>4777.0</v>
      </c>
      <c r="B198" s="1" t="s">
        <v>492</v>
      </c>
      <c r="C198" s="1" t="s">
        <v>930</v>
      </c>
      <c r="D198" s="1" t="s">
        <v>405</v>
      </c>
      <c r="E198" s="1" t="s">
        <v>987</v>
      </c>
      <c r="F198" s="1">
        <v>30.0</v>
      </c>
      <c r="G198" s="1">
        <v>16.0</v>
      </c>
      <c r="H198" s="1">
        <v>14.0</v>
      </c>
      <c r="I198" s="1">
        <v>29.0</v>
      </c>
      <c r="J198" s="1">
        <v>19.0</v>
      </c>
      <c r="K198" s="1">
        <v>10.0</v>
      </c>
      <c r="L198" s="1">
        <v>217.0</v>
      </c>
      <c r="M198" s="1">
        <v>232.0</v>
      </c>
      <c r="N198" s="1">
        <v>70.0</v>
      </c>
      <c r="O198" s="1" t="e">
        <v>#N/A</v>
      </c>
      <c r="P198" s="1" t="e">
        <v>#N/A</v>
      </c>
      <c r="Q198" s="1">
        <v>137.0</v>
      </c>
    </row>
    <row r="199">
      <c r="A199" s="1">
        <v>4811.0</v>
      </c>
      <c r="B199" s="1" t="s">
        <v>507</v>
      </c>
      <c r="C199" s="1" t="s">
        <v>507</v>
      </c>
      <c r="D199" s="1" t="s">
        <v>700</v>
      </c>
      <c r="E199" s="1" t="s">
        <v>991</v>
      </c>
      <c r="F199" s="1">
        <v>12.0</v>
      </c>
      <c r="G199" s="1">
        <v>12.0</v>
      </c>
      <c r="H199" s="1">
        <v>0.0</v>
      </c>
      <c r="I199" s="1">
        <v>12.0</v>
      </c>
      <c r="J199" s="1">
        <v>12.0</v>
      </c>
      <c r="K199" s="1">
        <v>0.0</v>
      </c>
      <c r="L199" s="1">
        <v>22.0</v>
      </c>
      <c r="M199" s="1">
        <v>22.0</v>
      </c>
      <c r="N199" s="1" t="e">
        <v>#N/A</v>
      </c>
      <c r="O199" s="1" t="e">
        <v>#N/A</v>
      </c>
      <c r="P199" s="1" t="e">
        <v>#N/A</v>
      </c>
      <c r="Q199" s="1">
        <v>23.0</v>
      </c>
    </row>
    <row r="200">
      <c r="A200" s="1">
        <v>4816.0</v>
      </c>
      <c r="B200" s="1" t="s">
        <v>480</v>
      </c>
      <c r="C200" s="1" t="s">
        <v>1227</v>
      </c>
      <c r="D200" s="1" t="s">
        <v>688</v>
      </c>
      <c r="E200" s="1" t="s">
        <v>991</v>
      </c>
      <c r="F200" s="1">
        <v>6.0</v>
      </c>
      <c r="G200" s="1">
        <v>12.0</v>
      </c>
      <c r="H200" s="1">
        <v>-6.0</v>
      </c>
      <c r="I200" s="1">
        <v>6.0</v>
      </c>
      <c r="J200" s="1">
        <v>12.0</v>
      </c>
      <c r="K200" s="1">
        <v>-6.0</v>
      </c>
      <c r="L200" s="1">
        <v>9.0</v>
      </c>
      <c r="M200" s="1">
        <v>12.0</v>
      </c>
      <c r="N200" s="1">
        <v>39.0</v>
      </c>
      <c r="O200" s="1" t="e">
        <v>#N/A</v>
      </c>
      <c r="P200" s="1" t="e">
        <v>#N/A</v>
      </c>
      <c r="Q200" s="1">
        <v>25.0</v>
      </c>
    </row>
    <row r="201">
      <c r="A201" s="1">
        <v>4856.0</v>
      </c>
      <c r="B201" s="1" t="s">
        <v>492</v>
      </c>
      <c r="C201" s="1" t="s">
        <v>935</v>
      </c>
      <c r="D201" s="1" t="s">
        <v>151</v>
      </c>
      <c r="E201" s="1" t="s">
        <v>991</v>
      </c>
      <c r="F201" s="1">
        <v>12.0</v>
      </c>
      <c r="G201" s="1">
        <v>11.0</v>
      </c>
      <c r="H201" s="1">
        <v>1.0</v>
      </c>
      <c r="I201" s="1">
        <v>11.0</v>
      </c>
      <c r="J201" s="1">
        <v>10.0</v>
      </c>
      <c r="K201" s="1">
        <v>1.0</v>
      </c>
      <c r="L201" s="1">
        <v>10.0</v>
      </c>
      <c r="M201" s="1">
        <v>10.0</v>
      </c>
      <c r="N201" s="1">
        <v>35.0</v>
      </c>
      <c r="O201" s="1">
        <v>35.0</v>
      </c>
      <c r="P201" s="1">
        <v>75.0</v>
      </c>
      <c r="Q201" s="1">
        <v>22.0</v>
      </c>
    </row>
    <row r="202">
      <c r="A202" s="1">
        <v>4867.0</v>
      </c>
      <c r="B202" s="1" t="s">
        <v>477</v>
      </c>
      <c r="C202" s="1" t="s">
        <v>478</v>
      </c>
      <c r="D202" s="1" t="s">
        <v>830</v>
      </c>
      <c r="E202" s="1" t="s">
        <v>1225</v>
      </c>
      <c r="F202" s="1">
        <v>10.0</v>
      </c>
      <c r="G202" s="1">
        <v>8.0</v>
      </c>
      <c r="H202" s="1">
        <v>2.0</v>
      </c>
      <c r="I202" s="1">
        <v>10.0</v>
      </c>
      <c r="J202" s="1">
        <v>8.0</v>
      </c>
      <c r="K202" s="1">
        <v>2.0</v>
      </c>
      <c r="L202" s="1">
        <v>7.0</v>
      </c>
      <c r="M202" s="1">
        <v>7.0</v>
      </c>
      <c r="N202" s="1">
        <v>23.0</v>
      </c>
      <c r="O202" s="1">
        <v>12.0</v>
      </c>
      <c r="P202" s="1">
        <v>8.0</v>
      </c>
      <c r="Q202" s="1">
        <v>14.0</v>
      </c>
    </row>
    <row r="203">
      <c r="A203" s="1">
        <v>4870.0</v>
      </c>
      <c r="B203" s="1" t="s">
        <v>492</v>
      </c>
      <c r="C203" s="1" t="s">
        <v>930</v>
      </c>
      <c r="D203" s="1" t="s">
        <v>763</v>
      </c>
      <c r="E203" s="1" t="s">
        <v>975</v>
      </c>
      <c r="F203" s="1">
        <v>9.0</v>
      </c>
      <c r="G203" s="1">
        <v>2.0</v>
      </c>
      <c r="H203" s="1">
        <v>7.0</v>
      </c>
      <c r="I203" s="1">
        <v>9.0</v>
      </c>
      <c r="J203" s="1">
        <v>2.0</v>
      </c>
      <c r="K203" s="1">
        <v>7.0</v>
      </c>
      <c r="L203" s="1">
        <v>14.0</v>
      </c>
      <c r="M203" s="1">
        <v>17.0</v>
      </c>
      <c r="N203" s="1">
        <v>3.0</v>
      </c>
      <c r="O203" s="1">
        <v>5.0</v>
      </c>
      <c r="P203" s="1">
        <v>5.0</v>
      </c>
      <c r="Q203" s="1">
        <v>9.0</v>
      </c>
    </row>
    <row r="204">
      <c r="A204" s="1">
        <v>4871.0</v>
      </c>
      <c r="B204" s="1" t="s">
        <v>507</v>
      </c>
      <c r="C204" s="1" t="s">
        <v>512</v>
      </c>
      <c r="D204" s="1" t="s">
        <v>273</v>
      </c>
      <c r="E204" s="1" t="s">
        <v>973</v>
      </c>
      <c r="F204" s="1">
        <v>30.0</v>
      </c>
      <c r="G204" s="1">
        <v>31.0</v>
      </c>
      <c r="H204" s="1">
        <v>-1.0</v>
      </c>
      <c r="I204" s="1">
        <v>30.0</v>
      </c>
      <c r="J204" s="1">
        <v>30.0</v>
      </c>
      <c r="K204" s="1">
        <v>0.0</v>
      </c>
      <c r="L204" s="1">
        <v>360.0</v>
      </c>
      <c r="M204" s="1">
        <v>360.0</v>
      </c>
      <c r="N204" s="1">
        <v>257.0</v>
      </c>
      <c r="O204" s="1">
        <v>320.0</v>
      </c>
      <c r="P204" s="1">
        <v>185.0</v>
      </c>
      <c r="Q204" s="1">
        <v>286.0</v>
      </c>
    </row>
    <row r="205">
      <c r="A205" s="1">
        <v>4887.0</v>
      </c>
      <c r="B205" s="1" t="s">
        <v>480</v>
      </c>
      <c r="C205" s="1" t="s">
        <v>521</v>
      </c>
      <c r="D205" s="1" t="s">
        <v>606</v>
      </c>
      <c r="E205" s="1" t="s">
        <v>980</v>
      </c>
      <c r="F205" s="1">
        <v>12.0</v>
      </c>
      <c r="G205" s="1">
        <v>13.0</v>
      </c>
      <c r="H205" s="1">
        <v>-1.0</v>
      </c>
      <c r="I205" s="1">
        <v>12.0</v>
      </c>
      <c r="J205" s="1">
        <v>12.0</v>
      </c>
      <c r="K205" s="1">
        <v>0.0</v>
      </c>
      <c r="L205" s="1">
        <v>55.0</v>
      </c>
      <c r="M205" s="1">
        <v>55.0</v>
      </c>
      <c r="N205" s="1">
        <v>40.0</v>
      </c>
      <c r="O205" s="1">
        <v>65.0</v>
      </c>
      <c r="P205" s="1">
        <v>26.0</v>
      </c>
      <c r="Q205" s="1">
        <v>44.0</v>
      </c>
    </row>
    <row r="206">
      <c r="A206" s="1">
        <v>4890.0</v>
      </c>
      <c r="B206" s="1" t="s">
        <v>492</v>
      </c>
      <c r="C206" s="1" t="s">
        <v>930</v>
      </c>
      <c r="D206" s="1" t="s">
        <v>891</v>
      </c>
      <c r="E206" s="1" t="s">
        <v>972</v>
      </c>
      <c r="F206" s="1">
        <v>3.0</v>
      </c>
      <c r="G206" s="1">
        <v>5.0</v>
      </c>
      <c r="H206" s="1">
        <v>-2.0</v>
      </c>
      <c r="I206" s="1">
        <v>2.0</v>
      </c>
      <c r="J206" s="1">
        <v>6.0</v>
      </c>
      <c r="K206" s="1">
        <v>-4.0</v>
      </c>
      <c r="L206" s="1">
        <v>8.0</v>
      </c>
      <c r="M206" s="1">
        <v>10.0</v>
      </c>
      <c r="N206" s="1">
        <v>11.0</v>
      </c>
      <c r="O206" s="1">
        <v>15.0</v>
      </c>
      <c r="P206" s="1">
        <v>13.0</v>
      </c>
      <c r="Q206" s="1">
        <v>10.0</v>
      </c>
    </row>
    <row r="207">
      <c r="A207" s="1">
        <v>4892.0</v>
      </c>
      <c r="B207" s="1" t="s">
        <v>492</v>
      </c>
      <c r="C207" s="1" t="s">
        <v>563</v>
      </c>
      <c r="D207" s="1" t="s">
        <v>869</v>
      </c>
      <c r="E207" s="1" t="s">
        <v>988</v>
      </c>
      <c r="F207" s="1">
        <v>22.0</v>
      </c>
      <c r="G207" s="1">
        <v>5.0</v>
      </c>
      <c r="H207" s="1">
        <v>17.0</v>
      </c>
      <c r="I207" s="1">
        <v>22.0</v>
      </c>
      <c r="J207" s="1">
        <v>5.0</v>
      </c>
      <c r="K207" s="1">
        <v>17.0</v>
      </c>
      <c r="L207" s="1">
        <v>72.0</v>
      </c>
      <c r="M207" s="1">
        <v>72.0</v>
      </c>
      <c r="N207" s="1">
        <v>11.0</v>
      </c>
      <c r="O207" s="1">
        <v>42.0</v>
      </c>
      <c r="P207" s="1">
        <v>7.0</v>
      </c>
      <c r="Q207" s="1">
        <v>37.0</v>
      </c>
    </row>
    <row r="208">
      <c r="A208" s="1">
        <v>4896.0</v>
      </c>
      <c r="B208" s="1" t="s">
        <v>492</v>
      </c>
      <c r="C208" s="1" t="s">
        <v>947</v>
      </c>
      <c r="D208" s="1" t="s">
        <v>645</v>
      </c>
      <c r="E208" s="1" t="s">
        <v>980</v>
      </c>
      <c r="F208" s="1">
        <v>13.0</v>
      </c>
      <c r="G208" s="1">
        <v>9.0</v>
      </c>
      <c r="H208" s="1">
        <v>4.0</v>
      </c>
      <c r="I208" s="1">
        <v>13.0</v>
      </c>
      <c r="J208" s="1">
        <v>8.0</v>
      </c>
      <c r="K208" s="1">
        <v>5.0</v>
      </c>
      <c r="L208" s="1">
        <v>34.0</v>
      </c>
      <c r="M208" s="1">
        <v>34.0</v>
      </c>
      <c r="N208" s="1">
        <v>23.0</v>
      </c>
      <c r="O208" s="1">
        <v>35.0</v>
      </c>
      <c r="P208" s="1">
        <v>7.0</v>
      </c>
      <c r="Q208" s="1">
        <v>26.0</v>
      </c>
    </row>
    <row r="209">
      <c r="A209" s="1">
        <v>4904.0</v>
      </c>
      <c r="B209" s="1" t="s">
        <v>480</v>
      </c>
      <c r="C209" s="1" t="s">
        <v>481</v>
      </c>
      <c r="D209" s="1" t="s">
        <v>1263</v>
      </c>
      <c r="E209" s="1" t="s">
        <v>1033</v>
      </c>
      <c r="F209" s="1">
        <v>6.0</v>
      </c>
      <c r="G209" s="1">
        <v>7.0</v>
      </c>
      <c r="H209" s="1">
        <v>-1.0</v>
      </c>
      <c r="I209" s="1">
        <v>6.0</v>
      </c>
      <c r="J209" s="1">
        <v>7.0</v>
      </c>
      <c r="K209" s="1">
        <v>-1.0</v>
      </c>
      <c r="L209" s="1">
        <v>17.0</v>
      </c>
      <c r="M209" s="1">
        <v>17.0</v>
      </c>
      <c r="N209" s="1">
        <v>15.0</v>
      </c>
      <c r="O209" s="1">
        <v>26.0</v>
      </c>
      <c r="P209" s="1">
        <v>18.0</v>
      </c>
      <c r="Q209" s="1">
        <v>15.0</v>
      </c>
    </row>
    <row r="210">
      <c r="A210" s="1">
        <v>4911.0</v>
      </c>
      <c r="B210" s="1" t="s">
        <v>492</v>
      </c>
      <c r="C210" s="1" t="s">
        <v>492</v>
      </c>
      <c r="D210" s="1" t="s">
        <v>754</v>
      </c>
      <c r="E210" s="1" t="s">
        <v>976</v>
      </c>
      <c r="F210" s="1">
        <v>10.0</v>
      </c>
      <c r="G210" s="1">
        <v>20.0</v>
      </c>
      <c r="H210" s="1">
        <v>-10.0</v>
      </c>
      <c r="I210" s="1">
        <v>9.0</v>
      </c>
      <c r="J210" s="1">
        <v>19.0</v>
      </c>
      <c r="K210" s="1">
        <v>-10.0</v>
      </c>
      <c r="L210" s="1">
        <v>10.0</v>
      </c>
      <c r="M210" s="1">
        <v>10.0</v>
      </c>
      <c r="N210" s="1">
        <v>66.0</v>
      </c>
      <c r="O210" s="1" t="e">
        <v>#N/A</v>
      </c>
      <c r="P210" s="1" t="e">
        <v>#N/A</v>
      </c>
      <c r="Q210" s="1">
        <v>37.0</v>
      </c>
    </row>
    <row r="211">
      <c r="A211" s="1">
        <v>4923.0</v>
      </c>
      <c r="B211" s="1" t="s">
        <v>507</v>
      </c>
      <c r="C211" s="1" t="s">
        <v>512</v>
      </c>
      <c r="D211" s="1" t="s">
        <v>758</v>
      </c>
      <c r="E211" s="1" t="s">
        <v>1222</v>
      </c>
      <c r="F211" s="1">
        <v>14.0</v>
      </c>
      <c r="G211" s="1">
        <v>12.0</v>
      </c>
      <c r="H211" s="1">
        <v>2.0</v>
      </c>
      <c r="I211" s="1">
        <v>14.0</v>
      </c>
      <c r="J211" s="1">
        <v>11.0</v>
      </c>
      <c r="K211" s="1">
        <v>3.0</v>
      </c>
      <c r="L211" s="1">
        <v>15.0</v>
      </c>
      <c r="M211" s="1">
        <v>12.0</v>
      </c>
      <c r="N211" s="1">
        <v>50.0</v>
      </c>
      <c r="O211" s="1">
        <v>10.0</v>
      </c>
      <c r="P211" s="1">
        <v>33.0</v>
      </c>
      <c r="Q211" s="1">
        <v>30.0</v>
      </c>
    </row>
    <row r="212">
      <c r="A212" s="1">
        <v>4925.0</v>
      </c>
      <c r="B212" s="1" t="s">
        <v>480</v>
      </c>
      <c r="C212" s="1" t="s">
        <v>1022</v>
      </c>
      <c r="D212" s="1" t="s">
        <v>775</v>
      </c>
      <c r="E212" s="1" t="s">
        <v>1225</v>
      </c>
      <c r="F212" s="1">
        <v>4.0</v>
      </c>
      <c r="G212" s="1">
        <v>5.0</v>
      </c>
      <c r="H212" s="1">
        <v>-1.0</v>
      </c>
      <c r="I212" s="1">
        <v>4.0</v>
      </c>
      <c r="J212" s="1">
        <v>6.0</v>
      </c>
      <c r="K212" s="1">
        <v>-2.0</v>
      </c>
      <c r="L212" s="1">
        <v>9.0</v>
      </c>
      <c r="M212" s="1">
        <v>11.0</v>
      </c>
      <c r="N212" s="1">
        <v>9.0</v>
      </c>
      <c r="O212" s="1">
        <v>17.0</v>
      </c>
      <c r="P212" s="1">
        <v>4.0</v>
      </c>
      <c r="Q212" s="1">
        <v>9.0</v>
      </c>
    </row>
    <row r="213">
      <c r="A213" s="1">
        <v>4929.0</v>
      </c>
      <c r="B213" s="1" t="s">
        <v>477</v>
      </c>
      <c r="C213" s="1" t="s">
        <v>478</v>
      </c>
      <c r="D213" s="1" t="s">
        <v>1031</v>
      </c>
      <c r="E213" s="1" t="s">
        <v>975</v>
      </c>
      <c r="F213" s="1">
        <v>1.0</v>
      </c>
      <c r="G213" s="1">
        <v>1.0</v>
      </c>
      <c r="H213" s="1">
        <v>0.0</v>
      </c>
      <c r="I213" s="1">
        <v>1.0</v>
      </c>
      <c r="J213" s="1">
        <v>1.0</v>
      </c>
      <c r="K213" s="1">
        <v>0.0</v>
      </c>
      <c r="L213" s="1">
        <v>1.0</v>
      </c>
      <c r="M213" s="1">
        <v>1.0</v>
      </c>
      <c r="N213" s="1">
        <v>1.0</v>
      </c>
      <c r="O213" s="1" t="e">
        <v>#N/A</v>
      </c>
      <c r="P213" s="1" t="e">
        <v>#N/A</v>
      </c>
      <c r="Q213" s="1">
        <v>1.0</v>
      </c>
    </row>
    <row r="214">
      <c r="A214" s="1">
        <v>4947.0</v>
      </c>
      <c r="B214" s="1" t="s">
        <v>492</v>
      </c>
      <c r="C214" s="1" t="s">
        <v>930</v>
      </c>
      <c r="D214" s="1" t="s">
        <v>139</v>
      </c>
      <c r="E214" s="1" t="s">
        <v>980</v>
      </c>
      <c r="F214" s="1">
        <v>15.0</v>
      </c>
      <c r="G214" s="1">
        <v>4.0</v>
      </c>
      <c r="H214" s="1">
        <v>11.0</v>
      </c>
      <c r="I214" s="1">
        <v>15.0</v>
      </c>
      <c r="J214" s="1">
        <v>5.0</v>
      </c>
      <c r="K214" s="1">
        <v>10.0</v>
      </c>
      <c r="L214" s="1">
        <v>23.0</v>
      </c>
      <c r="M214" s="1">
        <v>28.0</v>
      </c>
      <c r="N214" s="1">
        <v>48.0</v>
      </c>
      <c r="O214" s="1">
        <v>29.0</v>
      </c>
      <c r="P214" s="1">
        <v>6.0</v>
      </c>
      <c r="Q214" s="1">
        <v>36.0</v>
      </c>
    </row>
    <row r="215">
      <c r="A215" s="1">
        <v>4957.0</v>
      </c>
      <c r="B215" s="1" t="s">
        <v>477</v>
      </c>
      <c r="C215" s="1" t="s">
        <v>478</v>
      </c>
      <c r="D215" s="1" t="s">
        <v>735</v>
      </c>
      <c r="E215" s="1" t="s">
        <v>983</v>
      </c>
      <c r="F215" s="1">
        <v>8.0</v>
      </c>
      <c r="G215" s="1">
        <v>7.0</v>
      </c>
      <c r="H215" s="1">
        <v>1.0</v>
      </c>
      <c r="I215" s="1">
        <v>8.0</v>
      </c>
      <c r="J215" s="1">
        <v>7.0</v>
      </c>
      <c r="K215" s="1">
        <v>1.0</v>
      </c>
      <c r="L215" s="1">
        <v>17.0</v>
      </c>
      <c r="M215" s="1">
        <v>17.0</v>
      </c>
      <c r="N215" s="1">
        <v>30.0</v>
      </c>
      <c r="O215" s="1">
        <v>20.0</v>
      </c>
      <c r="P215" s="1">
        <v>13.0</v>
      </c>
      <c r="Q215" s="1">
        <v>22.0</v>
      </c>
    </row>
    <row r="216">
      <c r="A216" s="1">
        <v>4958.0</v>
      </c>
      <c r="B216" s="1" t="s">
        <v>480</v>
      </c>
      <c r="C216" s="1" t="s">
        <v>1022</v>
      </c>
      <c r="D216" s="1" t="s">
        <v>1264</v>
      </c>
      <c r="E216" s="1" t="s">
        <v>1225</v>
      </c>
      <c r="F216" s="1">
        <v>2.0</v>
      </c>
      <c r="G216" s="1">
        <v>5.0</v>
      </c>
      <c r="H216" s="1">
        <v>-3.0</v>
      </c>
      <c r="I216" s="1">
        <v>2.0</v>
      </c>
      <c r="J216" s="1">
        <v>5.0</v>
      </c>
      <c r="K216" s="1">
        <v>-3.0</v>
      </c>
      <c r="L216" s="1">
        <v>4.0</v>
      </c>
      <c r="M216" s="1">
        <v>6.0</v>
      </c>
      <c r="N216" s="1">
        <v>8.0</v>
      </c>
      <c r="O216" s="1">
        <v>18.0</v>
      </c>
      <c r="P216" s="1">
        <v>12.0</v>
      </c>
      <c r="Q216" s="1">
        <v>7.0</v>
      </c>
    </row>
    <row r="217">
      <c r="A217" s="1">
        <v>4965.0</v>
      </c>
      <c r="B217" s="1" t="s">
        <v>492</v>
      </c>
      <c r="C217" s="1" t="s">
        <v>930</v>
      </c>
      <c r="D217" s="1" t="s">
        <v>840</v>
      </c>
      <c r="E217" s="1" t="s">
        <v>975</v>
      </c>
      <c r="F217" s="1">
        <v>13.0</v>
      </c>
      <c r="G217" s="1">
        <v>6.0</v>
      </c>
      <c r="H217" s="1">
        <v>7.0</v>
      </c>
      <c r="I217" s="1">
        <v>13.0</v>
      </c>
      <c r="J217" s="1">
        <v>6.0</v>
      </c>
      <c r="K217" s="1">
        <v>7.0</v>
      </c>
      <c r="L217" s="1">
        <v>12.0</v>
      </c>
      <c r="M217" s="1">
        <v>15.0</v>
      </c>
      <c r="N217" s="1">
        <v>15.0</v>
      </c>
      <c r="O217" s="1">
        <v>20.0</v>
      </c>
      <c r="P217" s="1">
        <v>16.0</v>
      </c>
      <c r="Q217" s="1">
        <v>14.0</v>
      </c>
    </row>
    <row r="218">
      <c r="A218" s="1">
        <v>4970.0</v>
      </c>
      <c r="B218" s="1" t="s">
        <v>492</v>
      </c>
      <c r="C218" s="1" t="s">
        <v>1056</v>
      </c>
      <c r="D218" s="1" t="s">
        <v>702</v>
      </c>
      <c r="E218" s="1" t="s">
        <v>1026</v>
      </c>
      <c r="F218" s="1">
        <v>7.0</v>
      </c>
      <c r="G218" s="1">
        <v>9.0</v>
      </c>
      <c r="H218" s="1">
        <v>-2.0</v>
      </c>
      <c r="I218" s="1">
        <v>7.0</v>
      </c>
      <c r="J218" s="1">
        <v>9.0</v>
      </c>
      <c r="K218" s="1">
        <v>-2.0</v>
      </c>
      <c r="L218" s="1">
        <v>12.0</v>
      </c>
      <c r="M218" s="1">
        <v>15.0</v>
      </c>
      <c r="N218" s="1">
        <v>22.0</v>
      </c>
      <c r="O218" s="1">
        <v>23.0</v>
      </c>
      <c r="P218" s="1">
        <v>28.0</v>
      </c>
      <c r="Q218" s="1">
        <v>18.0</v>
      </c>
    </row>
    <row r="219">
      <c r="A219" s="1">
        <v>4973.0</v>
      </c>
      <c r="B219" s="1" t="s">
        <v>492</v>
      </c>
      <c r="C219" s="1" t="s">
        <v>930</v>
      </c>
      <c r="D219" s="1" t="s">
        <v>732</v>
      </c>
      <c r="E219" s="1" t="s">
        <v>976</v>
      </c>
      <c r="F219" s="1">
        <v>12.0</v>
      </c>
      <c r="G219" s="1">
        <v>7.0</v>
      </c>
      <c r="H219" s="1">
        <v>5.0</v>
      </c>
      <c r="I219" s="1">
        <v>12.0</v>
      </c>
      <c r="J219" s="1">
        <v>8.0</v>
      </c>
      <c r="K219" s="1">
        <v>4.0</v>
      </c>
      <c r="L219" s="1">
        <v>26.0</v>
      </c>
      <c r="M219" s="1">
        <v>36.0</v>
      </c>
      <c r="N219" s="1">
        <v>14.0</v>
      </c>
      <c r="O219" s="1">
        <v>45.0</v>
      </c>
      <c r="P219" s="1">
        <v>17.0</v>
      </c>
      <c r="Q219" s="1">
        <v>23.0</v>
      </c>
    </row>
    <row r="220">
      <c r="A220" s="1">
        <v>4976.0</v>
      </c>
      <c r="B220" s="1" t="s">
        <v>480</v>
      </c>
      <c r="C220" s="1" t="s">
        <v>937</v>
      </c>
      <c r="D220" s="1" t="s">
        <v>667</v>
      </c>
      <c r="E220" s="1" t="s">
        <v>976</v>
      </c>
      <c r="F220" s="1">
        <v>9.0</v>
      </c>
      <c r="G220" s="1">
        <v>4.0</v>
      </c>
      <c r="H220" s="1">
        <v>5.0</v>
      </c>
      <c r="I220" s="1">
        <v>9.0</v>
      </c>
      <c r="J220" s="1">
        <v>5.0</v>
      </c>
      <c r="K220" s="1">
        <v>4.0</v>
      </c>
      <c r="L220" s="1">
        <v>23.0</v>
      </c>
      <c r="M220" s="1">
        <v>26.0</v>
      </c>
      <c r="N220" s="1">
        <v>15.0</v>
      </c>
      <c r="O220" s="1">
        <v>12.0</v>
      </c>
      <c r="P220" s="1">
        <v>17.0</v>
      </c>
      <c r="Q220" s="1">
        <v>19.0</v>
      </c>
    </row>
    <row r="221">
      <c r="A221" s="1">
        <v>4982.0</v>
      </c>
      <c r="B221" s="1" t="s">
        <v>480</v>
      </c>
      <c r="C221" s="1" t="s">
        <v>481</v>
      </c>
      <c r="D221" s="1" t="s">
        <v>811</v>
      </c>
      <c r="E221" s="1" t="s">
        <v>1009</v>
      </c>
      <c r="F221" s="1">
        <v>4.0</v>
      </c>
      <c r="G221" s="1">
        <v>6.0</v>
      </c>
      <c r="H221" s="1">
        <v>-2.0</v>
      </c>
      <c r="I221" s="1">
        <v>4.0</v>
      </c>
      <c r="J221" s="1">
        <v>6.0</v>
      </c>
      <c r="K221" s="1">
        <v>-2.0</v>
      </c>
      <c r="L221" s="1">
        <v>7.0</v>
      </c>
      <c r="M221" s="1">
        <v>7.0</v>
      </c>
      <c r="N221" s="1">
        <v>17.0</v>
      </c>
      <c r="O221" s="1">
        <v>15.0</v>
      </c>
      <c r="P221" s="1">
        <v>10.0</v>
      </c>
      <c r="Q221" s="1">
        <v>12.0</v>
      </c>
    </row>
    <row r="222">
      <c r="A222" s="1">
        <v>4992.0</v>
      </c>
      <c r="B222" s="1" t="s">
        <v>492</v>
      </c>
      <c r="C222" s="1" t="s">
        <v>563</v>
      </c>
      <c r="D222" s="1" t="s">
        <v>1265</v>
      </c>
      <c r="E222" s="1" t="s">
        <v>1222</v>
      </c>
      <c r="F222" s="1">
        <v>8.0</v>
      </c>
      <c r="G222" s="1">
        <v>5.0</v>
      </c>
      <c r="H222" s="1">
        <v>3.0</v>
      </c>
      <c r="I222" s="1">
        <v>8.0</v>
      </c>
      <c r="J222" s="1">
        <v>5.0</v>
      </c>
      <c r="K222" s="1">
        <v>3.0</v>
      </c>
      <c r="L222" s="1">
        <v>17.0</v>
      </c>
      <c r="M222" s="1">
        <v>14.0</v>
      </c>
      <c r="N222" s="1">
        <v>18.0</v>
      </c>
      <c r="O222" s="1">
        <v>18.0</v>
      </c>
      <c r="P222" s="1">
        <v>8.0</v>
      </c>
      <c r="Q222" s="1">
        <v>15.0</v>
      </c>
    </row>
    <row r="223">
      <c r="A223" s="1">
        <v>4994.0</v>
      </c>
      <c r="B223" s="1" t="s">
        <v>480</v>
      </c>
      <c r="C223" s="1" t="s">
        <v>1019</v>
      </c>
      <c r="D223" s="1" t="s">
        <v>875</v>
      </c>
      <c r="E223" s="1" t="s">
        <v>974</v>
      </c>
      <c r="F223" s="1">
        <v>8.0</v>
      </c>
      <c r="G223" s="1">
        <v>6.0</v>
      </c>
      <c r="H223" s="1">
        <v>2.0</v>
      </c>
      <c r="I223" s="1">
        <v>8.0</v>
      </c>
      <c r="J223" s="1">
        <v>7.0</v>
      </c>
      <c r="K223" s="1">
        <v>1.0</v>
      </c>
      <c r="L223" s="1">
        <v>17.0</v>
      </c>
      <c r="M223" s="1">
        <v>22.0</v>
      </c>
      <c r="N223" s="1">
        <v>14.0</v>
      </c>
      <c r="O223" s="1">
        <v>13.0</v>
      </c>
      <c r="P223" s="1">
        <v>12.0</v>
      </c>
      <c r="Q223" s="1">
        <v>17.0</v>
      </c>
    </row>
    <row r="224">
      <c r="A224" s="1">
        <v>5007.0</v>
      </c>
      <c r="B224" s="1" t="s">
        <v>492</v>
      </c>
      <c r="C224" s="1" t="s">
        <v>492</v>
      </c>
      <c r="D224" s="1" t="s">
        <v>730</v>
      </c>
      <c r="E224" s="1" t="s">
        <v>972</v>
      </c>
      <c r="F224" s="1">
        <v>4.0</v>
      </c>
      <c r="G224" s="1">
        <v>7.0</v>
      </c>
      <c r="H224" s="1">
        <v>-3.0</v>
      </c>
      <c r="I224" s="1">
        <v>4.0</v>
      </c>
      <c r="J224" s="1">
        <v>7.0</v>
      </c>
      <c r="K224" s="1">
        <v>-3.0</v>
      </c>
      <c r="L224" s="1">
        <v>9.0</v>
      </c>
      <c r="M224" s="1">
        <v>9.0</v>
      </c>
      <c r="N224" s="1">
        <v>21.0</v>
      </c>
      <c r="O224" s="1">
        <v>20.0</v>
      </c>
      <c r="P224" s="1">
        <v>28.0</v>
      </c>
      <c r="Q224" s="1">
        <v>14.0</v>
      </c>
    </row>
    <row r="225">
      <c r="A225" s="1">
        <v>5010.0</v>
      </c>
      <c r="B225" s="1" t="s">
        <v>480</v>
      </c>
      <c r="C225" s="1" t="s">
        <v>481</v>
      </c>
      <c r="D225" s="1" t="s">
        <v>615</v>
      </c>
      <c r="E225" s="1" t="s">
        <v>1222</v>
      </c>
      <c r="F225" s="1">
        <v>10.0</v>
      </c>
      <c r="G225" s="1">
        <v>6.0</v>
      </c>
      <c r="H225" s="1">
        <v>4.0</v>
      </c>
      <c r="I225" s="1">
        <v>10.0</v>
      </c>
      <c r="J225" s="1">
        <v>6.0</v>
      </c>
      <c r="K225" s="1">
        <v>4.0</v>
      </c>
      <c r="L225" s="1">
        <v>21.0</v>
      </c>
      <c r="M225" s="1">
        <v>21.0</v>
      </c>
      <c r="N225" s="1">
        <v>9.0</v>
      </c>
      <c r="O225" s="1">
        <v>16.0</v>
      </c>
      <c r="P225" s="1">
        <v>9.0</v>
      </c>
      <c r="Q225" s="1">
        <v>14.0</v>
      </c>
    </row>
    <row r="226">
      <c r="A226" s="1">
        <v>5022.0</v>
      </c>
      <c r="B226" s="1" t="s">
        <v>480</v>
      </c>
      <c r="C226" s="1" t="s">
        <v>481</v>
      </c>
      <c r="D226" s="1" t="s">
        <v>410</v>
      </c>
      <c r="E226" s="1" t="s">
        <v>991</v>
      </c>
      <c r="F226" s="1">
        <v>9.0</v>
      </c>
      <c r="G226" s="1">
        <v>10.0</v>
      </c>
      <c r="H226" s="1">
        <v>-1.0</v>
      </c>
      <c r="I226" s="1">
        <v>9.0</v>
      </c>
      <c r="J226" s="1">
        <v>10.0</v>
      </c>
      <c r="K226" s="1">
        <v>-1.0</v>
      </c>
      <c r="L226" s="1">
        <v>16.0</v>
      </c>
      <c r="M226" s="1">
        <v>16.0</v>
      </c>
      <c r="N226" s="1">
        <v>29.0</v>
      </c>
      <c r="O226" s="1" t="e">
        <v>#N/A</v>
      </c>
      <c r="P226" s="1" t="e">
        <v>#N/A</v>
      </c>
      <c r="Q226" s="1">
        <v>21.0</v>
      </c>
    </row>
    <row r="227">
      <c r="A227" s="1">
        <v>5036.0</v>
      </c>
      <c r="B227" s="1" t="s">
        <v>492</v>
      </c>
      <c r="C227" s="1" t="s">
        <v>492</v>
      </c>
      <c r="D227" s="1" t="s">
        <v>95</v>
      </c>
      <c r="E227" s="1" t="s">
        <v>974</v>
      </c>
      <c r="F227" s="1">
        <v>13.0</v>
      </c>
      <c r="G227" s="1">
        <v>8.0</v>
      </c>
      <c r="H227" s="1">
        <v>5.0</v>
      </c>
      <c r="I227" s="1">
        <v>13.0</v>
      </c>
      <c r="J227" s="1">
        <v>7.0</v>
      </c>
      <c r="K227" s="1">
        <v>6.0</v>
      </c>
      <c r="L227" s="1">
        <v>31.0</v>
      </c>
      <c r="M227" s="1">
        <v>31.0</v>
      </c>
      <c r="N227" s="1" t="e">
        <v>#N/A</v>
      </c>
      <c r="O227" s="1" t="e">
        <v>#N/A</v>
      </c>
      <c r="P227" s="1" t="e">
        <v>#N/A</v>
      </c>
      <c r="Q227" s="1" t="e">
        <v>#N/A</v>
      </c>
    </row>
    <row r="228">
      <c r="A228" s="1">
        <v>5116.0</v>
      </c>
      <c r="B228" s="1" t="s">
        <v>477</v>
      </c>
      <c r="C228" s="1" t="s">
        <v>478</v>
      </c>
      <c r="D228" s="1" t="s">
        <v>374</v>
      </c>
      <c r="E228" s="1" t="s">
        <v>973</v>
      </c>
      <c r="F228" s="1">
        <v>8.0</v>
      </c>
      <c r="G228" s="1">
        <v>2.0</v>
      </c>
      <c r="H228" s="1">
        <v>6.0</v>
      </c>
      <c r="I228" s="1">
        <v>8.0</v>
      </c>
      <c r="J228" s="1">
        <v>2.0</v>
      </c>
      <c r="K228" s="1">
        <v>6.0</v>
      </c>
      <c r="L228" s="1">
        <v>1.0</v>
      </c>
      <c r="M228" s="1">
        <v>1.0</v>
      </c>
      <c r="N228" s="1">
        <v>4.0</v>
      </c>
      <c r="O228" s="1">
        <v>40.0</v>
      </c>
      <c r="P228" s="1">
        <v>17.0</v>
      </c>
      <c r="Q228" s="1">
        <v>2.0</v>
      </c>
    </row>
    <row r="229">
      <c r="A229" s="1">
        <v>5119.0</v>
      </c>
      <c r="B229" s="1" t="s">
        <v>492</v>
      </c>
      <c r="C229" s="1" t="s">
        <v>543</v>
      </c>
      <c r="D229" s="1" t="s">
        <v>387</v>
      </c>
      <c r="E229" s="1" t="s">
        <v>980</v>
      </c>
      <c r="F229" s="1">
        <v>11.0</v>
      </c>
      <c r="G229" s="1">
        <v>17.0</v>
      </c>
      <c r="H229" s="1">
        <v>-6.0</v>
      </c>
      <c r="I229" s="1">
        <v>11.0</v>
      </c>
      <c r="J229" s="1">
        <v>16.0</v>
      </c>
      <c r="K229" s="1">
        <v>-5.0</v>
      </c>
      <c r="L229" s="1">
        <v>10.0</v>
      </c>
      <c r="M229" s="1">
        <v>10.0</v>
      </c>
      <c r="N229" s="1">
        <v>48.0</v>
      </c>
      <c r="O229" s="1">
        <v>55.0</v>
      </c>
      <c r="P229" s="1">
        <v>50.0</v>
      </c>
      <c r="Q229" s="1">
        <v>28.0</v>
      </c>
    </row>
    <row r="230">
      <c r="A230" s="1">
        <v>5131.0</v>
      </c>
      <c r="B230" s="1" t="s">
        <v>492</v>
      </c>
      <c r="C230" s="1" t="s">
        <v>930</v>
      </c>
      <c r="D230" s="1" t="s">
        <v>621</v>
      </c>
      <c r="E230" s="1" t="s">
        <v>987</v>
      </c>
      <c r="F230" s="1">
        <v>8.0</v>
      </c>
      <c r="G230" s="1">
        <v>7.0</v>
      </c>
      <c r="H230" s="1">
        <v>1.0</v>
      </c>
      <c r="I230" s="1">
        <v>8.0</v>
      </c>
      <c r="J230" s="1">
        <v>8.0</v>
      </c>
      <c r="K230" s="1">
        <v>0.0</v>
      </c>
      <c r="L230" s="1">
        <v>17.0</v>
      </c>
      <c r="M230" s="1">
        <v>22.0</v>
      </c>
      <c r="N230" s="1">
        <v>13.0</v>
      </c>
      <c r="O230" s="1" t="e">
        <v>#N/A</v>
      </c>
      <c r="P230" s="1" t="e">
        <v>#N/A</v>
      </c>
      <c r="Q230" s="1">
        <v>16.0</v>
      </c>
    </row>
    <row r="231">
      <c r="A231" s="1">
        <v>5286.0</v>
      </c>
      <c r="B231" s="1" t="s">
        <v>492</v>
      </c>
      <c r="C231" s="1" t="s">
        <v>930</v>
      </c>
      <c r="D231" s="1" t="s">
        <v>1266</v>
      </c>
      <c r="E231" s="1" t="s">
        <v>1225</v>
      </c>
      <c r="F231" s="1">
        <v>4.0</v>
      </c>
      <c r="G231" s="1">
        <v>1.0</v>
      </c>
      <c r="H231" s="1">
        <v>3.0</v>
      </c>
      <c r="I231" s="1">
        <v>4.0</v>
      </c>
      <c r="J231" s="1">
        <v>1.0</v>
      </c>
      <c r="K231" s="1">
        <v>3.0</v>
      </c>
      <c r="L231" s="1">
        <v>6.0</v>
      </c>
      <c r="M231" s="1">
        <v>8.0</v>
      </c>
      <c r="N231" s="1">
        <v>2.0</v>
      </c>
      <c r="O231" s="1">
        <v>17.0</v>
      </c>
      <c r="P231" s="1">
        <v>3.0</v>
      </c>
      <c r="Q231" s="1">
        <v>5.0</v>
      </c>
    </row>
    <row r="232">
      <c r="A232" s="1">
        <v>5290.0</v>
      </c>
      <c r="B232" s="1" t="s">
        <v>492</v>
      </c>
      <c r="C232" s="1" t="s">
        <v>930</v>
      </c>
      <c r="D232" s="1" t="s">
        <v>692</v>
      </c>
      <c r="E232" s="1" t="s">
        <v>985</v>
      </c>
      <c r="F232" s="1">
        <v>2.0</v>
      </c>
      <c r="G232" s="1">
        <v>4.0</v>
      </c>
      <c r="H232" s="1">
        <v>-2.0</v>
      </c>
      <c r="I232" s="1">
        <v>2.0</v>
      </c>
      <c r="J232" s="1">
        <v>5.0</v>
      </c>
      <c r="K232" s="1">
        <v>-3.0</v>
      </c>
      <c r="L232" s="1">
        <v>8.0</v>
      </c>
      <c r="M232" s="1">
        <v>11.0</v>
      </c>
      <c r="N232" s="1">
        <v>12.0</v>
      </c>
      <c r="O232" s="1" t="e">
        <v>#N/A</v>
      </c>
      <c r="P232" s="1" t="e">
        <v>#N/A</v>
      </c>
      <c r="Q232" s="1">
        <v>11.0</v>
      </c>
    </row>
    <row r="233">
      <c r="A233" s="1">
        <v>5295.0</v>
      </c>
      <c r="B233" s="1" t="s">
        <v>492</v>
      </c>
      <c r="C233" s="1" t="s">
        <v>1056</v>
      </c>
      <c r="D233" s="1" t="s">
        <v>1115</v>
      </c>
      <c r="E233" s="1" t="s">
        <v>991</v>
      </c>
      <c r="F233" s="1">
        <v>4.0</v>
      </c>
      <c r="G233" s="1">
        <v>4.0</v>
      </c>
      <c r="H233" s="1">
        <v>0.0</v>
      </c>
      <c r="I233" s="1">
        <v>4.0</v>
      </c>
      <c r="J233" s="1">
        <v>4.0</v>
      </c>
      <c r="K233" s="1">
        <v>0.0</v>
      </c>
      <c r="L233" s="1">
        <v>14.0</v>
      </c>
      <c r="M233" s="1">
        <v>16.0</v>
      </c>
      <c r="N233" s="1">
        <v>10.0</v>
      </c>
      <c r="O233" s="1">
        <v>21.0</v>
      </c>
      <c r="P233" s="1">
        <v>18.0</v>
      </c>
      <c r="Q233" s="1">
        <v>12.0</v>
      </c>
    </row>
    <row r="234">
      <c r="A234" s="1">
        <v>5297.0</v>
      </c>
      <c r="B234" s="1" t="s">
        <v>507</v>
      </c>
      <c r="C234" s="1" t="s">
        <v>507</v>
      </c>
      <c r="D234" s="1" t="s">
        <v>684</v>
      </c>
      <c r="E234" s="1" t="s">
        <v>975</v>
      </c>
      <c r="F234" s="1">
        <v>10.0</v>
      </c>
      <c r="G234" s="1">
        <v>12.0</v>
      </c>
      <c r="H234" s="1">
        <v>-2.0</v>
      </c>
      <c r="I234" s="1">
        <v>10.0</v>
      </c>
      <c r="J234" s="1">
        <v>12.0</v>
      </c>
      <c r="K234" s="1">
        <v>-2.0</v>
      </c>
      <c r="L234" s="1">
        <v>17.0</v>
      </c>
      <c r="M234" s="1">
        <v>17.0</v>
      </c>
      <c r="N234" s="1">
        <v>40.0</v>
      </c>
      <c r="O234" s="1">
        <v>41.0</v>
      </c>
      <c r="P234" s="1">
        <v>9.0</v>
      </c>
      <c r="Q234" s="1">
        <v>27.0</v>
      </c>
    </row>
    <row r="235">
      <c r="A235" s="1">
        <v>5298.0</v>
      </c>
      <c r="B235" s="1" t="s">
        <v>492</v>
      </c>
      <c r="C235" s="1" t="s">
        <v>930</v>
      </c>
      <c r="D235" s="1" t="s">
        <v>829</v>
      </c>
      <c r="E235" s="1" t="s">
        <v>1009</v>
      </c>
      <c r="F235" s="1">
        <v>10.0</v>
      </c>
      <c r="G235" s="1">
        <v>2.0</v>
      </c>
      <c r="H235" s="1">
        <v>8.0</v>
      </c>
      <c r="I235" s="1">
        <v>10.0</v>
      </c>
      <c r="J235" s="1">
        <v>3.0</v>
      </c>
      <c r="K235" s="1">
        <v>7.0</v>
      </c>
      <c r="L235" s="1">
        <v>19.0</v>
      </c>
      <c r="M235" s="1">
        <v>24.0</v>
      </c>
      <c r="N235" s="1">
        <v>12.0</v>
      </c>
      <c r="O235" s="1">
        <v>11.0</v>
      </c>
      <c r="P235" s="1">
        <v>8.0</v>
      </c>
      <c r="Q235" s="1">
        <v>17.0</v>
      </c>
    </row>
    <row r="236">
      <c r="A236" s="1">
        <v>5307.0</v>
      </c>
      <c r="B236" s="1" t="s">
        <v>480</v>
      </c>
      <c r="C236" s="1" t="s">
        <v>481</v>
      </c>
      <c r="D236" s="1" t="s">
        <v>653</v>
      </c>
      <c r="E236" s="1" t="s">
        <v>985</v>
      </c>
      <c r="F236" s="1">
        <v>8.0</v>
      </c>
      <c r="G236" s="1">
        <v>3.0</v>
      </c>
      <c r="H236" s="1">
        <v>5.0</v>
      </c>
      <c r="I236" s="1">
        <v>8.0</v>
      </c>
      <c r="J236" s="1">
        <v>3.0</v>
      </c>
      <c r="K236" s="1">
        <v>5.0</v>
      </c>
      <c r="L236" s="1">
        <v>12.0</v>
      </c>
      <c r="M236" s="1">
        <v>12.0</v>
      </c>
      <c r="N236" s="1">
        <v>5.0</v>
      </c>
      <c r="O236" s="1" t="e">
        <v>#N/A</v>
      </c>
      <c r="P236" s="1" t="e">
        <v>#N/A</v>
      </c>
      <c r="Q236" s="1">
        <v>8.0</v>
      </c>
    </row>
    <row r="237">
      <c r="A237" s="1">
        <v>5311.0</v>
      </c>
      <c r="B237" s="1" t="s">
        <v>507</v>
      </c>
      <c r="C237" s="1" t="s">
        <v>512</v>
      </c>
      <c r="D237" s="1" t="s">
        <v>1267</v>
      </c>
      <c r="E237" s="1" t="s">
        <v>988</v>
      </c>
      <c r="F237" s="1">
        <v>19.0</v>
      </c>
      <c r="G237" s="1">
        <v>3.0</v>
      </c>
      <c r="H237" s="1">
        <v>16.0</v>
      </c>
      <c r="I237" s="1">
        <v>19.0</v>
      </c>
      <c r="J237" s="1">
        <v>3.0</v>
      </c>
      <c r="K237" s="1">
        <v>16.0</v>
      </c>
      <c r="L237" s="1">
        <v>25.0</v>
      </c>
      <c r="M237" s="1">
        <v>22.0</v>
      </c>
      <c r="N237" s="1">
        <v>6.0</v>
      </c>
      <c r="O237" s="1">
        <v>12.0</v>
      </c>
      <c r="P237" s="1">
        <v>20.0</v>
      </c>
      <c r="Q237" s="1">
        <v>13.0</v>
      </c>
    </row>
    <row r="238">
      <c r="A238" s="1">
        <v>5319.0</v>
      </c>
      <c r="B238" s="1" t="s">
        <v>492</v>
      </c>
      <c r="C238" s="1" t="s">
        <v>492</v>
      </c>
      <c r="D238" s="1" t="s">
        <v>675</v>
      </c>
      <c r="E238" s="1" t="s">
        <v>985</v>
      </c>
      <c r="F238" s="1">
        <v>13.0</v>
      </c>
      <c r="G238" s="1">
        <v>5.0</v>
      </c>
      <c r="H238" s="1">
        <v>8.0</v>
      </c>
      <c r="I238" s="1">
        <v>13.0</v>
      </c>
      <c r="J238" s="1">
        <v>4.0</v>
      </c>
      <c r="K238" s="1">
        <v>9.0</v>
      </c>
      <c r="L238" s="1">
        <v>28.0</v>
      </c>
      <c r="M238" s="1">
        <v>28.0</v>
      </c>
      <c r="N238" s="1">
        <v>13.0</v>
      </c>
      <c r="O238" s="1" t="e">
        <v>#N/A</v>
      </c>
      <c r="P238" s="1" t="e">
        <v>#N/A</v>
      </c>
      <c r="Q238" s="1">
        <v>19.0</v>
      </c>
    </row>
    <row r="239">
      <c r="A239" s="1">
        <v>5320.0</v>
      </c>
      <c r="B239" s="1" t="s">
        <v>477</v>
      </c>
      <c r="C239" s="1" t="s">
        <v>478</v>
      </c>
      <c r="D239" s="1" t="s">
        <v>191</v>
      </c>
      <c r="E239" s="1" t="s">
        <v>972</v>
      </c>
      <c r="F239" s="1">
        <v>1.0</v>
      </c>
      <c r="G239" s="1">
        <v>1.0</v>
      </c>
      <c r="H239" s="1">
        <v>0.0</v>
      </c>
      <c r="I239" s="1">
        <v>1.0</v>
      </c>
      <c r="J239" s="1">
        <v>1.0</v>
      </c>
      <c r="K239" s="1">
        <v>0.0</v>
      </c>
      <c r="L239" s="1">
        <v>1.0</v>
      </c>
      <c r="M239" s="1">
        <v>1.0</v>
      </c>
      <c r="N239" s="1">
        <v>1.0</v>
      </c>
      <c r="O239" s="1" t="e">
        <v>#N/A</v>
      </c>
      <c r="P239" s="1" t="e">
        <v>#N/A</v>
      </c>
      <c r="Q239" s="1">
        <v>1.0</v>
      </c>
    </row>
    <row r="240">
      <c r="A240" s="1">
        <v>5322.0</v>
      </c>
      <c r="B240" s="1" t="s">
        <v>507</v>
      </c>
      <c r="C240" s="1" t="s">
        <v>935</v>
      </c>
      <c r="D240" s="1" t="s">
        <v>728</v>
      </c>
      <c r="E240" s="1" t="s">
        <v>985</v>
      </c>
      <c r="F240" s="1">
        <v>3.0</v>
      </c>
      <c r="G240" s="1">
        <v>8.0</v>
      </c>
      <c r="H240" s="1">
        <v>-5.0</v>
      </c>
      <c r="I240" s="1">
        <v>3.0</v>
      </c>
      <c r="J240" s="1">
        <v>9.0</v>
      </c>
      <c r="K240" s="1">
        <v>-6.0</v>
      </c>
      <c r="L240" s="1">
        <v>7.0</v>
      </c>
      <c r="M240" s="1">
        <v>10.0</v>
      </c>
      <c r="N240" s="1">
        <v>20.0</v>
      </c>
      <c r="O240" s="1" t="e">
        <v>#N/A</v>
      </c>
      <c r="P240" s="1" t="e">
        <v>#N/A</v>
      </c>
      <c r="Q240" s="1">
        <v>14.0</v>
      </c>
    </row>
    <row r="241">
      <c r="A241" s="1">
        <v>5327.0</v>
      </c>
      <c r="B241" s="1" t="s">
        <v>480</v>
      </c>
      <c r="C241" s="1" t="s">
        <v>481</v>
      </c>
      <c r="D241" s="1" t="s">
        <v>1268</v>
      </c>
      <c r="E241" s="1" t="s">
        <v>985</v>
      </c>
      <c r="F241" s="1">
        <v>1.0</v>
      </c>
      <c r="G241" s="1">
        <v>4.0</v>
      </c>
      <c r="H241" s="1">
        <v>-3.0</v>
      </c>
      <c r="I241" s="1">
        <v>1.0</v>
      </c>
      <c r="J241" s="1">
        <v>4.0</v>
      </c>
      <c r="K241" s="1">
        <v>-3.0</v>
      </c>
      <c r="L241" s="1">
        <v>6.0</v>
      </c>
      <c r="M241" s="1">
        <v>6.0</v>
      </c>
      <c r="N241" s="1">
        <v>6.0</v>
      </c>
      <c r="O241" s="1" t="e">
        <v>#N/A</v>
      </c>
      <c r="P241" s="1" t="e">
        <v>#N/A</v>
      </c>
      <c r="Q241" s="1">
        <v>6.0</v>
      </c>
    </row>
    <row r="242">
      <c r="A242" s="1">
        <v>5353.0</v>
      </c>
      <c r="B242" s="1" t="s">
        <v>480</v>
      </c>
      <c r="C242" s="1" t="s">
        <v>481</v>
      </c>
      <c r="D242" s="1" t="s">
        <v>844</v>
      </c>
      <c r="E242" s="1" t="s">
        <v>985</v>
      </c>
      <c r="F242" s="1">
        <v>4.0</v>
      </c>
      <c r="G242" s="1">
        <v>1.0</v>
      </c>
      <c r="H242" s="1">
        <v>3.0</v>
      </c>
      <c r="I242" s="1">
        <v>4.0</v>
      </c>
      <c r="J242" s="1">
        <v>1.0</v>
      </c>
      <c r="K242" s="1">
        <v>3.0</v>
      </c>
      <c r="L242" s="1">
        <v>10.0</v>
      </c>
      <c r="M242" s="1">
        <v>10.0</v>
      </c>
      <c r="N242" s="1">
        <v>1.0</v>
      </c>
      <c r="O242" s="1" t="e">
        <v>#N/A</v>
      </c>
      <c r="P242" s="1" t="e">
        <v>#N/A</v>
      </c>
      <c r="Q242" s="1">
        <v>5.0</v>
      </c>
    </row>
    <row r="243">
      <c r="A243" s="1">
        <v>5354.0</v>
      </c>
      <c r="B243" s="1" t="s">
        <v>480</v>
      </c>
      <c r="C243" s="1" t="s">
        <v>521</v>
      </c>
      <c r="D243" s="1" t="s">
        <v>815</v>
      </c>
      <c r="E243" s="1" t="s">
        <v>980</v>
      </c>
      <c r="F243" s="1">
        <v>8.0</v>
      </c>
      <c r="G243" s="1">
        <v>11.0</v>
      </c>
      <c r="H243" s="1">
        <v>-3.0</v>
      </c>
      <c r="I243" s="1">
        <v>8.0</v>
      </c>
      <c r="J243" s="1">
        <v>10.0</v>
      </c>
      <c r="K243" s="1">
        <v>-2.0</v>
      </c>
      <c r="L243" s="1">
        <v>10.0</v>
      </c>
      <c r="M243" s="1">
        <v>10.0</v>
      </c>
      <c r="N243" s="1">
        <v>40.0</v>
      </c>
      <c r="O243" s="1">
        <v>42.0</v>
      </c>
      <c r="P243" s="1">
        <v>8.0</v>
      </c>
      <c r="Q243" s="1">
        <v>24.0</v>
      </c>
    </row>
    <row r="244">
      <c r="A244" s="1">
        <v>5393.0</v>
      </c>
      <c r="B244" s="1" t="s">
        <v>492</v>
      </c>
      <c r="C244" s="1" t="s">
        <v>935</v>
      </c>
      <c r="D244" s="1" t="s">
        <v>843</v>
      </c>
      <c r="E244" s="1" t="s">
        <v>985</v>
      </c>
      <c r="F244" s="1">
        <v>15.0</v>
      </c>
      <c r="G244" s="1">
        <v>19.0</v>
      </c>
      <c r="H244" s="1">
        <v>-4.0</v>
      </c>
      <c r="I244" s="1">
        <v>15.0</v>
      </c>
      <c r="J244" s="1">
        <v>18.0</v>
      </c>
      <c r="K244" s="1">
        <v>-3.0</v>
      </c>
      <c r="L244" s="1">
        <v>30.0</v>
      </c>
      <c r="M244" s="1">
        <v>30.0</v>
      </c>
      <c r="N244" s="1">
        <v>107.0</v>
      </c>
      <c r="O244" s="1" t="e">
        <v>#N/A</v>
      </c>
      <c r="P244" s="1" t="e">
        <v>#N/A</v>
      </c>
      <c r="Q244" s="1">
        <v>66.0</v>
      </c>
    </row>
    <row r="245">
      <c r="A245" s="1">
        <v>5397.0</v>
      </c>
      <c r="B245" s="1" t="s">
        <v>492</v>
      </c>
      <c r="C245" s="1" t="s">
        <v>934</v>
      </c>
      <c r="D245" s="1" t="s">
        <v>1434</v>
      </c>
      <c r="E245" s="1" t="s">
        <v>1222</v>
      </c>
      <c r="F245" s="1">
        <v>2.0</v>
      </c>
      <c r="G245" s="1">
        <v>2.0</v>
      </c>
      <c r="H245" s="1">
        <v>0.0</v>
      </c>
      <c r="I245" s="1">
        <v>4.0</v>
      </c>
      <c r="J245" s="1">
        <v>2.0</v>
      </c>
      <c r="K245" s="1">
        <v>2.0</v>
      </c>
      <c r="L245" s="1">
        <v>5.0</v>
      </c>
      <c r="M245" s="1">
        <v>5.0</v>
      </c>
      <c r="N245" s="1" t="e">
        <v>#N/A</v>
      </c>
      <c r="O245" s="1">
        <v>12.0</v>
      </c>
      <c r="P245" s="1">
        <v>7.0</v>
      </c>
      <c r="Q245" s="1" t="e">
        <v>#N/A</v>
      </c>
    </row>
    <row r="246">
      <c r="A246" s="1">
        <v>5421.0</v>
      </c>
      <c r="B246" s="1" t="s">
        <v>492</v>
      </c>
      <c r="C246" s="1" t="s">
        <v>934</v>
      </c>
      <c r="D246" s="1" t="s">
        <v>1269</v>
      </c>
      <c r="E246" s="1" t="s">
        <v>985</v>
      </c>
      <c r="F246" s="1">
        <v>3.0</v>
      </c>
      <c r="G246" s="1">
        <v>1.0</v>
      </c>
      <c r="H246" s="1">
        <v>2.0</v>
      </c>
      <c r="I246" s="1">
        <v>3.0</v>
      </c>
      <c r="J246" s="1">
        <v>1.0</v>
      </c>
      <c r="K246" s="1">
        <v>2.0</v>
      </c>
      <c r="L246" s="1">
        <v>8.0</v>
      </c>
      <c r="M246" s="1">
        <v>8.0</v>
      </c>
      <c r="N246" s="1">
        <v>1.0</v>
      </c>
      <c r="O246" s="1" t="e">
        <v>#N/A</v>
      </c>
      <c r="P246" s="1" t="e">
        <v>#N/A</v>
      </c>
      <c r="Q246" s="1">
        <v>4.0</v>
      </c>
    </row>
    <row r="247">
      <c r="A247" s="1">
        <v>5422.0</v>
      </c>
      <c r="B247" s="1" t="s">
        <v>492</v>
      </c>
      <c r="C247" s="1" t="s">
        <v>563</v>
      </c>
      <c r="D247" s="1" t="s">
        <v>656</v>
      </c>
      <c r="E247" s="1" t="s">
        <v>973</v>
      </c>
      <c r="F247" s="1">
        <v>7.0</v>
      </c>
      <c r="G247" s="1">
        <v>2.0</v>
      </c>
      <c r="H247" s="1">
        <v>5.0</v>
      </c>
      <c r="I247" s="1">
        <v>7.0</v>
      </c>
      <c r="J247" s="1">
        <v>2.0</v>
      </c>
      <c r="K247" s="1">
        <v>5.0</v>
      </c>
      <c r="L247" s="1">
        <v>15.0</v>
      </c>
      <c r="M247" s="1">
        <v>12.0</v>
      </c>
      <c r="N247" s="1">
        <v>7.0</v>
      </c>
      <c r="O247" s="1">
        <v>18.0</v>
      </c>
      <c r="P247" s="1">
        <v>10.0</v>
      </c>
      <c r="Q247" s="1">
        <v>9.0</v>
      </c>
    </row>
    <row r="248">
      <c r="A248" s="1">
        <v>5423.0</v>
      </c>
      <c r="B248" s="1" t="s">
        <v>492</v>
      </c>
      <c r="C248" s="1" t="s">
        <v>930</v>
      </c>
      <c r="D248" s="1" t="s">
        <v>808</v>
      </c>
      <c r="E248" s="1" t="s">
        <v>1033</v>
      </c>
      <c r="F248" s="1">
        <v>7.0</v>
      </c>
      <c r="G248" s="1">
        <v>5.0</v>
      </c>
      <c r="H248" s="1">
        <v>2.0</v>
      </c>
      <c r="I248" s="1">
        <v>7.0</v>
      </c>
      <c r="J248" s="1">
        <v>6.0</v>
      </c>
      <c r="K248" s="1">
        <v>1.0</v>
      </c>
      <c r="L248" s="1">
        <v>20.0</v>
      </c>
      <c r="M248" s="1">
        <v>25.0</v>
      </c>
      <c r="N248" s="1">
        <v>12.0</v>
      </c>
      <c r="O248" s="1">
        <v>23.0</v>
      </c>
      <c r="P248" s="1">
        <v>7.0</v>
      </c>
      <c r="Q248" s="1">
        <v>17.0</v>
      </c>
    </row>
    <row r="249">
      <c r="A249" s="1">
        <v>5425.0</v>
      </c>
      <c r="B249" s="1" t="s">
        <v>492</v>
      </c>
      <c r="C249" s="1" t="s">
        <v>1038</v>
      </c>
      <c r="D249" s="1" t="s">
        <v>827</v>
      </c>
      <c r="E249" s="1" t="s">
        <v>1225</v>
      </c>
      <c r="F249" s="1">
        <v>4.0</v>
      </c>
      <c r="G249" s="1">
        <v>5.0</v>
      </c>
      <c r="H249" s="1">
        <v>-1.0</v>
      </c>
      <c r="I249" s="1">
        <v>4.0</v>
      </c>
      <c r="J249" s="1">
        <v>6.0</v>
      </c>
      <c r="K249" s="1">
        <v>-2.0</v>
      </c>
      <c r="L249" s="1">
        <v>14.0</v>
      </c>
      <c r="M249" s="1">
        <v>17.0</v>
      </c>
      <c r="N249" s="1">
        <v>11.0</v>
      </c>
      <c r="O249" s="1">
        <v>22.0</v>
      </c>
      <c r="P249" s="1">
        <v>2.0</v>
      </c>
      <c r="Q249" s="1">
        <v>13.0</v>
      </c>
    </row>
    <row r="250">
      <c r="A250" s="1">
        <v>5435.0</v>
      </c>
      <c r="B250" s="1" t="s">
        <v>480</v>
      </c>
      <c r="C250" s="1" t="s">
        <v>931</v>
      </c>
      <c r="D250" s="1" t="s">
        <v>736</v>
      </c>
      <c r="E250" s="1" t="s">
        <v>974</v>
      </c>
      <c r="F250" s="1">
        <v>5.0</v>
      </c>
      <c r="G250" s="1">
        <v>7.0</v>
      </c>
      <c r="H250" s="1">
        <v>-2.0</v>
      </c>
      <c r="I250" s="1">
        <v>5.0</v>
      </c>
      <c r="J250" s="1">
        <v>7.0</v>
      </c>
      <c r="K250" s="1">
        <v>-2.0</v>
      </c>
      <c r="L250" s="1">
        <v>12.0</v>
      </c>
      <c r="M250" s="1">
        <v>12.0</v>
      </c>
      <c r="N250" s="1">
        <v>17.0</v>
      </c>
      <c r="O250" s="1" t="e">
        <v>#N/A</v>
      </c>
      <c r="P250" s="1" t="e">
        <v>#N/A</v>
      </c>
      <c r="Q250" s="1">
        <v>14.0</v>
      </c>
    </row>
    <row r="251">
      <c r="A251" s="1">
        <v>5449.0</v>
      </c>
      <c r="B251" s="1" t="s">
        <v>480</v>
      </c>
      <c r="C251" s="1" t="s">
        <v>931</v>
      </c>
      <c r="D251" s="1" t="s">
        <v>635</v>
      </c>
      <c r="E251" s="1" t="s">
        <v>1033</v>
      </c>
      <c r="F251" s="1">
        <v>10.0</v>
      </c>
      <c r="G251" s="1">
        <v>8.0</v>
      </c>
      <c r="H251" s="1">
        <v>2.0</v>
      </c>
      <c r="I251" s="1">
        <v>10.0</v>
      </c>
      <c r="J251" s="1">
        <v>8.0</v>
      </c>
      <c r="K251" s="1">
        <v>2.0</v>
      </c>
      <c r="L251" s="1">
        <v>13.0</v>
      </c>
      <c r="M251" s="1">
        <v>13.0</v>
      </c>
      <c r="N251" s="1">
        <v>20.0</v>
      </c>
      <c r="O251" s="1">
        <v>18.0</v>
      </c>
      <c r="P251" s="1">
        <v>20.0</v>
      </c>
      <c r="Q251" s="1">
        <v>16.0</v>
      </c>
    </row>
    <row r="252">
      <c r="A252" s="1">
        <v>5453.0</v>
      </c>
      <c r="B252" s="1" t="s">
        <v>492</v>
      </c>
      <c r="C252" s="1" t="s">
        <v>930</v>
      </c>
      <c r="D252" s="1" t="s">
        <v>79</v>
      </c>
      <c r="E252" s="1" t="s">
        <v>972</v>
      </c>
      <c r="F252" s="1">
        <v>9.0</v>
      </c>
      <c r="G252" s="1">
        <v>8.0</v>
      </c>
      <c r="H252" s="1">
        <v>1.0</v>
      </c>
      <c r="I252" s="1">
        <v>9.0</v>
      </c>
      <c r="J252" s="1">
        <v>9.0</v>
      </c>
      <c r="K252" s="1">
        <v>0.0</v>
      </c>
      <c r="L252" s="1">
        <v>21.0</v>
      </c>
      <c r="M252" s="1">
        <v>26.0</v>
      </c>
      <c r="N252" s="1">
        <v>22.0</v>
      </c>
      <c r="O252" s="1">
        <v>29.0</v>
      </c>
      <c r="P252" s="1">
        <v>28.0</v>
      </c>
      <c r="Q252" s="1">
        <v>22.0</v>
      </c>
    </row>
    <row r="253">
      <c r="A253" s="1">
        <v>5457.0</v>
      </c>
      <c r="B253" s="1" t="s">
        <v>492</v>
      </c>
      <c r="C253" s="1" t="s">
        <v>492</v>
      </c>
      <c r="D253" s="1" t="s">
        <v>1101</v>
      </c>
      <c r="E253" s="1" t="s">
        <v>1222</v>
      </c>
      <c r="F253" s="1">
        <v>3.0</v>
      </c>
      <c r="G253" s="1">
        <v>3.0</v>
      </c>
      <c r="H253" s="1">
        <v>0.0</v>
      </c>
      <c r="I253" s="1">
        <v>3.0</v>
      </c>
      <c r="J253" s="1">
        <v>3.0</v>
      </c>
      <c r="K253" s="1">
        <v>0.0</v>
      </c>
      <c r="L253" s="1">
        <v>10.0</v>
      </c>
      <c r="M253" s="1">
        <v>10.0</v>
      </c>
      <c r="N253" s="1">
        <v>8.0</v>
      </c>
      <c r="O253" s="1">
        <v>15.0</v>
      </c>
      <c r="P253" s="1">
        <v>4.0</v>
      </c>
      <c r="Q253" s="1">
        <v>8.0</v>
      </c>
    </row>
    <row r="254">
      <c r="A254" s="1">
        <v>5471.0</v>
      </c>
      <c r="B254" s="1" t="s">
        <v>507</v>
      </c>
      <c r="C254" s="1" t="s">
        <v>512</v>
      </c>
      <c r="D254" s="1" t="s">
        <v>619</v>
      </c>
      <c r="E254" s="1" t="s">
        <v>985</v>
      </c>
      <c r="F254" s="1">
        <v>13.0</v>
      </c>
      <c r="G254" s="1">
        <v>12.0</v>
      </c>
      <c r="H254" s="1">
        <v>1.0</v>
      </c>
      <c r="I254" s="1">
        <v>13.0</v>
      </c>
      <c r="J254" s="1">
        <v>12.0</v>
      </c>
      <c r="K254" s="1">
        <v>1.0</v>
      </c>
      <c r="L254" s="1">
        <v>18.0</v>
      </c>
      <c r="M254" s="1">
        <v>15.0</v>
      </c>
      <c r="N254" s="1">
        <v>27.0</v>
      </c>
      <c r="O254" s="1">
        <v>55.0</v>
      </c>
      <c r="P254" s="1">
        <v>8.0</v>
      </c>
      <c r="Q254" s="1">
        <v>20.0</v>
      </c>
    </row>
    <row r="255">
      <c r="A255" s="1">
        <v>5480.0</v>
      </c>
      <c r="B255" s="1" t="s">
        <v>480</v>
      </c>
      <c r="C255" s="1" t="s">
        <v>938</v>
      </c>
      <c r="D255" s="1" t="s">
        <v>1272</v>
      </c>
      <c r="E255" s="1" t="s">
        <v>1222</v>
      </c>
      <c r="F255" s="1">
        <v>4.0</v>
      </c>
      <c r="G255" s="1">
        <v>4.0</v>
      </c>
      <c r="H255" s="1">
        <v>0.0</v>
      </c>
      <c r="I255" s="1">
        <v>4.0</v>
      </c>
      <c r="J255" s="1">
        <v>4.0</v>
      </c>
      <c r="K255" s="1">
        <v>0.0</v>
      </c>
      <c r="L255" s="1">
        <v>6.0</v>
      </c>
      <c r="M255" s="1">
        <v>6.0</v>
      </c>
      <c r="N255" s="1">
        <v>6.0</v>
      </c>
      <c r="O255" s="1">
        <v>15.0</v>
      </c>
      <c r="P255" s="1">
        <v>17.0</v>
      </c>
      <c r="Q255" s="1">
        <v>6.0</v>
      </c>
    </row>
    <row r="256">
      <c r="A256" s="1">
        <v>5481.0</v>
      </c>
      <c r="B256" s="1" t="s">
        <v>480</v>
      </c>
      <c r="C256" s="1" t="s">
        <v>521</v>
      </c>
      <c r="D256" s="1" t="s">
        <v>885</v>
      </c>
      <c r="E256" s="1" t="s">
        <v>987</v>
      </c>
      <c r="F256" s="1">
        <v>1.0</v>
      </c>
      <c r="G256" s="1">
        <v>4.0</v>
      </c>
      <c r="H256" s="1">
        <v>-3.0</v>
      </c>
      <c r="I256" s="1">
        <v>1.0</v>
      </c>
      <c r="J256" s="1">
        <v>4.0</v>
      </c>
      <c r="K256" s="1">
        <v>-3.0</v>
      </c>
      <c r="L256" s="1">
        <v>8.0</v>
      </c>
      <c r="M256" s="1">
        <v>8.0</v>
      </c>
      <c r="N256" s="1">
        <v>12.0</v>
      </c>
      <c r="O256" s="1">
        <v>25.0</v>
      </c>
      <c r="P256" s="1">
        <v>41.0</v>
      </c>
      <c r="Q256" s="1">
        <v>10.0</v>
      </c>
    </row>
    <row r="257">
      <c r="A257" s="1">
        <v>5484.0</v>
      </c>
      <c r="B257" s="1" t="s">
        <v>480</v>
      </c>
      <c r="C257" s="1" t="s">
        <v>481</v>
      </c>
      <c r="D257" s="1" t="s">
        <v>1273</v>
      </c>
      <c r="E257" s="1" t="s">
        <v>1233</v>
      </c>
      <c r="F257" s="1">
        <v>2.0</v>
      </c>
      <c r="G257" s="1">
        <v>4.0</v>
      </c>
      <c r="H257" s="1">
        <v>-2.0</v>
      </c>
      <c r="I257" s="1">
        <v>2.0</v>
      </c>
      <c r="J257" s="1">
        <v>4.0</v>
      </c>
      <c r="K257" s="1">
        <v>-2.0</v>
      </c>
      <c r="L257" s="1">
        <v>9.0</v>
      </c>
      <c r="M257" s="1">
        <v>9.0</v>
      </c>
      <c r="N257" s="1">
        <v>6.0</v>
      </c>
      <c r="O257" s="1" t="e">
        <v>#N/A</v>
      </c>
      <c r="P257" s="1" t="e">
        <v>#N/A</v>
      </c>
      <c r="Q257" s="1">
        <v>7.0</v>
      </c>
    </row>
    <row r="258">
      <c r="A258" s="1">
        <v>5485.0</v>
      </c>
      <c r="B258" s="1" t="s">
        <v>492</v>
      </c>
      <c r="C258" s="1" t="s">
        <v>1056</v>
      </c>
      <c r="D258" s="1" t="s">
        <v>1274</v>
      </c>
      <c r="E258" s="1" t="s">
        <v>1233</v>
      </c>
      <c r="F258" s="1">
        <v>2.0</v>
      </c>
      <c r="G258" s="1">
        <v>4.0</v>
      </c>
      <c r="H258" s="1">
        <v>-2.0</v>
      </c>
      <c r="I258" s="1">
        <v>2.0</v>
      </c>
      <c r="J258" s="1">
        <v>4.0</v>
      </c>
      <c r="K258" s="1">
        <v>-2.0</v>
      </c>
      <c r="L258" s="1">
        <v>6.0</v>
      </c>
      <c r="M258" s="1">
        <v>6.0</v>
      </c>
      <c r="N258" s="1">
        <v>6.0</v>
      </c>
      <c r="O258" s="1" t="e">
        <v>#N/A</v>
      </c>
      <c r="P258" s="1" t="e">
        <v>#N/A</v>
      </c>
      <c r="Q258" s="1">
        <v>6.0</v>
      </c>
    </row>
    <row r="259">
      <c r="A259" s="1">
        <v>5486.0</v>
      </c>
      <c r="B259" s="1" t="s">
        <v>492</v>
      </c>
      <c r="C259" s="1" t="s">
        <v>492</v>
      </c>
      <c r="D259" s="1" t="s">
        <v>1275</v>
      </c>
      <c r="E259" s="1" t="s">
        <v>1233</v>
      </c>
      <c r="F259" s="1">
        <v>1.0</v>
      </c>
      <c r="G259" s="1">
        <v>1.0</v>
      </c>
      <c r="H259" s="1">
        <v>0.0</v>
      </c>
      <c r="I259" s="1">
        <v>1.0</v>
      </c>
      <c r="J259" s="1">
        <v>1.0</v>
      </c>
      <c r="K259" s="1">
        <v>0.0</v>
      </c>
      <c r="L259" s="1">
        <v>1.0</v>
      </c>
      <c r="M259" s="1">
        <v>1.0</v>
      </c>
      <c r="N259" s="1">
        <v>1.0</v>
      </c>
      <c r="O259" s="1" t="e">
        <v>#N/A</v>
      </c>
      <c r="P259" s="1" t="e">
        <v>#N/A</v>
      </c>
      <c r="Q259" s="1">
        <v>1.0</v>
      </c>
    </row>
    <row r="260">
      <c r="A260" s="1">
        <v>5498.0</v>
      </c>
      <c r="B260" s="1" t="s">
        <v>480</v>
      </c>
      <c r="C260" s="1" t="s">
        <v>481</v>
      </c>
      <c r="D260" s="1" t="s">
        <v>861</v>
      </c>
      <c r="E260" s="1" t="s">
        <v>1009</v>
      </c>
      <c r="F260" s="1">
        <v>3.0</v>
      </c>
      <c r="G260" s="1">
        <v>8.0</v>
      </c>
      <c r="H260" s="1">
        <v>-5.0</v>
      </c>
      <c r="I260" s="1">
        <v>3.0</v>
      </c>
      <c r="J260" s="1">
        <v>8.0</v>
      </c>
      <c r="K260" s="1">
        <v>-5.0</v>
      </c>
      <c r="L260" s="1">
        <v>9.0</v>
      </c>
      <c r="M260" s="1">
        <v>9.0</v>
      </c>
      <c r="N260" s="1">
        <v>15.0</v>
      </c>
      <c r="O260" s="1">
        <v>18.0</v>
      </c>
      <c r="P260" s="1">
        <v>22.0</v>
      </c>
      <c r="Q260" s="1">
        <v>11.0</v>
      </c>
    </row>
    <row r="261">
      <c r="A261" s="1">
        <v>5500.0</v>
      </c>
      <c r="B261" s="1" t="s">
        <v>507</v>
      </c>
      <c r="C261" s="1" t="s">
        <v>935</v>
      </c>
      <c r="D261" s="1" t="s">
        <v>903</v>
      </c>
      <c r="E261" s="1" t="s">
        <v>985</v>
      </c>
      <c r="F261" s="1">
        <v>6.0</v>
      </c>
      <c r="G261" s="1">
        <v>4.0</v>
      </c>
      <c r="H261" s="1">
        <v>2.0</v>
      </c>
      <c r="I261" s="1">
        <v>6.0</v>
      </c>
      <c r="J261" s="1">
        <v>4.0</v>
      </c>
      <c r="K261" s="1">
        <v>2.0</v>
      </c>
      <c r="L261" s="1">
        <v>12.0</v>
      </c>
      <c r="M261" s="1">
        <v>15.0</v>
      </c>
      <c r="N261" s="1">
        <v>13.0</v>
      </c>
      <c r="O261" s="1">
        <v>25.0</v>
      </c>
      <c r="P261" s="1">
        <v>8.0</v>
      </c>
      <c r="Q261" s="1">
        <v>13.0</v>
      </c>
    </row>
    <row r="262">
      <c r="A262" s="1">
        <v>5504.0</v>
      </c>
      <c r="B262" s="1" t="s">
        <v>492</v>
      </c>
      <c r="C262" s="1" t="s">
        <v>930</v>
      </c>
      <c r="D262" s="1" t="s">
        <v>1037</v>
      </c>
      <c r="E262" s="1" t="s">
        <v>998</v>
      </c>
      <c r="F262" s="1">
        <v>10.0</v>
      </c>
      <c r="G262" s="1">
        <v>5.0</v>
      </c>
      <c r="H262" s="1">
        <v>5.0</v>
      </c>
      <c r="I262" s="1">
        <v>10.0</v>
      </c>
      <c r="J262" s="1">
        <v>5.0</v>
      </c>
      <c r="K262" s="1">
        <v>5.0</v>
      </c>
      <c r="L262" s="1">
        <v>20.0</v>
      </c>
      <c r="M262" s="1">
        <v>25.0</v>
      </c>
      <c r="N262" s="1">
        <v>10.0</v>
      </c>
      <c r="O262" s="1">
        <v>22.0</v>
      </c>
      <c r="P262" s="1">
        <v>13.0</v>
      </c>
      <c r="Q262" s="1">
        <v>16.0</v>
      </c>
    </row>
    <row r="263">
      <c r="A263" s="1">
        <v>5506.0</v>
      </c>
      <c r="B263" s="1" t="s">
        <v>507</v>
      </c>
      <c r="C263" s="1" t="s">
        <v>507</v>
      </c>
      <c r="D263" s="1" t="s">
        <v>1054</v>
      </c>
      <c r="E263" s="1" t="s">
        <v>1026</v>
      </c>
      <c r="F263" s="1">
        <v>10.0</v>
      </c>
      <c r="G263" s="1">
        <v>9.0</v>
      </c>
      <c r="H263" s="1">
        <v>1.0</v>
      </c>
      <c r="I263" s="1">
        <v>10.0</v>
      </c>
      <c r="J263" s="1">
        <v>9.0</v>
      </c>
      <c r="K263" s="1">
        <v>1.0</v>
      </c>
      <c r="L263" s="1">
        <v>12.0</v>
      </c>
      <c r="M263" s="1">
        <v>12.0</v>
      </c>
      <c r="N263" s="1">
        <v>10.0</v>
      </c>
      <c r="O263" s="1">
        <v>11.0</v>
      </c>
      <c r="P263" s="1">
        <v>2.0</v>
      </c>
      <c r="Q263" s="1">
        <v>10.0</v>
      </c>
    </row>
    <row r="264">
      <c r="A264" s="1">
        <v>5507.0</v>
      </c>
      <c r="B264" s="1" t="s">
        <v>492</v>
      </c>
      <c r="C264" s="1" t="s">
        <v>492</v>
      </c>
      <c r="D264" s="1" t="s">
        <v>1276</v>
      </c>
      <c r="E264" s="1" t="s">
        <v>1233</v>
      </c>
      <c r="F264" s="1">
        <v>9.0</v>
      </c>
      <c r="G264" s="1">
        <v>7.0</v>
      </c>
      <c r="H264" s="1">
        <v>2.0</v>
      </c>
      <c r="I264" s="1">
        <v>9.0</v>
      </c>
      <c r="J264" s="1">
        <v>7.0</v>
      </c>
      <c r="K264" s="1">
        <v>2.0</v>
      </c>
      <c r="L264" s="1">
        <v>14.0</v>
      </c>
      <c r="M264" s="1">
        <v>14.0</v>
      </c>
      <c r="N264" s="1">
        <v>14.0</v>
      </c>
      <c r="O264" s="1" t="e">
        <v>#N/A</v>
      </c>
      <c r="P264" s="1" t="e">
        <v>#N/A</v>
      </c>
      <c r="Q264" s="1">
        <v>13.0</v>
      </c>
    </row>
    <row r="265">
      <c r="A265" s="1">
        <v>5513.0</v>
      </c>
      <c r="B265" s="1" t="s">
        <v>480</v>
      </c>
      <c r="C265" s="1" t="s">
        <v>521</v>
      </c>
      <c r="D265" s="1" t="s">
        <v>751</v>
      </c>
      <c r="E265" s="1" t="s">
        <v>973</v>
      </c>
      <c r="F265" s="1">
        <v>19.0</v>
      </c>
      <c r="G265" s="1">
        <v>16.0</v>
      </c>
      <c r="H265" s="1">
        <v>3.0</v>
      </c>
      <c r="I265" s="1">
        <v>19.0</v>
      </c>
      <c r="J265" s="1">
        <v>15.0</v>
      </c>
      <c r="K265" s="1">
        <v>4.0</v>
      </c>
      <c r="L265" s="1">
        <v>105.0</v>
      </c>
      <c r="M265" s="1">
        <v>105.0</v>
      </c>
      <c r="N265" s="1">
        <v>45.0</v>
      </c>
      <c r="O265" s="1">
        <v>85.0</v>
      </c>
      <c r="P265" s="1">
        <v>39.0</v>
      </c>
      <c r="Q265" s="1">
        <v>69.0</v>
      </c>
    </row>
    <row r="266">
      <c r="A266" s="1">
        <v>5514.0</v>
      </c>
      <c r="B266" s="1" t="s">
        <v>480</v>
      </c>
      <c r="C266" s="1" t="s">
        <v>1022</v>
      </c>
      <c r="D266" s="1" t="s">
        <v>770</v>
      </c>
      <c r="E266" s="1" t="s">
        <v>1026</v>
      </c>
      <c r="F266" s="1">
        <v>11.0</v>
      </c>
      <c r="G266" s="1">
        <v>9.0</v>
      </c>
      <c r="H266" s="1">
        <v>2.0</v>
      </c>
      <c r="I266" s="1">
        <v>11.0</v>
      </c>
      <c r="J266" s="1">
        <v>10.0</v>
      </c>
      <c r="K266" s="1">
        <v>1.0</v>
      </c>
      <c r="L266" s="1">
        <v>38.0</v>
      </c>
      <c r="M266" s="1">
        <v>43.0</v>
      </c>
      <c r="N266" s="1">
        <v>18.0</v>
      </c>
      <c r="O266" s="1">
        <v>20.0</v>
      </c>
      <c r="P266" s="1">
        <v>7.0</v>
      </c>
      <c r="Q266" s="1">
        <v>28.0</v>
      </c>
    </row>
    <row r="267">
      <c r="A267" s="1">
        <v>5516.0</v>
      </c>
      <c r="B267" s="1" t="s">
        <v>492</v>
      </c>
      <c r="C267" s="1" t="s">
        <v>930</v>
      </c>
      <c r="D267" s="1" t="s">
        <v>1277</v>
      </c>
      <c r="E267" s="1" t="s">
        <v>1225</v>
      </c>
      <c r="F267" s="1">
        <v>8.0</v>
      </c>
      <c r="G267" s="1">
        <v>2.0</v>
      </c>
      <c r="H267" s="1">
        <v>6.0</v>
      </c>
      <c r="I267" s="1">
        <v>8.0</v>
      </c>
      <c r="J267" s="1">
        <v>2.0</v>
      </c>
      <c r="K267" s="1">
        <v>6.0</v>
      </c>
      <c r="L267" s="1">
        <v>12.0</v>
      </c>
      <c r="M267" s="1">
        <v>15.0</v>
      </c>
      <c r="N267" s="1">
        <v>2.0</v>
      </c>
      <c r="O267" s="1" t="e">
        <v>#N/A</v>
      </c>
      <c r="P267" s="1" t="e">
        <v>#N/A</v>
      </c>
      <c r="Q267" s="1">
        <v>8.0</v>
      </c>
    </row>
    <row r="268">
      <c r="A268" s="1">
        <v>5520.0</v>
      </c>
      <c r="B268" s="1" t="s">
        <v>480</v>
      </c>
      <c r="C268" s="1" t="s">
        <v>944</v>
      </c>
      <c r="D268" s="1" t="s">
        <v>431</v>
      </c>
      <c r="E268" s="1" t="s">
        <v>976</v>
      </c>
      <c r="F268" s="1">
        <v>14.0</v>
      </c>
      <c r="G268" s="1">
        <v>9.0</v>
      </c>
      <c r="H268" s="1">
        <v>5.0</v>
      </c>
      <c r="I268" s="1">
        <v>14.0</v>
      </c>
      <c r="J268" s="1">
        <v>10.0</v>
      </c>
      <c r="K268" s="1">
        <v>4.0</v>
      </c>
      <c r="L268" s="1">
        <v>36.0</v>
      </c>
      <c r="M268" s="1">
        <v>41.0</v>
      </c>
      <c r="N268" s="1">
        <v>42.0</v>
      </c>
      <c r="O268" s="1">
        <v>55.0</v>
      </c>
      <c r="P268" s="1">
        <v>27.0</v>
      </c>
      <c r="Q268" s="1">
        <v>39.0</v>
      </c>
    </row>
    <row r="269">
      <c r="A269" s="1">
        <v>5526.0</v>
      </c>
      <c r="B269" s="1" t="s">
        <v>480</v>
      </c>
      <c r="C269" s="1" t="s">
        <v>481</v>
      </c>
      <c r="D269" s="1" t="s">
        <v>269</v>
      </c>
      <c r="E269" s="1" t="s">
        <v>980</v>
      </c>
      <c r="F269" s="1">
        <v>1.0</v>
      </c>
      <c r="G269" s="1">
        <v>8.0</v>
      </c>
      <c r="H269" s="1">
        <v>-7.0</v>
      </c>
      <c r="I269" s="1">
        <v>1.0</v>
      </c>
      <c r="J269" s="1">
        <v>8.0</v>
      </c>
      <c r="K269" s="1">
        <v>-7.0</v>
      </c>
      <c r="L269" s="1">
        <v>7.0</v>
      </c>
      <c r="M269" s="1">
        <v>7.0</v>
      </c>
      <c r="N269" s="1">
        <v>12.0</v>
      </c>
      <c r="O269" s="1">
        <v>40.0</v>
      </c>
      <c r="P269" s="1">
        <v>30.0</v>
      </c>
      <c r="Q269" s="1">
        <v>9.0</v>
      </c>
    </row>
    <row r="270">
      <c r="A270" s="1">
        <v>5527.0</v>
      </c>
      <c r="B270" s="1" t="s">
        <v>480</v>
      </c>
      <c r="C270" s="1" t="s">
        <v>938</v>
      </c>
      <c r="D270" s="1" t="s">
        <v>876</v>
      </c>
      <c r="E270" s="1" t="s">
        <v>1026</v>
      </c>
      <c r="F270" s="1">
        <v>6.0</v>
      </c>
      <c r="G270" s="1">
        <v>6.0</v>
      </c>
      <c r="H270" s="1">
        <v>0.0</v>
      </c>
      <c r="I270" s="1">
        <v>6.0</v>
      </c>
      <c r="J270" s="1">
        <v>6.0</v>
      </c>
      <c r="K270" s="1">
        <v>0.0</v>
      </c>
      <c r="L270" s="1">
        <v>16.0</v>
      </c>
      <c r="M270" s="1">
        <v>16.0</v>
      </c>
      <c r="N270" s="1">
        <v>9.0</v>
      </c>
      <c r="O270" s="1">
        <v>15.0</v>
      </c>
      <c r="P270" s="1">
        <v>6.0</v>
      </c>
      <c r="Q270" s="1">
        <v>12.0</v>
      </c>
    </row>
    <row r="271">
      <c r="A271" s="1">
        <v>5532.0</v>
      </c>
      <c r="B271" s="1" t="s">
        <v>480</v>
      </c>
      <c r="C271" s="1" t="s">
        <v>931</v>
      </c>
      <c r="D271" s="1" t="s">
        <v>1016</v>
      </c>
      <c r="E271" s="1" t="s">
        <v>983</v>
      </c>
      <c r="F271" s="1">
        <v>6.0</v>
      </c>
      <c r="G271" s="1">
        <v>5.0</v>
      </c>
      <c r="H271" s="1">
        <v>1.0</v>
      </c>
      <c r="I271" s="1">
        <v>6.0</v>
      </c>
      <c r="J271" s="1">
        <v>5.0</v>
      </c>
      <c r="K271" s="1">
        <v>1.0</v>
      </c>
      <c r="L271" s="1">
        <v>12.0</v>
      </c>
      <c r="M271" s="1">
        <v>12.0</v>
      </c>
      <c r="N271" s="1">
        <v>8.0</v>
      </c>
      <c r="O271" s="1">
        <v>21.0</v>
      </c>
      <c r="P271" s="1">
        <v>11.0</v>
      </c>
      <c r="Q271" s="1">
        <v>9.0</v>
      </c>
    </row>
    <row r="272">
      <c r="A272" s="1">
        <v>5540.0</v>
      </c>
      <c r="B272" s="1" t="s">
        <v>492</v>
      </c>
      <c r="C272" s="1" t="s">
        <v>930</v>
      </c>
      <c r="D272" s="1" t="s">
        <v>1122</v>
      </c>
      <c r="E272" s="1" t="s">
        <v>983</v>
      </c>
      <c r="F272" s="1">
        <v>2.0</v>
      </c>
      <c r="G272" s="1">
        <v>2.0</v>
      </c>
      <c r="H272" s="1">
        <v>0.0</v>
      </c>
      <c r="I272" s="1">
        <v>2.0</v>
      </c>
      <c r="J272" s="1">
        <v>2.0</v>
      </c>
      <c r="K272" s="1">
        <v>0.0</v>
      </c>
      <c r="L272" s="1">
        <v>11.0</v>
      </c>
      <c r="M272" s="1">
        <v>14.0</v>
      </c>
      <c r="N272" s="1" t="e">
        <v>#N/A</v>
      </c>
      <c r="O272" s="1" t="e">
        <v>#N/A</v>
      </c>
      <c r="P272" s="1" t="e">
        <v>#N/A</v>
      </c>
      <c r="Q272" s="1" t="e">
        <v>#N/A</v>
      </c>
    </row>
    <row r="273">
      <c r="A273" s="1">
        <v>5554.0</v>
      </c>
      <c r="B273" s="1" t="s">
        <v>480</v>
      </c>
      <c r="C273" s="1" t="s">
        <v>937</v>
      </c>
      <c r="D273" s="1" t="s">
        <v>1280</v>
      </c>
      <c r="E273" s="1" t="s">
        <v>983</v>
      </c>
      <c r="F273" s="1">
        <v>1.0</v>
      </c>
      <c r="G273" s="1">
        <v>5.0</v>
      </c>
      <c r="H273" s="1">
        <v>-4.0</v>
      </c>
      <c r="I273" s="1">
        <v>1.0</v>
      </c>
      <c r="J273" s="1">
        <v>5.0</v>
      </c>
      <c r="K273" s="1">
        <v>-4.0</v>
      </c>
      <c r="L273" s="1">
        <v>6.0</v>
      </c>
      <c r="M273" s="1">
        <v>8.0</v>
      </c>
      <c r="N273" s="1">
        <v>8.0</v>
      </c>
      <c r="O273" s="1" t="e">
        <v>#N/A</v>
      </c>
      <c r="P273" s="1">
        <v>5.0</v>
      </c>
      <c r="Q273" s="1">
        <v>8.0</v>
      </c>
    </row>
    <row r="274">
      <c r="A274" s="1">
        <v>5555.0</v>
      </c>
      <c r="B274" s="1" t="s">
        <v>480</v>
      </c>
      <c r="C274" s="1" t="s">
        <v>931</v>
      </c>
      <c r="D274" s="1" t="s">
        <v>682</v>
      </c>
      <c r="E274" s="1" t="s">
        <v>993</v>
      </c>
      <c r="F274" s="1">
        <v>9.0</v>
      </c>
      <c r="G274" s="1">
        <v>5.0</v>
      </c>
      <c r="H274" s="1">
        <v>4.0</v>
      </c>
      <c r="I274" s="1">
        <v>9.0</v>
      </c>
      <c r="J274" s="1">
        <v>5.0</v>
      </c>
      <c r="K274" s="1">
        <v>4.0</v>
      </c>
      <c r="L274" s="1">
        <v>14.0</v>
      </c>
      <c r="M274" s="1">
        <v>14.0</v>
      </c>
      <c r="N274" s="1">
        <v>13.0</v>
      </c>
      <c r="O274" s="1">
        <v>26.0</v>
      </c>
      <c r="P274" s="1">
        <v>10.0</v>
      </c>
      <c r="Q274" s="1">
        <v>13.0</v>
      </c>
    </row>
    <row r="275">
      <c r="A275" s="1">
        <v>5559.0</v>
      </c>
      <c r="B275" s="1" t="s">
        <v>492</v>
      </c>
      <c r="C275" s="1" t="s">
        <v>1057</v>
      </c>
      <c r="D275" s="1" t="s">
        <v>617</v>
      </c>
      <c r="E275" s="1" t="s">
        <v>974</v>
      </c>
      <c r="F275" s="1">
        <v>14.0</v>
      </c>
      <c r="G275" s="1">
        <v>12.0</v>
      </c>
      <c r="H275" s="1">
        <v>2.0</v>
      </c>
      <c r="I275" s="1">
        <v>14.0</v>
      </c>
      <c r="J275" s="1">
        <v>12.0</v>
      </c>
      <c r="K275" s="1">
        <v>2.0</v>
      </c>
      <c r="L275" s="1">
        <v>36.0</v>
      </c>
      <c r="M275" s="1">
        <v>41.0</v>
      </c>
      <c r="N275" s="1">
        <v>30.0</v>
      </c>
      <c r="O275" s="1" t="e">
        <v>#N/A</v>
      </c>
      <c r="P275" s="1" t="e">
        <v>#N/A</v>
      </c>
      <c r="Q275" s="1">
        <v>33.0</v>
      </c>
    </row>
    <row r="276">
      <c r="A276" s="1">
        <v>5562.0</v>
      </c>
      <c r="B276" s="1" t="s">
        <v>492</v>
      </c>
      <c r="C276" s="1" t="s">
        <v>930</v>
      </c>
      <c r="D276" s="1" t="s">
        <v>317</v>
      </c>
      <c r="E276" s="1" t="s">
        <v>976</v>
      </c>
      <c r="F276" s="1">
        <v>19.0</v>
      </c>
      <c r="G276" s="1">
        <v>10.0</v>
      </c>
      <c r="H276" s="1">
        <v>9.0</v>
      </c>
      <c r="I276" s="1">
        <v>19.0</v>
      </c>
      <c r="J276" s="1">
        <v>12.0</v>
      </c>
      <c r="K276" s="1">
        <v>7.0</v>
      </c>
      <c r="L276" s="1">
        <v>53.0</v>
      </c>
      <c r="M276" s="1">
        <v>63.0</v>
      </c>
      <c r="N276" s="1">
        <v>30.0</v>
      </c>
      <c r="O276" s="1" t="e">
        <v>#N/A</v>
      </c>
      <c r="P276" s="1" t="e">
        <v>#N/A</v>
      </c>
      <c r="Q276" s="1">
        <v>43.0</v>
      </c>
    </row>
    <row r="277">
      <c r="A277" s="1">
        <v>5564.0</v>
      </c>
      <c r="B277" s="1" t="s">
        <v>492</v>
      </c>
      <c r="C277" s="1" t="s">
        <v>563</v>
      </c>
      <c r="D277" s="1" t="s">
        <v>614</v>
      </c>
      <c r="E277" s="1" t="s">
        <v>1009</v>
      </c>
      <c r="F277" s="1">
        <v>26.0</v>
      </c>
      <c r="G277" s="1">
        <v>10.0</v>
      </c>
      <c r="H277" s="1">
        <v>16.0</v>
      </c>
      <c r="I277" s="1">
        <v>26.0</v>
      </c>
      <c r="J277" s="1">
        <v>9.0</v>
      </c>
      <c r="K277" s="1">
        <v>17.0</v>
      </c>
      <c r="L277" s="1">
        <v>97.0</v>
      </c>
      <c r="M277" s="1">
        <v>97.0</v>
      </c>
      <c r="N277" s="1">
        <v>22.0</v>
      </c>
      <c r="O277" s="1">
        <v>29.0</v>
      </c>
      <c r="P277" s="1">
        <v>25.0</v>
      </c>
      <c r="Q277" s="1">
        <v>54.0</v>
      </c>
    </row>
    <row r="278">
      <c r="A278" s="1">
        <v>5578.0</v>
      </c>
      <c r="B278" s="1" t="s">
        <v>480</v>
      </c>
      <c r="C278" s="1" t="s">
        <v>937</v>
      </c>
      <c r="D278" s="1" t="s">
        <v>783</v>
      </c>
      <c r="E278" s="1" t="s">
        <v>980</v>
      </c>
      <c r="F278" s="1">
        <v>5.0</v>
      </c>
      <c r="G278" s="1">
        <v>10.0</v>
      </c>
      <c r="H278" s="1">
        <v>-5.0</v>
      </c>
      <c r="I278" s="1">
        <v>5.0</v>
      </c>
      <c r="J278" s="1">
        <v>10.0</v>
      </c>
      <c r="K278" s="1">
        <v>-5.0</v>
      </c>
      <c r="L278" s="1">
        <v>13.0</v>
      </c>
      <c r="M278" s="1">
        <v>13.0</v>
      </c>
      <c r="N278" s="1">
        <v>26.0</v>
      </c>
      <c r="O278" s="1" t="e">
        <v>#N/A</v>
      </c>
      <c r="P278" s="1" t="e">
        <v>#N/A</v>
      </c>
      <c r="Q278" s="1">
        <v>19.0</v>
      </c>
    </row>
    <row r="279">
      <c r="A279" s="1">
        <v>5589.0</v>
      </c>
      <c r="B279" s="1" t="s">
        <v>492</v>
      </c>
      <c r="C279" s="1" t="s">
        <v>930</v>
      </c>
      <c r="D279" s="1" t="s">
        <v>790</v>
      </c>
      <c r="E279" s="1" t="s">
        <v>988</v>
      </c>
      <c r="F279" s="1">
        <v>15.0</v>
      </c>
      <c r="G279" s="1">
        <v>8.0</v>
      </c>
      <c r="H279" s="1">
        <v>7.0</v>
      </c>
      <c r="I279" s="1">
        <v>15.0</v>
      </c>
      <c r="J279" s="1">
        <v>9.0</v>
      </c>
      <c r="K279" s="1">
        <v>6.0</v>
      </c>
      <c r="L279" s="1">
        <v>41.0</v>
      </c>
      <c r="M279" s="1">
        <v>51.0</v>
      </c>
      <c r="N279" s="1">
        <v>19.0</v>
      </c>
      <c r="O279" s="1" t="e">
        <v>#N/A</v>
      </c>
      <c r="P279" s="1" t="e">
        <v>#N/A</v>
      </c>
      <c r="Q279" s="1">
        <v>32.0</v>
      </c>
    </row>
    <row r="280">
      <c r="A280" s="1">
        <v>5603.0</v>
      </c>
      <c r="B280" s="1" t="s">
        <v>480</v>
      </c>
      <c r="C280" s="1" t="s">
        <v>481</v>
      </c>
      <c r="D280" s="1" t="s">
        <v>706</v>
      </c>
      <c r="E280" s="1" t="s">
        <v>1033</v>
      </c>
      <c r="F280" s="1">
        <v>5.0</v>
      </c>
      <c r="G280" s="1">
        <v>9.0</v>
      </c>
      <c r="H280" s="1">
        <v>-4.0</v>
      </c>
      <c r="I280" s="1">
        <v>5.0</v>
      </c>
      <c r="J280" s="1">
        <v>9.0</v>
      </c>
      <c r="K280" s="1">
        <v>-4.0</v>
      </c>
      <c r="L280" s="1">
        <v>13.0</v>
      </c>
      <c r="M280" s="1">
        <v>13.0</v>
      </c>
      <c r="N280" s="1">
        <v>20.0</v>
      </c>
      <c r="O280" s="1">
        <v>23.0</v>
      </c>
      <c r="P280" s="1">
        <v>6.0</v>
      </c>
      <c r="Q280" s="1">
        <v>16.0</v>
      </c>
    </row>
    <row r="281">
      <c r="A281" s="1">
        <v>5620.0</v>
      </c>
      <c r="B281" s="1" t="s">
        <v>480</v>
      </c>
      <c r="C281" s="1" t="s">
        <v>931</v>
      </c>
      <c r="D281" s="1" t="s">
        <v>177</v>
      </c>
      <c r="E281" s="1" t="s">
        <v>1000</v>
      </c>
      <c r="F281" s="1">
        <v>12.0</v>
      </c>
      <c r="G281" s="1">
        <v>6.0</v>
      </c>
      <c r="H281" s="1">
        <v>6.0</v>
      </c>
      <c r="I281" s="1">
        <v>12.0</v>
      </c>
      <c r="J281" s="1">
        <v>6.0</v>
      </c>
      <c r="K281" s="1">
        <v>6.0</v>
      </c>
      <c r="L281" s="1">
        <v>36.0</v>
      </c>
      <c r="M281" s="1">
        <v>36.0</v>
      </c>
      <c r="N281" s="1">
        <v>10.0</v>
      </c>
      <c r="O281" s="1" t="e">
        <v>#N/A</v>
      </c>
      <c r="P281" s="1" t="e">
        <v>#N/A</v>
      </c>
      <c r="Q281" s="1">
        <v>21.0</v>
      </c>
    </row>
    <row r="282">
      <c r="A282" s="1">
        <v>5626.0</v>
      </c>
      <c r="B282" s="1" t="s">
        <v>480</v>
      </c>
      <c r="C282" s="1" t="s">
        <v>1227</v>
      </c>
      <c r="D282" s="1" t="s">
        <v>849</v>
      </c>
      <c r="E282" s="1" t="s">
        <v>998</v>
      </c>
      <c r="F282" s="1">
        <v>5.0</v>
      </c>
      <c r="G282" s="1">
        <v>5.0</v>
      </c>
      <c r="H282" s="1">
        <v>0.0</v>
      </c>
      <c r="I282" s="1">
        <v>5.0</v>
      </c>
      <c r="J282" s="1">
        <v>6.0</v>
      </c>
      <c r="K282" s="1">
        <v>-1.0</v>
      </c>
      <c r="L282" s="1">
        <v>15.0</v>
      </c>
      <c r="M282" s="1">
        <v>18.0</v>
      </c>
      <c r="N282" s="1">
        <v>11.0</v>
      </c>
      <c r="O282" s="1" t="e">
        <v>#N/A</v>
      </c>
      <c r="P282" s="1" t="e">
        <v>#N/A</v>
      </c>
      <c r="Q282" s="1">
        <v>13.0</v>
      </c>
    </row>
    <row r="283">
      <c r="A283" s="1">
        <v>5637.0</v>
      </c>
      <c r="B283" s="1" t="s">
        <v>507</v>
      </c>
      <c r="C283" s="1" t="s">
        <v>512</v>
      </c>
      <c r="D283" s="1" t="s">
        <v>1040</v>
      </c>
      <c r="E283" s="1" t="s">
        <v>993</v>
      </c>
      <c r="F283" s="1">
        <v>7.0</v>
      </c>
      <c r="G283" s="1">
        <v>6.0</v>
      </c>
      <c r="H283" s="1">
        <v>1.0</v>
      </c>
      <c r="I283" s="1">
        <v>8.0</v>
      </c>
      <c r="J283" s="1">
        <v>5.0</v>
      </c>
      <c r="K283" s="1">
        <v>3.0</v>
      </c>
      <c r="L283" s="1">
        <v>14.0</v>
      </c>
      <c r="M283" s="1">
        <v>11.0</v>
      </c>
      <c r="N283" s="1">
        <v>6.0</v>
      </c>
      <c r="O283" s="1">
        <v>20.0</v>
      </c>
      <c r="P283" s="1">
        <v>22.0</v>
      </c>
      <c r="Q283" s="1">
        <v>8.0</v>
      </c>
    </row>
    <row r="284">
      <c r="A284" s="1">
        <v>5672.0</v>
      </c>
      <c r="B284" s="1" t="s">
        <v>507</v>
      </c>
      <c r="C284" s="1" t="s">
        <v>512</v>
      </c>
      <c r="D284" s="1" t="s">
        <v>777</v>
      </c>
      <c r="E284" s="1" t="s">
        <v>1000</v>
      </c>
      <c r="F284" s="1">
        <v>21.0</v>
      </c>
      <c r="G284" s="1">
        <v>15.0</v>
      </c>
      <c r="H284" s="1">
        <v>6.0</v>
      </c>
      <c r="I284" s="1">
        <v>21.0</v>
      </c>
      <c r="J284" s="1">
        <v>14.0</v>
      </c>
      <c r="K284" s="1">
        <v>7.0</v>
      </c>
      <c r="L284" s="1">
        <v>89.0</v>
      </c>
      <c r="M284" s="1">
        <v>86.0</v>
      </c>
      <c r="N284" s="1">
        <v>58.0</v>
      </c>
      <c r="O284" s="1">
        <v>10.0</v>
      </c>
      <c r="P284" s="1">
        <v>156.0</v>
      </c>
      <c r="Q284" s="1">
        <v>67.0</v>
      </c>
    </row>
    <row r="285">
      <c r="A285" s="1">
        <v>5674.0</v>
      </c>
      <c r="B285" s="1" t="s">
        <v>492</v>
      </c>
      <c r="C285" s="1" t="s">
        <v>492</v>
      </c>
      <c r="D285" s="1" t="s">
        <v>185</v>
      </c>
      <c r="E285" s="1" t="s">
        <v>1000</v>
      </c>
      <c r="F285" s="1">
        <v>1.0</v>
      </c>
      <c r="G285" s="1">
        <v>1.0</v>
      </c>
      <c r="H285" s="1">
        <v>0.0</v>
      </c>
      <c r="I285" s="1">
        <v>1.0</v>
      </c>
      <c r="J285" s="1">
        <v>1.0</v>
      </c>
      <c r="K285" s="1">
        <v>0.0</v>
      </c>
      <c r="L285" s="1">
        <v>1.0</v>
      </c>
      <c r="M285" s="1">
        <v>1.0</v>
      </c>
      <c r="N285" s="1" t="e">
        <v>#N/A</v>
      </c>
      <c r="O285" s="1">
        <v>23.0</v>
      </c>
      <c r="P285" s="1">
        <v>5.0</v>
      </c>
      <c r="Q285" s="1" t="e">
        <v>#N/A</v>
      </c>
    </row>
    <row r="286">
      <c r="A286" s="1">
        <v>5678.0</v>
      </c>
      <c r="B286" s="1" t="s">
        <v>480</v>
      </c>
      <c r="C286" s="1" t="s">
        <v>938</v>
      </c>
      <c r="D286" s="1" t="s">
        <v>641</v>
      </c>
      <c r="E286" s="1" t="s">
        <v>1009</v>
      </c>
      <c r="F286" s="1">
        <v>7.0</v>
      </c>
      <c r="G286" s="1">
        <v>9.0</v>
      </c>
      <c r="H286" s="1">
        <v>-2.0</v>
      </c>
      <c r="I286" s="1">
        <v>7.0</v>
      </c>
      <c r="J286" s="1">
        <v>9.0</v>
      </c>
      <c r="K286" s="1">
        <v>-2.0</v>
      </c>
      <c r="L286" s="1">
        <v>12.0</v>
      </c>
      <c r="M286" s="1">
        <v>12.0</v>
      </c>
      <c r="N286" s="1">
        <v>24.0</v>
      </c>
      <c r="O286" s="1">
        <v>25.0</v>
      </c>
      <c r="P286" s="1">
        <v>18.0</v>
      </c>
      <c r="Q286" s="1">
        <v>17.0</v>
      </c>
    </row>
    <row r="287">
      <c r="A287" s="1">
        <v>5685.0</v>
      </c>
      <c r="B287" s="1" t="s">
        <v>492</v>
      </c>
      <c r="C287" s="1" t="s">
        <v>543</v>
      </c>
      <c r="D287" s="1" t="s">
        <v>305</v>
      </c>
      <c r="E287" s="1" t="s">
        <v>976</v>
      </c>
      <c r="F287" s="1">
        <v>14.0</v>
      </c>
      <c r="G287" s="1">
        <v>29.0</v>
      </c>
      <c r="H287" s="1">
        <v>-15.0</v>
      </c>
      <c r="I287" s="1">
        <v>14.0</v>
      </c>
      <c r="J287" s="1">
        <v>28.0</v>
      </c>
      <c r="K287" s="1">
        <v>-14.0</v>
      </c>
      <c r="L287" s="1">
        <v>35.0</v>
      </c>
      <c r="M287" s="1">
        <v>32.0</v>
      </c>
      <c r="N287" s="1">
        <v>154.0</v>
      </c>
      <c r="O287" s="1">
        <v>300.0</v>
      </c>
      <c r="P287" s="1">
        <v>112.0</v>
      </c>
      <c r="Q287" s="1">
        <v>90.0</v>
      </c>
    </row>
    <row r="288">
      <c r="A288" s="1">
        <v>5687.0</v>
      </c>
      <c r="B288" s="1" t="s">
        <v>492</v>
      </c>
      <c r="C288" s="1" t="s">
        <v>543</v>
      </c>
      <c r="D288" s="1" t="s">
        <v>905</v>
      </c>
      <c r="E288" s="1" t="s">
        <v>972</v>
      </c>
      <c r="F288" s="1">
        <v>17.0</v>
      </c>
      <c r="G288" s="1">
        <v>15.0</v>
      </c>
      <c r="H288" s="1">
        <v>2.0</v>
      </c>
      <c r="I288" s="1">
        <v>16.0</v>
      </c>
      <c r="J288" s="1">
        <v>14.0</v>
      </c>
      <c r="K288" s="1">
        <v>2.0</v>
      </c>
      <c r="L288" s="1">
        <v>48.0</v>
      </c>
      <c r="M288" s="1">
        <v>45.0</v>
      </c>
      <c r="N288" s="1">
        <v>48.0</v>
      </c>
      <c r="O288" s="1">
        <v>55.0</v>
      </c>
      <c r="P288" s="1">
        <v>74.0</v>
      </c>
      <c r="Q288" s="1">
        <v>44.0</v>
      </c>
    </row>
    <row r="289">
      <c r="A289" s="1">
        <v>5688.0</v>
      </c>
      <c r="B289" s="1" t="s">
        <v>492</v>
      </c>
      <c r="C289" s="1" t="s">
        <v>1057</v>
      </c>
      <c r="D289" s="1" t="s">
        <v>729</v>
      </c>
      <c r="E289" s="1" t="s">
        <v>983</v>
      </c>
      <c r="F289" s="1">
        <v>4.0</v>
      </c>
      <c r="G289" s="1">
        <v>13.0</v>
      </c>
      <c r="H289" s="1">
        <v>-9.0</v>
      </c>
      <c r="I289" s="1">
        <v>4.0</v>
      </c>
      <c r="J289" s="1">
        <v>13.0</v>
      </c>
      <c r="K289" s="1">
        <v>-9.0</v>
      </c>
      <c r="L289" s="1">
        <v>20.0</v>
      </c>
      <c r="M289" s="1">
        <v>23.0</v>
      </c>
      <c r="N289" s="1">
        <v>36.0</v>
      </c>
      <c r="O289" s="1">
        <v>30.0</v>
      </c>
      <c r="P289" s="1">
        <v>27.0</v>
      </c>
      <c r="Q289" s="1">
        <v>28.0</v>
      </c>
    </row>
    <row r="290">
      <c r="A290" s="1">
        <v>5695.0</v>
      </c>
      <c r="B290" s="1" t="s">
        <v>480</v>
      </c>
      <c r="C290" s="1" t="s">
        <v>931</v>
      </c>
      <c r="D290" s="1" t="s">
        <v>1281</v>
      </c>
      <c r="E290" s="1" t="s">
        <v>1233</v>
      </c>
      <c r="F290" s="1">
        <v>7.0</v>
      </c>
      <c r="G290" s="1">
        <v>1.0</v>
      </c>
      <c r="H290" s="1">
        <v>6.0</v>
      </c>
      <c r="I290" s="1">
        <v>7.0</v>
      </c>
      <c r="J290" s="1">
        <v>1.0</v>
      </c>
      <c r="K290" s="1">
        <v>6.0</v>
      </c>
      <c r="L290" s="1">
        <v>9.0</v>
      </c>
      <c r="M290" s="1">
        <v>9.0</v>
      </c>
      <c r="N290" s="1">
        <v>1.0</v>
      </c>
      <c r="O290" s="1">
        <v>8.0</v>
      </c>
      <c r="P290" s="1">
        <v>4.0</v>
      </c>
      <c r="Q290" s="1">
        <v>5.0</v>
      </c>
    </row>
    <row r="291">
      <c r="A291" s="1">
        <v>5701.0</v>
      </c>
      <c r="B291" s="1" t="s">
        <v>480</v>
      </c>
      <c r="C291" s="1" t="s">
        <v>481</v>
      </c>
      <c r="D291" s="1" t="s">
        <v>1129</v>
      </c>
      <c r="E291" s="1" t="s">
        <v>975</v>
      </c>
      <c r="F291" s="1">
        <v>6.0</v>
      </c>
      <c r="G291" s="1">
        <v>2.0</v>
      </c>
      <c r="H291" s="1">
        <v>4.0</v>
      </c>
      <c r="I291" s="1">
        <v>6.0</v>
      </c>
      <c r="J291" s="1">
        <v>2.0</v>
      </c>
      <c r="K291" s="1">
        <v>4.0</v>
      </c>
      <c r="L291" s="1">
        <v>10.0</v>
      </c>
      <c r="M291" s="1">
        <v>13.0</v>
      </c>
      <c r="N291" s="1">
        <v>3.0</v>
      </c>
      <c r="O291" s="1">
        <v>6.0</v>
      </c>
      <c r="P291" s="1">
        <v>6.0</v>
      </c>
      <c r="Q291" s="1">
        <v>7.0</v>
      </c>
    </row>
    <row r="292">
      <c r="A292" s="1">
        <v>5707.0</v>
      </c>
      <c r="B292" s="1" t="s">
        <v>477</v>
      </c>
      <c r="C292" s="1" t="s">
        <v>478</v>
      </c>
      <c r="D292" s="1" t="s">
        <v>1538</v>
      </c>
      <c r="E292" s="1" t="s">
        <v>993</v>
      </c>
      <c r="F292" s="1">
        <v>1.0</v>
      </c>
      <c r="G292" s="1">
        <v>1.0</v>
      </c>
      <c r="H292" s="1">
        <v>0.0</v>
      </c>
      <c r="I292" s="1">
        <v>1.0</v>
      </c>
      <c r="J292" s="1">
        <v>1.0</v>
      </c>
      <c r="K292" s="1">
        <v>0.0</v>
      </c>
      <c r="L292" s="1">
        <v>1.0</v>
      </c>
      <c r="M292" s="1">
        <v>1.0</v>
      </c>
      <c r="N292" s="1" t="e">
        <v>#N/A</v>
      </c>
      <c r="O292" s="1" t="e">
        <v>#N/A</v>
      </c>
      <c r="P292" s="1" t="e">
        <v>#N/A</v>
      </c>
      <c r="Q292" s="1" t="e">
        <v>#N/A</v>
      </c>
    </row>
    <row r="293">
      <c r="A293" s="1">
        <v>5718.0</v>
      </c>
      <c r="B293" s="1" t="s">
        <v>480</v>
      </c>
      <c r="C293" s="1" t="s">
        <v>481</v>
      </c>
      <c r="D293" s="1" t="s">
        <v>652</v>
      </c>
      <c r="E293" s="1" t="s">
        <v>1222</v>
      </c>
      <c r="F293" s="1">
        <v>8.0</v>
      </c>
      <c r="G293" s="1">
        <v>5.0</v>
      </c>
      <c r="H293" s="1">
        <v>3.0</v>
      </c>
      <c r="I293" s="1">
        <v>8.0</v>
      </c>
      <c r="J293" s="1">
        <v>5.0</v>
      </c>
      <c r="K293" s="1">
        <v>3.0</v>
      </c>
      <c r="L293" s="1">
        <v>12.0</v>
      </c>
      <c r="M293" s="1">
        <v>12.0</v>
      </c>
      <c r="N293" s="1">
        <v>6.0</v>
      </c>
      <c r="O293" s="1">
        <v>7.0</v>
      </c>
      <c r="P293" s="1">
        <v>7.0</v>
      </c>
      <c r="Q293" s="1">
        <v>8.0</v>
      </c>
    </row>
    <row r="294">
      <c r="A294" s="1">
        <v>5719.0</v>
      </c>
      <c r="B294" s="1" t="s">
        <v>492</v>
      </c>
      <c r="C294" s="1" t="s">
        <v>930</v>
      </c>
      <c r="D294" s="1" t="s">
        <v>713</v>
      </c>
      <c r="E294" s="1" t="s">
        <v>973</v>
      </c>
      <c r="F294" s="1">
        <v>10.0</v>
      </c>
      <c r="G294" s="1">
        <v>5.0</v>
      </c>
      <c r="H294" s="1">
        <v>5.0</v>
      </c>
      <c r="I294" s="1">
        <v>10.0</v>
      </c>
      <c r="J294" s="1">
        <v>6.0</v>
      </c>
      <c r="K294" s="1">
        <v>4.0</v>
      </c>
      <c r="L294" s="1">
        <v>24.0</v>
      </c>
      <c r="M294" s="1">
        <v>29.0</v>
      </c>
      <c r="N294" s="1">
        <v>17.0</v>
      </c>
      <c r="O294" s="1">
        <v>15.0</v>
      </c>
      <c r="P294" s="1">
        <v>10.0</v>
      </c>
      <c r="Q294" s="1">
        <v>21.0</v>
      </c>
    </row>
    <row r="295">
      <c r="A295" s="1">
        <v>5734.0</v>
      </c>
      <c r="B295" s="1" t="s">
        <v>507</v>
      </c>
      <c r="C295" s="1" t="s">
        <v>935</v>
      </c>
      <c r="D295" s="1" t="s">
        <v>818</v>
      </c>
      <c r="E295" s="1" t="s">
        <v>988</v>
      </c>
      <c r="F295" s="1">
        <v>22.0</v>
      </c>
      <c r="G295" s="1">
        <v>20.0</v>
      </c>
      <c r="H295" s="1">
        <v>2.0</v>
      </c>
      <c r="I295" s="1">
        <v>22.0</v>
      </c>
      <c r="J295" s="1">
        <v>22.0</v>
      </c>
      <c r="K295" s="1">
        <v>0.0</v>
      </c>
      <c r="L295" s="1">
        <v>97.0</v>
      </c>
      <c r="M295" s="1">
        <v>102.0</v>
      </c>
      <c r="N295" s="1">
        <v>108.0</v>
      </c>
      <c r="O295" s="1">
        <v>85.0</v>
      </c>
      <c r="P295" s="1">
        <v>14.0</v>
      </c>
      <c r="Q295" s="1">
        <v>98.0</v>
      </c>
    </row>
    <row r="296">
      <c r="A296" s="1">
        <v>5739.0</v>
      </c>
      <c r="B296" s="1" t="s">
        <v>480</v>
      </c>
      <c r="C296" s="1" t="s">
        <v>937</v>
      </c>
      <c r="D296" s="1" t="s">
        <v>618</v>
      </c>
      <c r="E296" s="1" t="s">
        <v>1026</v>
      </c>
      <c r="F296" s="1">
        <v>9.0</v>
      </c>
      <c r="G296" s="1">
        <v>6.0</v>
      </c>
      <c r="H296" s="1">
        <v>3.0</v>
      </c>
      <c r="I296" s="1">
        <v>9.0</v>
      </c>
      <c r="J296" s="1">
        <v>6.0</v>
      </c>
      <c r="K296" s="1">
        <v>3.0</v>
      </c>
      <c r="L296" s="1">
        <v>22.0</v>
      </c>
      <c r="M296" s="1">
        <v>25.0</v>
      </c>
      <c r="N296" s="1">
        <v>10.0</v>
      </c>
      <c r="O296" s="1">
        <v>19.0</v>
      </c>
      <c r="P296" s="1">
        <v>8.0</v>
      </c>
      <c r="Q296" s="1">
        <v>16.0</v>
      </c>
    </row>
    <row r="297">
      <c r="A297" s="1">
        <v>5764.0</v>
      </c>
      <c r="B297" s="1" t="s">
        <v>480</v>
      </c>
      <c r="C297" s="1" t="s">
        <v>481</v>
      </c>
      <c r="D297" s="1" t="s">
        <v>880</v>
      </c>
      <c r="E297" s="1" t="s">
        <v>983</v>
      </c>
      <c r="F297" s="1">
        <v>7.0</v>
      </c>
      <c r="G297" s="1">
        <v>4.0</v>
      </c>
      <c r="H297" s="1">
        <v>3.0</v>
      </c>
      <c r="I297" s="1">
        <v>7.0</v>
      </c>
      <c r="J297" s="1">
        <v>4.0</v>
      </c>
      <c r="K297" s="1">
        <v>3.0</v>
      </c>
      <c r="L297" s="1">
        <v>12.0</v>
      </c>
      <c r="M297" s="1">
        <v>11.0</v>
      </c>
      <c r="N297" s="1">
        <v>8.0</v>
      </c>
      <c r="O297" s="1">
        <v>13.0</v>
      </c>
      <c r="P297" s="1">
        <v>2.0</v>
      </c>
      <c r="Q297" s="1">
        <v>9.0</v>
      </c>
    </row>
    <row r="298">
      <c r="A298" s="1">
        <v>5784.0</v>
      </c>
      <c r="B298" s="1" t="s">
        <v>492</v>
      </c>
      <c r="C298" s="1" t="s">
        <v>934</v>
      </c>
      <c r="D298" s="1" t="s">
        <v>712</v>
      </c>
      <c r="E298" s="1" t="s">
        <v>1009</v>
      </c>
      <c r="F298" s="1">
        <v>2.0</v>
      </c>
      <c r="G298" s="1">
        <v>10.0</v>
      </c>
      <c r="H298" s="1">
        <v>-8.0</v>
      </c>
      <c r="I298" s="1">
        <v>2.0</v>
      </c>
      <c r="J298" s="1">
        <v>10.0</v>
      </c>
      <c r="K298" s="1">
        <v>-8.0</v>
      </c>
      <c r="L298" s="1">
        <v>13.0</v>
      </c>
      <c r="M298" s="1">
        <v>13.0</v>
      </c>
      <c r="N298" s="1">
        <v>20.0</v>
      </c>
      <c r="O298" s="1">
        <v>16.0</v>
      </c>
      <c r="P298" s="1">
        <v>12.0</v>
      </c>
      <c r="Q298" s="1">
        <v>16.0</v>
      </c>
    </row>
    <row r="299">
      <c r="A299" s="1">
        <v>5791.0</v>
      </c>
      <c r="B299" s="1" t="s">
        <v>492</v>
      </c>
      <c r="C299" s="1" t="s">
        <v>1152</v>
      </c>
      <c r="D299" s="1" t="s">
        <v>691</v>
      </c>
      <c r="E299" s="1" t="s">
        <v>1026</v>
      </c>
      <c r="F299" s="1">
        <v>10.0</v>
      </c>
      <c r="G299" s="1">
        <v>11.0</v>
      </c>
      <c r="H299" s="1">
        <v>-1.0</v>
      </c>
      <c r="I299" s="1">
        <v>10.0</v>
      </c>
      <c r="J299" s="1">
        <v>13.0</v>
      </c>
      <c r="K299" s="1">
        <v>-3.0</v>
      </c>
      <c r="L299" s="1">
        <v>20.0</v>
      </c>
      <c r="M299" s="1">
        <v>25.0</v>
      </c>
      <c r="N299" s="1">
        <v>40.0</v>
      </c>
      <c r="O299" s="1">
        <v>40.0</v>
      </c>
      <c r="P299" s="1">
        <v>16.0</v>
      </c>
      <c r="Q299" s="1">
        <v>31.0</v>
      </c>
    </row>
    <row r="300">
      <c r="A300" s="1">
        <v>5792.0</v>
      </c>
      <c r="B300" s="1" t="s">
        <v>492</v>
      </c>
      <c r="C300" s="1" t="s">
        <v>930</v>
      </c>
      <c r="D300" s="1" t="s">
        <v>202</v>
      </c>
      <c r="E300" s="1" t="s">
        <v>980</v>
      </c>
      <c r="F300" s="1">
        <v>16.0</v>
      </c>
      <c r="G300" s="1">
        <v>15.0</v>
      </c>
      <c r="H300" s="1">
        <v>1.0</v>
      </c>
      <c r="I300" s="1">
        <v>16.0</v>
      </c>
      <c r="J300" s="1">
        <v>18.0</v>
      </c>
      <c r="K300" s="1">
        <v>-2.0</v>
      </c>
      <c r="L300" s="1">
        <v>58.0</v>
      </c>
      <c r="M300" s="1">
        <v>68.0</v>
      </c>
      <c r="N300" s="1">
        <v>67.0</v>
      </c>
      <c r="O300" s="1">
        <v>51.0</v>
      </c>
      <c r="P300" s="1">
        <v>20.0</v>
      </c>
      <c r="Q300" s="1">
        <v>63.0</v>
      </c>
    </row>
    <row r="301">
      <c r="A301" s="1">
        <v>5800.0</v>
      </c>
      <c r="B301" s="1" t="s">
        <v>507</v>
      </c>
      <c r="C301" s="1" t="s">
        <v>507</v>
      </c>
      <c r="D301" s="1" t="s">
        <v>611</v>
      </c>
      <c r="E301" s="1" t="s">
        <v>1033</v>
      </c>
      <c r="F301" s="1">
        <v>21.0</v>
      </c>
      <c r="G301" s="1">
        <v>27.0</v>
      </c>
      <c r="H301" s="1">
        <v>-6.0</v>
      </c>
      <c r="I301" s="1">
        <v>21.0</v>
      </c>
      <c r="J301" s="1">
        <v>28.0</v>
      </c>
      <c r="K301" s="1">
        <v>-7.0</v>
      </c>
      <c r="L301" s="1">
        <v>42.0</v>
      </c>
      <c r="M301" s="1">
        <v>42.0</v>
      </c>
      <c r="N301" s="1">
        <v>175.0</v>
      </c>
      <c r="O301" s="1">
        <v>330.0</v>
      </c>
      <c r="P301" s="1">
        <v>58.0</v>
      </c>
      <c r="Q301" s="1">
        <v>105.0</v>
      </c>
    </row>
    <row r="302">
      <c r="A302" s="1">
        <v>5804.0</v>
      </c>
      <c r="B302" s="1" t="s">
        <v>480</v>
      </c>
      <c r="C302" s="1" t="s">
        <v>931</v>
      </c>
      <c r="D302" s="1" t="s">
        <v>873</v>
      </c>
      <c r="E302" s="1" t="s">
        <v>1222</v>
      </c>
      <c r="F302" s="1">
        <v>10.0</v>
      </c>
      <c r="G302" s="1">
        <v>3.0</v>
      </c>
      <c r="H302" s="1">
        <v>7.0</v>
      </c>
      <c r="I302" s="1">
        <v>10.0</v>
      </c>
      <c r="J302" s="1">
        <v>3.0</v>
      </c>
      <c r="K302" s="1">
        <v>7.0</v>
      </c>
      <c r="L302" s="1">
        <v>14.0</v>
      </c>
      <c r="M302" s="1">
        <v>14.0</v>
      </c>
      <c r="N302" s="1">
        <v>5.0</v>
      </c>
      <c r="O302" s="1">
        <v>14.0</v>
      </c>
      <c r="P302" s="1">
        <v>8.0</v>
      </c>
      <c r="Q302" s="1">
        <v>9.0</v>
      </c>
    </row>
    <row r="303">
      <c r="A303" s="1">
        <v>5812.0</v>
      </c>
      <c r="B303" s="1" t="s">
        <v>480</v>
      </c>
      <c r="C303" s="1" t="s">
        <v>938</v>
      </c>
      <c r="D303" s="1" t="s">
        <v>649</v>
      </c>
      <c r="E303" s="1" t="s">
        <v>991</v>
      </c>
      <c r="F303" s="1">
        <v>1.0</v>
      </c>
      <c r="G303" s="1">
        <v>1.0</v>
      </c>
      <c r="H303" s="1">
        <v>0.0</v>
      </c>
      <c r="I303" s="1">
        <v>1.0</v>
      </c>
      <c r="J303" s="1">
        <v>1.0</v>
      </c>
      <c r="K303" s="1">
        <v>0.0</v>
      </c>
      <c r="L303" s="1">
        <v>9.0</v>
      </c>
      <c r="M303" s="1">
        <v>9.0</v>
      </c>
      <c r="N303" s="1">
        <v>1.0</v>
      </c>
      <c r="O303" s="1">
        <v>14.0</v>
      </c>
      <c r="P303" s="1">
        <v>7.0</v>
      </c>
      <c r="Q303" s="1">
        <v>5.0</v>
      </c>
    </row>
    <row r="304">
      <c r="A304" s="1">
        <v>5813.0</v>
      </c>
      <c r="B304" s="1" t="s">
        <v>492</v>
      </c>
      <c r="C304" s="1" t="s">
        <v>934</v>
      </c>
      <c r="D304" s="1" t="s">
        <v>886</v>
      </c>
      <c r="E304" s="1" t="s">
        <v>1026</v>
      </c>
      <c r="F304" s="1">
        <v>11.0</v>
      </c>
      <c r="G304" s="1">
        <v>4.0</v>
      </c>
      <c r="H304" s="1">
        <v>7.0</v>
      </c>
      <c r="I304" s="1">
        <v>11.0</v>
      </c>
      <c r="J304" s="1">
        <v>4.0</v>
      </c>
      <c r="K304" s="1">
        <v>7.0</v>
      </c>
      <c r="L304" s="1">
        <v>25.0</v>
      </c>
      <c r="M304" s="1">
        <v>25.0</v>
      </c>
      <c r="N304" s="1">
        <v>18.0</v>
      </c>
      <c r="O304" s="1">
        <v>23.0</v>
      </c>
      <c r="P304" s="1">
        <v>11.0</v>
      </c>
      <c r="Q304" s="1">
        <v>20.0</v>
      </c>
    </row>
    <row r="305">
      <c r="A305" s="1">
        <v>5822.0</v>
      </c>
      <c r="B305" s="1" t="s">
        <v>477</v>
      </c>
      <c r="C305" s="1" t="s">
        <v>478</v>
      </c>
      <c r="D305" s="1" t="s">
        <v>390</v>
      </c>
      <c r="E305" s="1" t="s">
        <v>1009</v>
      </c>
      <c r="F305" s="1">
        <v>1.0</v>
      </c>
      <c r="G305" s="1">
        <v>1.0</v>
      </c>
      <c r="H305" s="1">
        <v>0.0</v>
      </c>
      <c r="I305" s="1">
        <v>1.0</v>
      </c>
      <c r="J305" s="1">
        <v>1.0</v>
      </c>
      <c r="K305" s="1">
        <v>0.0</v>
      </c>
      <c r="L305" s="1">
        <v>1.0</v>
      </c>
      <c r="M305" s="1">
        <v>1.0</v>
      </c>
      <c r="N305" s="1">
        <v>1.0</v>
      </c>
      <c r="O305" s="1">
        <v>1.0</v>
      </c>
      <c r="P305" s="1">
        <v>1.0</v>
      </c>
      <c r="Q305" s="1">
        <v>1.0</v>
      </c>
    </row>
    <row r="306">
      <c r="A306" s="1">
        <v>5823.0</v>
      </c>
      <c r="B306" s="1" t="s">
        <v>492</v>
      </c>
      <c r="C306" s="1" t="s">
        <v>947</v>
      </c>
      <c r="D306" s="1" t="s">
        <v>324</v>
      </c>
      <c r="E306" s="1" t="s">
        <v>988</v>
      </c>
      <c r="F306" s="1">
        <v>7.0</v>
      </c>
      <c r="G306" s="1">
        <v>8.0</v>
      </c>
      <c r="H306" s="1">
        <v>-1.0</v>
      </c>
      <c r="I306" s="1">
        <v>7.0</v>
      </c>
      <c r="J306" s="1">
        <v>8.0</v>
      </c>
      <c r="K306" s="1">
        <v>-1.0</v>
      </c>
      <c r="L306" s="1">
        <v>14.0</v>
      </c>
      <c r="M306" s="1">
        <v>14.0</v>
      </c>
      <c r="N306" s="1">
        <v>20.0</v>
      </c>
      <c r="O306" s="1">
        <v>25.0</v>
      </c>
      <c r="P306" s="1">
        <v>36.0</v>
      </c>
      <c r="Q306" s="1">
        <v>16.0</v>
      </c>
    </row>
    <row r="307">
      <c r="A307" s="1">
        <v>5824.0</v>
      </c>
      <c r="B307" s="1" t="s">
        <v>492</v>
      </c>
      <c r="C307" s="1" t="s">
        <v>947</v>
      </c>
      <c r="D307" s="1" t="s">
        <v>1474</v>
      </c>
      <c r="E307" s="1" t="s">
        <v>993</v>
      </c>
      <c r="F307" s="1">
        <v>1.0</v>
      </c>
      <c r="G307" s="1">
        <v>1.0</v>
      </c>
      <c r="H307" s="1">
        <v>0.0</v>
      </c>
      <c r="I307" s="1">
        <v>1.0</v>
      </c>
      <c r="J307" s="1">
        <v>1.0</v>
      </c>
      <c r="K307" s="1">
        <v>0.0</v>
      </c>
      <c r="L307" s="1">
        <v>5.0</v>
      </c>
      <c r="M307" s="1">
        <v>5.0</v>
      </c>
      <c r="N307" s="1" t="e">
        <v>#N/A</v>
      </c>
      <c r="O307" s="1" t="e">
        <v>#N/A</v>
      </c>
      <c r="P307" s="1">
        <v>1.0</v>
      </c>
      <c r="Q307" s="1" t="e">
        <v>#N/A</v>
      </c>
    </row>
    <row r="308">
      <c r="A308" s="1">
        <v>5831.0</v>
      </c>
      <c r="B308" s="1" t="s">
        <v>480</v>
      </c>
      <c r="C308" s="1" t="s">
        <v>481</v>
      </c>
      <c r="D308" s="1" t="s">
        <v>780</v>
      </c>
      <c r="E308" s="1" t="s">
        <v>976</v>
      </c>
      <c r="F308" s="1">
        <v>10.0</v>
      </c>
      <c r="G308" s="1">
        <v>7.0</v>
      </c>
      <c r="H308" s="1">
        <v>3.0</v>
      </c>
      <c r="I308" s="1">
        <v>10.0</v>
      </c>
      <c r="J308" s="1">
        <v>7.0</v>
      </c>
      <c r="K308" s="1">
        <v>3.0</v>
      </c>
      <c r="L308" s="1">
        <v>15.0</v>
      </c>
      <c r="M308" s="1">
        <v>15.0</v>
      </c>
      <c r="N308" s="1">
        <v>16.0</v>
      </c>
      <c r="O308" s="1">
        <v>52.0</v>
      </c>
      <c r="P308" s="1">
        <v>12.0</v>
      </c>
      <c r="Q308" s="1">
        <v>15.0</v>
      </c>
    </row>
    <row r="309">
      <c r="A309" s="1">
        <v>5833.0</v>
      </c>
      <c r="B309" s="1" t="s">
        <v>480</v>
      </c>
      <c r="C309" s="1" t="s">
        <v>481</v>
      </c>
      <c r="D309" s="1" t="s">
        <v>620</v>
      </c>
      <c r="E309" s="1" t="s">
        <v>1000</v>
      </c>
      <c r="F309" s="1">
        <v>9.0</v>
      </c>
      <c r="G309" s="1">
        <v>5.0</v>
      </c>
      <c r="H309" s="1">
        <v>4.0</v>
      </c>
      <c r="I309" s="1">
        <v>9.0</v>
      </c>
      <c r="J309" s="1">
        <v>5.0</v>
      </c>
      <c r="K309" s="1">
        <v>4.0</v>
      </c>
      <c r="L309" s="1">
        <v>22.0</v>
      </c>
      <c r="M309" s="1">
        <v>22.0</v>
      </c>
      <c r="N309" s="1">
        <v>11.0</v>
      </c>
      <c r="O309" s="1">
        <v>23.0</v>
      </c>
      <c r="P309" s="1">
        <v>2.0</v>
      </c>
      <c r="Q309" s="1">
        <v>15.0</v>
      </c>
    </row>
    <row r="310">
      <c r="A310" s="1">
        <v>5835.0</v>
      </c>
      <c r="B310" s="1" t="s">
        <v>480</v>
      </c>
      <c r="C310" s="1" t="s">
        <v>937</v>
      </c>
      <c r="D310" s="1" t="s">
        <v>632</v>
      </c>
      <c r="E310" s="1" t="s">
        <v>998</v>
      </c>
      <c r="F310" s="1">
        <v>10.0</v>
      </c>
      <c r="G310" s="1">
        <v>9.0</v>
      </c>
      <c r="H310" s="1">
        <v>1.0</v>
      </c>
      <c r="I310" s="1">
        <v>10.0</v>
      </c>
      <c r="J310" s="1">
        <v>10.0</v>
      </c>
      <c r="K310" s="1">
        <v>0.0</v>
      </c>
      <c r="L310" s="1">
        <v>18.0</v>
      </c>
      <c r="M310" s="1">
        <v>18.0</v>
      </c>
      <c r="N310" s="1">
        <v>24.0</v>
      </c>
      <c r="O310" s="1">
        <v>27.0</v>
      </c>
      <c r="P310" s="1">
        <v>40.0</v>
      </c>
      <c r="Q310" s="1">
        <v>20.0</v>
      </c>
    </row>
    <row r="311">
      <c r="A311" s="1">
        <v>5838.0</v>
      </c>
      <c r="B311" s="1" t="s">
        <v>480</v>
      </c>
      <c r="C311" s="1" t="s">
        <v>944</v>
      </c>
      <c r="D311" s="1" t="s">
        <v>878</v>
      </c>
      <c r="E311" s="1" t="s">
        <v>1225</v>
      </c>
      <c r="F311" s="1">
        <v>12.0</v>
      </c>
      <c r="G311" s="1">
        <v>5.0</v>
      </c>
      <c r="H311" s="1">
        <v>7.0</v>
      </c>
      <c r="I311" s="1">
        <v>12.0</v>
      </c>
      <c r="J311" s="1">
        <v>5.0</v>
      </c>
      <c r="K311" s="1">
        <v>7.0</v>
      </c>
      <c r="L311" s="1">
        <v>8.0</v>
      </c>
      <c r="M311" s="1">
        <v>10.0</v>
      </c>
      <c r="N311" s="1">
        <v>9.0</v>
      </c>
      <c r="O311" s="1">
        <v>15.0</v>
      </c>
      <c r="P311" s="1">
        <v>6.0</v>
      </c>
      <c r="Q311" s="1">
        <v>9.0</v>
      </c>
    </row>
    <row r="312">
      <c r="A312" s="1">
        <v>5840.0</v>
      </c>
      <c r="B312" s="1" t="s">
        <v>480</v>
      </c>
      <c r="C312" s="1" t="s">
        <v>979</v>
      </c>
      <c r="D312" s="1" t="s">
        <v>802</v>
      </c>
      <c r="E312" s="1" t="s">
        <v>987</v>
      </c>
      <c r="F312" s="1">
        <v>9.0</v>
      </c>
      <c r="G312" s="1">
        <v>7.0</v>
      </c>
      <c r="H312" s="1">
        <v>2.0</v>
      </c>
      <c r="I312" s="1">
        <v>10.0</v>
      </c>
      <c r="J312" s="1">
        <v>8.0</v>
      </c>
      <c r="K312" s="1">
        <v>2.0</v>
      </c>
      <c r="L312" s="1">
        <v>20.0</v>
      </c>
      <c r="M312" s="1">
        <v>23.0</v>
      </c>
      <c r="N312" s="1">
        <v>28.0</v>
      </c>
      <c r="O312" s="1">
        <v>25.0</v>
      </c>
      <c r="P312" s="1">
        <v>24.0</v>
      </c>
      <c r="Q312" s="1">
        <v>24.0</v>
      </c>
    </row>
    <row r="313">
      <c r="A313" s="1">
        <v>5841.0</v>
      </c>
      <c r="B313" s="1" t="s">
        <v>477</v>
      </c>
      <c r="C313" s="1" t="s">
        <v>478</v>
      </c>
      <c r="D313" s="1" t="s">
        <v>890</v>
      </c>
      <c r="E313" s="1" t="s">
        <v>988</v>
      </c>
      <c r="F313" s="1">
        <v>16.0</v>
      </c>
      <c r="G313" s="1">
        <v>13.0</v>
      </c>
      <c r="H313" s="1">
        <v>3.0</v>
      </c>
      <c r="I313" s="1">
        <v>16.0</v>
      </c>
      <c r="J313" s="1">
        <v>13.0</v>
      </c>
      <c r="K313" s="1">
        <v>3.0</v>
      </c>
      <c r="L313" s="1">
        <v>94.0</v>
      </c>
      <c r="M313" s="1">
        <v>94.0</v>
      </c>
      <c r="N313" s="1">
        <v>69.0</v>
      </c>
      <c r="O313" s="1">
        <v>70.0</v>
      </c>
      <c r="P313" s="1">
        <v>1.0</v>
      </c>
      <c r="Q313" s="1">
        <v>76.0</v>
      </c>
    </row>
    <row r="314">
      <c r="A314" s="1">
        <v>5847.0</v>
      </c>
      <c r="B314" s="1" t="s">
        <v>480</v>
      </c>
      <c r="C314" s="1" t="s">
        <v>481</v>
      </c>
      <c r="D314" s="1" t="s">
        <v>833</v>
      </c>
      <c r="E314" s="1" t="s">
        <v>993</v>
      </c>
      <c r="F314" s="1">
        <v>8.0</v>
      </c>
      <c r="G314" s="1">
        <v>8.0</v>
      </c>
      <c r="H314" s="1">
        <v>0.0</v>
      </c>
      <c r="I314" s="1">
        <v>8.0</v>
      </c>
      <c r="J314" s="1">
        <v>8.0</v>
      </c>
      <c r="K314" s="1">
        <v>0.0</v>
      </c>
      <c r="L314" s="1">
        <v>23.0</v>
      </c>
      <c r="M314" s="1">
        <v>23.0</v>
      </c>
      <c r="N314" s="1">
        <v>20.0</v>
      </c>
      <c r="O314" s="1">
        <v>27.0</v>
      </c>
      <c r="P314" s="1">
        <v>21.0</v>
      </c>
      <c r="Q314" s="1">
        <v>20.0</v>
      </c>
    </row>
    <row r="315">
      <c r="A315" s="1">
        <v>5850.0</v>
      </c>
      <c r="B315" s="1" t="s">
        <v>492</v>
      </c>
      <c r="C315" s="1" t="s">
        <v>492</v>
      </c>
      <c r="D315" s="1" t="s">
        <v>64</v>
      </c>
      <c r="E315" s="1" t="s">
        <v>993</v>
      </c>
      <c r="F315" s="1">
        <v>10.0</v>
      </c>
      <c r="G315" s="1">
        <v>10.0</v>
      </c>
      <c r="H315" s="1">
        <v>0.0</v>
      </c>
      <c r="I315" s="1">
        <v>10.0</v>
      </c>
      <c r="J315" s="1">
        <v>10.0</v>
      </c>
      <c r="K315" s="1">
        <v>0.0</v>
      </c>
      <c r="L315" s="1">
        <v>23.0</v>
      </c>
      <c r="M315" s="1">
        <v>23.0</v>
      </c>
      <c r="N315" s="1">
        <v>23.0</v>
      </c>
      <c r="O315" s="1">
        <v>25.0</v>
      </c>
      <c r="P315" s="1">
        <v>53.0</v>
      </c>
      <c r="Q315" s="1">
        <v>22.0</v>
      </c>
    </row>
    <row r="316">
      <c r="A316" s="1">
        <v>5856.0</v>
      </c>
      <c r="B316" s="1" t="s">
        <v>480</v>
      </c>
      <c r="C316" s="1" t="s">
        <v>938</v>
      </c>
      <c r="D316" s="1" t="s">
        <v>1284</v>
      </c>
      <c r="E316" s="1" t="s">
        <v>1222</v>
      </c>
      <c r="F316" s="1">
        <v>2.0</v>
      </c>
      <c r="G316" s="1">
        <v>2.0</v>
      </c>
      <c r="H316" s="1">
        <v>0.0</v>
      </c>
      <c r="I316" s="1">
        <v>2.0</v>
      </c>
      <c r="J316" s="1">
        <v>2.0</v>
      </c>
      <c r="K316" s="1">
        <v>0.0</v>
      </c>
      <c r="L316" s="1">
        <v>3.0</v>
      </c>
      <c r="M316" s="1">
        <v>3.0</v>
      </c>
      <c r="N316" s="1">
        <v>3.0</v>
      </c>
      <c r="O316" s="1">
        <v>10.0</v>
      </c>
      <c r="P316" s="1">
        <v>5.0</v>
      </c>
      <c r="Q316" s="1">
        <v>3.0</v>
      </c>
    </row>
    <row r="317">
      <c r="A317" s="1">
        <v>5858.0</v>
      </c>
      <c r="B317" s="1" t="s">
        <v>492</v>
      </c>
      <c r="C317" s="1" t="s">
        <v>934</v>
      </c>
      <c r="D317" s="1" t="s">
        <v>757</v>
      </c>
      <c r="E317" s="1" t="s">
        <v>1009</v>
      </c>
      <c r="F317" s="1">
        <v>12.0</v>
      </c>
      <c r="G317" s="1">
        <v>18.0</v>
      </c>
      <c r="H317" s="1">
        <v>-6.0</v>
      </c>
      <c r="I317" s="1">
        <v>12.0</v>
      </c>
      <c r="J317" s="1">
        <v>18.0</v>
      </c>
      <c r="K317" s="1">
        <v>-6.0</v>
      </c>
      <c r="L317" s="1">
        <v>18.0</v>
      </c>
      <c r="M317" s="1">
        <v>18.0</v>
      </c>
      <c r="N317" s="1">
        <v>42.0</v>
      </c>
      <c r="O317" s="1">
        <v>50.0</v>
      </c>
      <c r="P317" s="1">
        <v>74.0</v>
      </c>
      <c r="Q317" s="1">
        <v>29.0</v>
      </c>
    </row>
    <row r="318">
      <c r="A318" s="1">
        <v>5862.0</v>
      </c>
      <c r="B318" s="1" t="s">
        <v>480</v>
      </c>
      <c r="C318" s="1" t="s">
        <v>931</v>
      </c>
      <c r="D318" s="1" t="s">
        <v>742</v>
      </c>
      <c r="E318" s="1" t="s">
        <v>985</v>
      </c>
      <c r="F318" s="1">
        <v>13.0</v>
      </c>
      <c r="G318" s="1">
        <v>6.0</v>
      </c>
      <c r="H318" s="1">
        <v>7.0</v>
      </c>
      <c r="I318" s="1">
        <v>13.0</v>
      </c>
      <c r="J318" s="1">
        <v>6.0</v>
      </c>
      <c r="K318" s="1">
        <v>7.0</v>
      </c>
      <c r="L318" s="1">
        <v>31.0</v>
      </c>
      <c r="M318" s="1">
        <v>31.0</v>
      </c>
      <c r="N318" s="1">
        <v>11.0</v>
      </c>
      <c r="O318" s="1">
        <v>15.0</v>
      </c>
      <c r="P318" s="1">
        <v>15.0</v>
      </c>
      <c r="Q318" s="1">
        <v>19.0</v>
      </c>
    </row>
    <row r="319">
      <c r="A319" s="1">
        <v>5872.0</v>
      </c>
      <c r="B319" s="1" t="s">
        <v>492</v>
      </c>
      <c r="C319" s="1" t="s">
        <v>934</v>
      </c>
      <c r="D319" s="1" t="s">
        <v>726</v>
      </c>
      <c r="E319" s="1" t="s">
        <v>998</v>
      </c>
      <c r="F319" s="1">
        <v>8.0</v>
      </c>
      <c r="G319" s="1">
        <v>1.0</v>
      </c>
      <c r="H319" s="1">
        <v>7.0</v>
      </c>
      <c r="I319" s="1">
        <v>8.0</v>
      </c>
      <c r="J319" s="1">
        <v>1.0</v>
      </c>
      <c r="K319" s="1">
        <v>7.0</v>
      </c>
      <c r="L319" s="1">
        <v>22.0</v>
      </c>
      <c r="M319" s="1">
        <v>22.0</v>
      </c>
      <c r="N319" s="1" t="e">
        <v>#N/A</v>
      </c>
      <c r="O319" s="1" t="e">
        <v>#N/A</v>
      </c>
      <c r="P319" s="1" t="e">
        <v>#N/A</v>
      </c>
      <c r="Q319" s="1" t="e">
        <v>#N/A</v>
      </c>
    </row>
    <row r="320">
      <c r="A320" s="1">
        <v>5875.0</v>
      </c>
      <c r="B320" s="1" t="s">
        <v>492</v>
      </c>
      <c r="C320" s="1" t="s">
        <v>930</v>
      </c>
      <c r="D320" s="1" t="s">
        <v>679</v>
      </c>
      <c r="E320" s="1" t="s">
        <v>1033</v>
      </c>
      <c r="F320" s="1">
        <v>16.0</v>
      </c>
      <c r="G320" s="1">
        <v>5.0</v>
      </c>
      <c r="H320" s="1">
        <v>11.0</v>
      </c>
      <c r="I320" s="1">
        <v>16.0</v>
      </c>
      <c r="J320" s="1">
        <v>6.0</v>
      </c>
      <c r="K320" s="1">
        <v>10.0</v>
      </c>
      <c r="L320" s="1">
        <v>32.0</v>
      </c>
      <c r="M320" s="1">
        <v>42.0</v>
      </c>
      <c r="N320" s="1">
        <v>17.0</v>
      </c>
      <c r="O320" s="1">
        <v>5.0</v>
      </c>
      <c r="P320" s="1">
        <v>3.0</v>
      </c>
      <c r="Q320" s="1">
        <v>27.0</v>
      </c>
    </row>
    <row r="321">
      <c r="A321" s="1">
        <v>5876.0</v>
      </c>
      <c r="B321" s="1" t="s">
        <v>477</v>
      </c>
      <c r="C321" s="1" t="s">
        <v>478</v>
      </c>
      <c r="D321" s="1" t="s">
        <v>295</v>
      </c>
      <c r="E321" s="1" t="s">
        <v>976</v>
      </c>
      <c r="F321" s="1">
        <v>14.0</v>
      </c>
      <c r="G321" s="1">
        <v>17.0</v>
      </c>
      <c r="H321" s="1">
        <v>-3.0</v>
      </c>
      <c r="I321" s="1">
        <v>14.0</v>
      </c>
      <c r="J321" s="1">
        <v>17.0</v>
      </c>
      <c r="K321" s="1">
        <v>-3.0</v>
      </c>
      <c r="L321" s="1">
        <v>83.0</v>
      </c>
      <c r="M321" s="1">
        <v>83.0</v>
      </c>
      <c r="N321" s="1">
        <v>100.0</v>
      </c>
      <c r="O321" s="1">
        <v>80.0</v>
      </c>
      <c r="P321" s="1">
        <v>37.0</v>
      </c>
      <c r="Q321" s="1">
        <v>86.0</v>
      </c>
    </row>
    <row r="322">
      <c r="A322" s="1">
        <v>5877.0</v>
      </c>
      <c r="B322" s="1" t="s">
        <v>480</v>
      </c>
      <c r="C322" s="1" t="s">
        <v>521</v>
      </c>
      <c r="D322" s="1" t="s">
        <v>330</v>
      </c>
      <c r="E322" s="1" t="s">
        <v>973</v>
      </c>
      <c r="F322" s="1">
        <v>17.0</v>
      </c>
      <c r="G322" s="1">
        <v>9.0</v>
      </c>
      <c r="H322" s="1">
        <v>8.0</v>
      </c>
      <c r="I322" s="1">
        <v>17.0</v>
      </c>
      <c r="J322" s="1">
        <v>8.0</v>
      </c>
      <c r="K322" s="1">
        <v>9.0</v>
      </c>
      <c r="L322" s="1">
        <v>33.0</v>
      </c>
      <c r="M322" s="1">
        <v>33.0</v>
      </c>
      <c r="N322" s="1">
        <v>16.0</v>
      </c>
      <c r="O322" s="1">
        <v>27.0</v>
      </c>
      <c r="P322" s="1">
        <v>30.0</v>
      </c>
      <c r="Q322" s="1">
        <v>23.0</v>
      </c>
    </row>
    <row r="323">
      <c r="A323" s="1">
        <v>5878.0</v>
      </c>
      <c r="B323" s="1" t="s">
        <v>492</v>
      </c>
      <c r="C323" s="1" t="s">
        <v>543</v>
      </c>
      <c r="D323" s="1" t="s">
        <v>817</v>
      </c>
      <c r="E323" s="1" t="s">
        <v>1033</v>
      </c>
      <c r="F323" s="1">
        <v>11.0</v>
      </c>
      <c r="G323" s="1">
        <v>23.0</v>
      </c>
      <c r="H323" s="1">
        <v>-12.0</v>
      </c>
      <c r="I323" s="1">
        <v>11.0</v>
      </c>
      <c r="J323" s="1">
        <v>22.0</v>
      </c>
      <c r="K323" s="1">
        <v>-11.0</v>
      </c>
      <c r="L323" s="1">
        <v>10.0</v>
      </c>
      <c r="M323" s="1">
        <v>10.0</v>
      </c>
      <c r="N323" s="1">
        <v>86.0</v>
      </c>
      <c r="O323" s="1">
        <v>105.0</v>
      </c>
      <c r="P323" s="1">
        <v>25.0</v>
      </c>
      <c r="Q323" s="1">
        <v>47.0</v>
      </c>
    </row>
    <row r="324">
      <c r="A324" s="1">
        <v>5879.0</v>
      </c>
      <c r="B324" s="1" t="s">
        <v>492</v>
      </c>
      <c r="C324" s="1" t="s">
        <v>947</v>
      </c>
      <c r="D324" s="1" t="s">
        <v>1285</v>
      </c>
      <c r="E324" s="1" t="s">
        <v>1225</v>
      </c>
      <c r="F324" s="1">
        <v>1.0</v>
      </c>
      <c r="G324" s="1">
        <v>2.0</v>
      </c>
      <c r="H324" s="1">
        <v>-1.0</v>
      </c>
      <c r="I324" s="1">
        <v>1.0</v>
      </c>
      <c r="J324" s="1">
        <v>2.0</v>
      </c>
      <c r="K324" s="1">
        <v>-1.0</v>
      </c>
      <c r="L324" s="1">
        <v>9.0</v>
      </c>
      <c r="M324" s="1">
        <v>9.0</v>
      </c>
      <c r="N324" s="1">
        <v>4.0</v>
      </c>
      <c r="O324" s="1">
        <v>10.0</v>
      </c>
      <c r="P324" s="1">
        <v>1.0</v>
      </c>
      <c r="Q324" s="1">
        <v>6.0</v>
      </c>
    </row>
    <row r="325">
      <c r="A325" s="1">
        <v>5880.0</v>
      </c>
      <c r="B325" s="1" t="s">
        <v>492</v>
      </c>
      <c r="C325" s="1" t="s">
        <v>1089</v>
      </c>
      <c r="D325" s="1" t="s">
        <v>1286</v>
      </c>
      <c r="E325" s="1" t="s">
        <v>1225</v>
      </c>
      <c r="F325" s="1">
        <v>7.0</v>
      </c>
      <c r="G325" s="1">
        <v>5.0</v>
      </c>
      <c r="H325" s="1">
        <v>2.0</v>
      </c>
      <c r="I325" s="1">
        <v>7.0</v>
      </c>
      <c r="J325" s="1">
        <v>6.0</v>
      </c>
      <c r="K325" s="1">
        <v>1.0</v>
      </c>
      <c r="L325" s="1">
        <v>10.0</v>
      </c>
      <c r="M325" s="1">
        <v>13.0</v>
      </c>
      <c r="N325" s="1">
        <v>10.0</v>
      </c>
      <c r="O325" s="1">
        <v>22.0</v>
      </c>
      <c r="P325" s="1">
        <v>46.0</v>
      </c>
      <c r="Q325" s="1">
        <v>11.0</v>
      </c>
    </row>
    <row r="326">
      <c r="A326" s="1">
        <v>5881.0</v>
      </c>
      <c r="B326" s="1" t="s">
        <v>507</v>
      </c>
      <c r="C326" s="1" t="s">
        <v>512</v>
      </c>
      <c r="D326" s="1" t="s">
        <v>1287</v>
      </c>
      <c r="E326" s="1" t="s">
        <v>1233</v>
      </c>
      <c r="F326" s="1">
        <v>9.0</v>
      </c>
      <c r="G326" s="1">
        <v>5.0</v>
      </c>
      <c r="H326" s="1">
        <v>4.0</v>
      </c>
      <c r="I326" s="1">
        <v>9.0</v>
      </c>
      <c r="J326" s="1">
        <v>4.0</v>
      </c>
      <c r="K326" s="1">
        <v>5.0</v>
      </c>
      <c r="L326" s="1">
        <v>12.0</v>
      </c>
      <c r="M326" s="1">
        <v>10.0</v>
      </c>
      <c r="N326" s="1">
        <v>10.0</v>
      </c>
      <c r="O326" s="1" t="e">
        <v>#N/A</v>
      </c>
      <c r="P326" s="1" t="e">
        <v>#N/A</v>
      </c>
      <c r="Q326" s="1">
        <v>9.0</v>
      </c>
    </row>
    <row r="327">
      <c r="A327" s="1">
        <v>5882.0</v>
      </c>
      <c r="B327" s="1" t="s">
        <v>507</v>
      </c>
      <c r="C327" s="1" t="s">
        <v>507</v>
      </c>
      <c r="D327" s="1" t="s">
        <v>625</v>
      </c>
      <c r="E327" s="1" t="s">
        <v>1225</v>
      </c>
      <c r="F327" s="1">
        <v>12.0</v>
      </c>
      <c r="G327" s="1">
        <v>10.0</v>
      </c>
      <c r="H327" s="1">
        <v>2.0</v>
      </c>
      <c r="I327" s="1">
        <v>12.0</v>
      </c>
      <c r="J327" s="1">
        <v>10.0</v>
      </c>
      <c r="K327" s="1">
        <v>2.0</v>
      </c>
      <c r="L327" s="1">
        <v>18.0</v>
      </c>
      <c r="M327" s="1">
        <v>18.0</v>
      </c>
      <c r="N327" s="1">
        <v>22.0</v>
      </c>
      <c r="O327" s="1">
        <v>33.0</v>
      </c>
      <c r="P327" s="1">
        <v>18.0</v>
      </c>
      <c r="Q327" s="1">
        <v>19.0</v>
      </c>
    </row>
    <row r="328">
      <c r="A328" s="1">
        <v>5885.0</v>
      </c>
      <c r="B328" s="1" t="s">
        <v>480</v>
      </c>
      <c r="C328" s="1" t="s">
        <v>938</v>
      </c>
      <c r="D328" s="1" t="s">
        <v>722</v>
      </c>
      <c r="E328" s="1" t="s">
        <v>1033</v>
      </c>
      <c r="F328" s="1">
        <v>13.0</v>
      </c>
      <c r="G328" s="1">
        <v>9.0</v>
      </c>
      <c r="H328" s="1">
        <v>4.0</v>
      </c>
      <c r="I328" s="1">
        <v>13.0</v>
      </c>
      <c r="J328" s="1">
        <v>9.0</v>
      </c>
      <c r="K328" s="1">
        <v>4.0</v>
      </c>
      <c r="L328" s="1">
        <v>46.0</v>
      </c>
      <c r="M328" s="1">
        <v>46.0</v>
      </c>
      <c r="N328" s="1">
        <v>25.0</v>
      </c>
      <c r="O328" s="1">
        <v>15.0</v>
      </c>
      <c r="P328" s="1">
        <v>22.0</v>
      </c>
      <c r="Q328" s="1">
        <v>33.0</v>
      </c>
    </row>
    <row r="329">
      <c r="A329" s="1">
        <v>5888.0</v>
      </c>
      <c r="B329" s="1" t="s">
        <v>492</v>
      </c>
      <c r="C329" s="1" t="s">
        <v>934</v>
      </c>
      <c r="D329" s="1" t="s">
        <v>150</v>
      </c>
      <c r="E329" s="1" t="s">
        <v>972</v>
      </c>
      <c r="F329" s="1">
        <v>11.0</v>
      </c>
      <c r="G329" s="1">
        <v>10.0</v>
      </c>
      <c r="H329" s="1">
        <v>1.0</v>
      </c>
      <c r="I329" s="1">
        <v>12.0</v>
      </c>
      <c r="J329" s="1">
        <v>11.0</v>
      </c>
      <c r="K329" s="1">
        <v>1.0</v>
      </c>
      <c r="L329" s="1">
        <v>24.0</v>
      </c>
      <c r="M329" s="1">
        <v>24.0</v>
      </c>
      <c r="N329" s="1" t="e">
        <v>#N/A</v>
      </c>
      <c r="O329" s="1" t="e">
        <v>#N/A</v>
      </c>
      <c r="P329" s="1" t="e">
        <v>#N/A</v>
      </c>
      <c r="Q329" s="1" t="e">
        <v>#N/A</v>
      </c>
    </row>
    <row r="330">
      <c r="A330" s="1">
        <v>5899.0</v>
      </c>
      <c r="B330" s="1" t="s">
        <v>480</v>
      </c>
      <c r="C330" s="1" t="s">
        <v>481</v>
      </c>
      <c r="D330" s="1" t="s">
        <v>661</v>
      </c>
      <c r="E330" s="1" t="s">
        <v>1000</v>
      </c>
      <c r="F330" s="1">
        <v>11.0</v>
      </c>
      <c r="G330" s="1">
        <v>8.0</v>
      </c>
      <c r="H330" s="1">
        <v>3.0</v>
      </c>
      <c r="I330" s="1">
        <v>11.0</v>
      </c>
      <c r="J330" s="1">
        <v>8.0</v>
      </c>
      <c r="K330" s="1">
        <v>3.0</v>
      </c>
      <c r="L330" s="1">
        <v>13.0</v>
      </c>
      <c r="M330" s="1">
        <v>13.0</v>
      </c>
      <c r="N330" s="1">
        <v>19.0</v>
      </c>
      <c r="O330" s="1" t="e">
        <v>#N/A</v>
      </c>
      <c r="P330" s="1" t="e">
        <v>#N/A</v>
      </c>
      <c r="Q330" s="1">
        <v>15.0</v>
      </c>
    </row>
    <row r="331">
      <c r="A331" s="1">
        <v>5900.0</v>
      </c>
      <c r="B331" s="1" t="s">
        <v>480</v>
      </c>
      <c r="C331" s="1" t="s">
        <v>481</v>
      </c>
      <c r="D331" s="1" t="s">
        <v>1288</v>
      </c>
      <c r="E331" s="1" t="s">
        <v>993</v>
      </c>
      <c r="F331" s="1">
        <v>1.0</v>
      </c>
      <c r="G331" s="1">
        <v>3.0</v>
      </c>
      <c r="H331" s="1">
        <v>-2.0</v>
      </c>
      <c r="I331" s="1">
        <v>1.0</v>
      </c>
      <c r="J331" s="1">
        <v>3.0</v>
      </c>
      <c r="K331" s="1">
        <v>-2.0</v>
      </c>
      <c r="L331" s="1">
        <v>7.0</v>
      </c>
      <c r="M331" s="1">
        <v>7.0</v>
      </c>
      <c r="N331" s="1">
        <v>5.0</v>
      </c>
      <c r="O331" s="1" t="e">
        <v>#N/A</v>
      </c>
      <c r="P331" s="1" t="e">
        <v>#N/A</v>
      </c>
      <c r="Q331" s="1">
        <v>6.0</v>
      </c>
    </row>
    <row r="332">
      <c r="A332" s="1">
        <v>5919.0</v>
      </c>
      <c r="B332" s="1" t="s">
        <v>492</v>
      </c>
      <c r="C332" s="1" t="s">
        <v>563</v>
      </c>
      <c r="D332" s="1" t="s">
        <v>741</v>
      </c>
      <c r="E332" s="1" t="s">
        <v>1000</v>
      </c>
      <c r="F332" s="1">
        <v>3.0</v>
      </c>
      <c r="G332" s="1">
        <v>9.0</v>
      </c>
      <c r="H332" s="1">
        <v>-6.0</v>
      </c>
      <c r="I332" s="1">
        <v>3.0</v>
      </c>
      <c r="J332" s="1">
        <v>9.0</v>
      </c>
      <c r="K332" s="1">
        <v>-6.0</v>
      </c>
      <c r="L332" s="1">
        <v>12.0</v>
      </c>
      <c r="M332" s="1">
        <v>10.0</v>
      </c>
      <c r="N332" s="1">
        <v>15.0</v>
      </c>
      <c r="O332" s="1">
        <v>45.0</v>
      </c>
      <c r="P332" s="1">
        <v>3.0</v>
      </c>
      <c r="Q332" s="1">
        <v>12.0</v>
      </c>
    </row>
    <row r="333">
      <c r="A333" s="1">
        <v>5951.0</v>
      </c>
      <c r="B333" s="1" t="s">
        <v>507</v>
      </c>
      <c r="C333" s="1" t="s">
        <v>512</v>
      </c>
      <c r="D333" s="1" t="s">
        <v>906</v>
      </c>
      <c r="E333" s="1" t="s">
        <v>976</v>
      </c>
      <c r="F333" s="1">
        <v>20.0</v>
      </c>
      <c r="G333" s="1">
        <v>16.0</v>
      </c>
      <c r="H333" s="1">
        <v>4.0</v>
      </c>
      <c r="I333" s="1">
        <v>20.0</v>
      </c>
      <c r="J333" s="1">
        <v>16.0</v>
      </c>
      <c r="K333" s="1">
        <v>4.0</v>
      </c>
      <c r="L333" s="1">
        <v>178.0</v>
      </c>
      <c r="M333" s="1">
        <v>178.0</v>
      </c>
      <c r="N333" s="1">
        <v>29.0</v>
      </c>
      <c r="O333" s="1" t="e">
        <v>#N/A</v>
      </c>
      <c r="P333" s="1" t="e">
        <v>#N/A</v>
      </c>
      <c r="Q333" s="1">
        <v>93.0</v>
      </c>
    </row>
    <row r="334">
      <c r="A334" s="1">
        <v>5992.0</v>
      </c>
      <c r="B334" s="1" t="s">
        <v>492</v>
      </c>
      <c r="C334" s="1" t="s">
        <v>930</v>
      </c>
      <c r="D334" s="1" t="s">
        <v>1013</v>
      </c>
      <c r="E334" s="1" t="s">
        <v>991</v>
      </c>
      <c r="F334" s="1">
        <v>3.0</v>
      </c>
      <c r="G334" s="1">
        <v>3.0</v>
      </c>
      <c r="H334" s="1">
        <v>0.0</v>
      </c>
      <c r="I334" s="1">
        <v>3.0</v>
      </c>
      <c r="J334" s="1">
        <v>3.0</v>
      </c>
      <c r="K334" s="1">
        <v>0.0</v>
      </c>
      <c r="L334" s="1">
        <v>11.0</v>
      </c>
      <c r="M334" s="1">
        <v>14.0</v>
      </c>
      <c r="N334" s="1">
        <v>5.0</v>
      </c>
      <c r="O334" s="1">
        <v>1.0</v>
      </c>
      <c r="P334" s="1">
        <v>1.0</v>
      </c>
      <c r="Q334" s="1">
        <v>9.0</v>
      </c>
    </row>
    <row r="335">
      <c r="A335" s="1">
        <v>5995.0</v>
      </c>
      <c r="B335" s="1" t="s">
        <v>507</v>
      </c>
      <c r="C335" s="1" t="s">
        <v>507</v>
      </c>
      <c r="D335" s="1" t="s">
        <v>785</v>
      </c>
      <c r="E335" s="1" t="s">
        <v>980</v>
      </c>
      <c r="F335" s="1">
        <v>21.0</v>
      </c>
      <c r="G335" s="1">
        <v>21.0</v>
      </c>
      <c r="H335" s="1">
        <v>0.0</v>
      </c>
      <c r="I335" s="1">
        <v>21.0</v>
      </c>
      <c r="J335" s="1">
        <v>21.0</v>
      </c>
      <c r="K335" s="1">
        <v>0.0</v>
      </c>
      <c r="L335" s="1">
        <v>81.0</v>
      </c>
      <c r="M335" s="1">
        <v>81.0</v>
      </c>
      <c r="N335" s="1">
        <v>150.0</v>
      </c>
      <c r="O335" s="1">
        <v>270.0</v>
      </c>
      <c r="P335" s="1">
        <v>37.0</v>
      </c>
      <c r="Q335" s="1">
        <v>110.0</v>
      </c>
    </row>
    <row r="336">
      <c r="A336" s="1">
        <v>5998.0</v>
      </c>
      <c r="B336" s="1" t="s">
        <v>492</v>
      </c>
      <c r="C336" s="1" t="s">
        <v>1089</v>
      </c>
      <c r="D336" s="1" t="s">
        <v>460</v>
      </c>
      <c r="E336" s="1" t="s">
        <v>1233</v>
      </c>
      <c r="F336" s="1">
        <v>11.0</v>
      </c>
      <c r="G336" s="1">
        <v>2.0</v>
      </c>
      <c r="H336" s="1">
        <v>9.0</v>
      </c>
      <c r="I336" s="1">
        <v>11.0</v>
      </c>
      <c r="J336" s="1">
        <v>2.0</v>
      </c>
      <c r="K336" s="1">
        <v>9.0</v>
      </c>
      <c r="L336" s="1">
        <v>20.0</v>
      </c>
      <c r="M336" s="1">
        <v>23.0</v>
      </c>
      <c r="N336" s="1">
        <v>4.0</v>
      </c>
      <c r="O336" s="1">
        <v>22.0</v>
      </c>
      <c r="P336" s="1">
        <v>1.0</v>
      </c>
      <c r="Q336" s="1">
        <v>12.0</v>
      </c>
    </row>
    <row r="337">
      <c r="A337" s="1">
        <v>6001.0</v>
      </c>
      <c r="B337" s="1" t="s">
        <v>507</v>
      </c>
      <c r="C337" s="1" t="s">
        <v>935</v>
      </c>
      <c r="D337" s="1" t="s">
        <v>997</v>
      </c>
      <c r="E337" s="1" t="s">
        <v>998</v>
      </c>
      <c r="F337" s="1">
        <v>2.0</v>
      </c>
      <c r="G337" s="1">
        <v>9.0</v>
      </c>
      <c r="H337" s="1">
        <v>-7.0</v>
      </c>
      <c r="I337" s="1">
        <v>2.0</v>
      </c>
      <c r="J337" s="1">
        <v>10.0</v>
      </c>
      <c r="K337" s="1">
        <v>-8.0</v>
      </c>
      <c r="L337" s="1">
        <v>9.0</v>
      </c>
      <c r="M337" s="1">
        <v>9.0</v>
      </c>
      <c r="N337" s="1">
        <v>16.0</v>
      </c>
      <c r="O337" s="1">
        <v>20.0</v>
      </c>
      <c r="P337" s="1">
        <v>16.0</v>
      </c>
      <c r="Q337" s="1">
        <v>12.0</v>
      </c>
    </row>
    <row r="338">
      <c r="A338" s="1">
        <v>6010.0</v>
      </c>
      <c r="B338" s="1" t="s">
        <v>492</v>
      </c>
      <c r="C338" s="1" t="s">
        <v>934</v>
      </c>
      <c r="D338" s="1" t="s">
        <v>285</v>
      </c>
      <c r="E338" s="1" t="s">
        <v>1222</v>
      </c>
      <c r="F338" s="1">
        <v>16.0</v>
      </c>
      <c r="G338" s="1">
        <v>4.0</v>
      </c>
      <c r="H338" s="1">
        <v>12.0</v>
      </c>
      <c r="I338" s="1">
        <v>16.0</v>
      </c>
      <c r="J338" s="1">
        <v>4.0</v>
      </c>
      <c r="K338" s="1">
        <v>12.0</v>
      </c>
      <c r="L338" s="1">
        <v>61.0</v>
      </c>
      <c r="M338" s="1">
        <v>61.0</v>
      </c>
      <c r="N338" s="1">
        <v>19.0</v>
      </c>
      <c r="O338" s="1">
        <v>12.0</v>
      </c>
      <c r="P338" s="1">
        <v>10.0</v>
      </c>
      <c r="Q338" s="1">
        <v>36.0</v>
      </c>
    </row>
    <row r="339">
      <c r="A339" s="1">
        <v>6015.0</v>
      </c>
      <c r="B339" s="1" t="s">
        <v>492</v>
      </c>
      <c r="C339" s="1" t="s">
        <v>934</v>
      </c>
      <c r="D339" s="1" t="s">
        <v>1006</v>
      </c>
      <c r="E339" s="1" t="s">
        <v>998</v>
      </c>
      <c r="F339" s="1">
        <v>7.0</v>
      </c>
      <c r="G339" s="1">
        <v>1.0</v>
      </c>
      <c r="H339" s="1">
        <v>6.0</v>
      </c>
      <c r="I339" s="1">
        <v>7.0</v>
      </c>
      <c r="J339" s="1">
        <v>1.0</v>
      </c>
      <c r="K339" s="1">
        <v>6.0</v>
      </c>
      <c r="L339" s="1">
        <v>9.0</v>
      </c>
      <c r="M339" s="1">
        <v>9.0</v>
      </c>
      <c r="N339" s="1" t="e">
        <v>#N/A</v>
      </c>
      <c r="O339" s="1" t="e">
        <v>#N/A</v>
      </c>
      <c r="P339" s="1" t="e">
        <v>#N/A</v>
      </c>
      <c r="Q339" s="1" t="e">
        <v>#N/A</v>
      </c>
    </row>
    <row r="340">
      <c r="A340" s="1">
        <v>6020.0</v>
      </c>
      <c r="B340" s="1" t="s">
        <v>492</v>
      </c>
      <c r="C340" s="1" t="s">
        <v>1056</v>
      </c>
      <c r="D340" s="1" t="s">
        <v>901</v>
      </c>
      <c r="E340" s="1" t="s">
        <v>1233</v>
      </c>
      <c r="F340" s="1">
        <v>13.0</v>
      </c>
      <c r="G340" s="1">
        <v>2.0</v>
      </c>
      <c r="H340" s="1">
        <v>11.0</v>
      </c>
      <c r="I340" s="1">
        <v>13.0</v>
      </c>
      <c r="J340" s="1">
        <v>2.0</v>
      </c>
      <c r="K340" s="1">
        <v>11.0</v>
      </c>
      <c r="L340" s="1">
        <v>18.0</v>
      </c>
      <c r="M340" s="1">
        <v>21.0</v>
      </c>
      <c r="N340" s="1">
        <v>11.0</v>
      </c>
      <c r="O340" s="1" t="e">
        <v>#N/A</v>
      </c>
      <c r="P340" s="1" t="e">
        <v>#N/A</v>
      </c>
      <c r="Q340" s="1">
        <v>15.0</v>
      </c>
    </row>
    <row r="341">
      <c r="A341" s="1">
        <v>6024.0</v>
      </c>
      <c r="B341" s="1" t="s">
        <v>492</v>
      </c>
      <c r="C341" s="1" t="s">
        <v>930</v>
      </c>
      <c r="D341" s="1" t="s">
        <v>1191</v>
      </c>
      <c r="E341" s="1" t="s">
        <v>980</v>
      </c>
      <c r="F341" s="1">
        <v>9.0</v>
      </c>
      <c r="G341" s="1">
        <v>2.0</v>
      </c>
      <c r="H341" s="1">
        <v>7.0</v>
      </c>
      <c r="I341" s="1">
        <v>9.0</v>
      </c>
      <c r="J341" s="1">
        <v>3.0</v>
      </c>
      <c r="K341" s="1">
        <v>6.0</v>
      </c>
      <c r="L341" s="1">
        <v>7.0</v>
      </c>
      <c r="M341" s="1">
        <v>10.0</v>
      </c>
      <c r="N341" s="1">
        <v>5.0</v>
      </c>
      <c r="O341" s="1">
        <v>10.0</v>
      </c>
      <c r="P341" s="1">
        <v>5.0</v>
      </c>
      <c r="Q341" s="1">
        <v>7.0</v>
      </c>
    </row>
    <row r="342">
      <c r="A342" s="1">
        <v>6039.0</v>
      </c>
      <c r="B342" s="1" t="s">
        <v>480</v>
      </c>
      <c r="C342" s="1" t="s">
        <v>979</v>
      </c>
      <c r="D342" s="1" t="s">
        <v>746</v>
      </c>
      <c r="E342" s="1" t="s">
        <v>976</v>
      </c>
      <c r="F342" s="1">
        <v>2.0</v>
      </c>
      <c r="G342" s="1">
        <v>5.0</v>
      </c>
      <c r="H342" s="1">
        <v>-3.0</v>
      </c>
      <c r="I342" s="1">
        <v>2.0</v>
      </c>
      <c r="J342" s="1">
        <v>6.0</v>
      </c>
      <c r="K342" s="1">
        <v>-4.0</v>
      </c>
      <c r="L342" s="1">
        <v>8.0</v>
      </c>
      <c r="M342" s="1">
        <v>8.0</v>
      </c>
      <c r="N342" s="1">
        <v>18.0</v>
      </c>
      <c r="O342" s="1">
        <v>10.0</v>
      </c>
      <c r="P342" s="1">
        <v>5.0</v>
      </c>
      <c r="Q342" s="1">
        <v>12.0</v>
      </c>
    </row>
    <row r="343">
      <c r="A343" s="1">
        <v>6041.0</v>
      </c>
      <c r="B343" s="1" t="s">
        <v>480</v>
      </c>
      <c r="C343" s="1" t="s">
        <v>481</v>
      </c>
      <c r="D343" s="1" t="s">
        <v>1174</v>
      </c>
      <c r="E343" s="1" t="s">
        <v>972</v>
      </c>
      <c r="F343" s="1">
        <v>1.0</v>
      </c>
      <c r="G343" s="1">
        <v>7.0</v>
      </c>
      <c r="H343" s="1">
        <v>-6.0</v>
      </c>
      <c r="I343" s="1">
        <v>1.0</v>
      </c>
      <c r="J343" s="1">
        <v>7.0</v>
      </c>
      <c r="K343" s="1">
        <v>-6.0</v>
      </c>
      <c r="L343" s="1">
        <v>7.0</v>
      </c>
      <c r="M343" s="1">
        <v>7.0</v>
      </c>
      <c r="N343" s="1">
        <v>10.0</v>
      </c>
      <c r="O343" s="1">
        <v>10.0</v>
      </c>
      <c r="P343" s="1">
        <v>46.0</v>
      </c>
      <c r="Q343" s="1">
        <v>8.0</v>
      </c>
    </row>
    <row r="344">
      <c r="A344" s="1">
        <v>6042.0</v>
      </c>
      <c r="B344" s="1" t="s">
        <v>480</v>
      </c>
      <c r="C344" s="1" t="s">
        <v>481</v>
      </c>
      <c r="D344" s="1" t="s">
        <v>813</v>
      </c>
      <c r="E344" s="1" t="s">
        <v>1009</v>
      </c>
      <c r="F344" s="1">
        <v>5.0</v>
      </c>
      <c r="G344" s="1">
        <v>7.0</v>
      </c>
      <c r="H344" s="1">
        <v>-2.0</v>
      </c>
      <c r="I344" s="1">
        <v>5.0</v>
      </c>
      <c r="J344" s="1">
        <v>7.0</v>
      </c>
      <c r="K344" s="1">
        <v>-2.0</v>
      </c>
      <c r="L344" s="1">
        <v>16.0</v>
      </c>
      <c r="M344" s="1">
        <v>16.0</v>
      </c>
      <c r="N344" s="1">
        <v>14.0</v>
      </c>
      <c r="O344" s="1">
        <v>23.0</v>
      </c>
      <c r="P344" s="1">
        <v>16.0</v>
      </c>
      <c r="Q344" s="1">
        <v>14.0</v>
      </c>
    </row>
    <row r="345">
      <c r="A345" s="1">
        <v>6046.0</v>
      </c>
      <c r="B345" s="1" t="s">
        <v>480</v>
      </c>
      <c r="C345" s="1" t="s">
        <v>481</v>
      </c>
      <c r="D345" s="1" t="s">
        <v>781</v>
      </c>
      <c r="E345" s="1" t="s">
        <v>980</v>
      </c>
      <c r="F345" s="1">
        <v>5.0</v>
      </c>
      <c r="G345" s="1">
        <v>8.0</v>
      </c>
      <c r="H345" s="1">
        <v>-3.0</v>
      </c>
      <c r="I345" s="1">
        <v>5.0</v>
      </c>
      <c r="J345" s="1">
        <v>8.0</v>
      </c>
      <c r="K345" s="1">
        <v>-3.0</v>
      </c>
      <c r="L345" s="1">
        <v>21.0</v>
      </c>
      <c r="M345" s="1">
        <v>21.0</v>
      </c>
      <c r="N345" s="1">
        <v>21.0</v>
      </c>
      <c r="O345" s="1">
        <v>28.0</v>
      </c>
      <c r="P345" s="1">
        <v>15.0</v>
      </c>
      <c r="Q345" s="1">
        <v>20.0</v>
      </c>
    </row>
    <row r="346">
      <c r="A346" s="1">
        <v>6047.0</v>
      </c>
      <c r="B346" s="1" t="s">
        <v>480</v>
      </c>
      <c r="C346" s="1" t="s">
        <v>938</v>
      </c>
      <c r="D346" s="1" t="s">
        <v>1053</v>
      </c>
      <c r="E346" s="1" t="s">
        <v>993</v>
      </c>
      <c r="F346" s="1">
        <v>6.0</v>
      </c>
      <c r="G346" s="1">
        <v>5.0</v>
      </c>
      <c r="H346" s="1">
        <v>1.0</v>
      </c>
      <c r="I346" s="1">
        <v>6.0</v>
      </c>
      <c r="J346" s="1">
        <v>5.0</v>
      </c>
      <c r="K346" s="1">
        <v>1.0</v>
      </c>
      <c r="L346" s="1">
        <v>11.0</v>
      </c>
      <c r="M346" s="1">
        <v>11.0</v>
      </c>
      <c r="N346" s="1">
        <v>8.0</v>
      </c>
      <c r="O346" s="1">
        <v>6.0</v>
      </c>
      <c r="P346" s="1">
        <v>6.0</v>
      </c>
      <c r="Q346" s="1">
        <v>9.0</v>
      </c>
    </row>
    <row r="347">
      <c r="A347" s="1">
        <v>6054.0</v>
      </c>
      <c r="B347" s="1" t="s">
        <v>492</v>
      </c>
      <c r="C347" s="1" t="s">
        <v>930</v>
      </c>
      <c r="D347" s="1" t="s">
        <v>826</v>
      </c>
      <c r="E347" s="1" t="s">
        <v>1009</v>
      </c>
      <c r="F347" s="1">
        <v>4.0</v>
      </c>
      <c r="G347" s="1">
        <v>2.0</v>
      </c>
      <c r="H347" s="1">
        <v>2.0</v>
      </c>
      <c r="I347" s="1">
        <v>4.0</v>
      </c>
      <c r="J347" s="1">
        <v>2.0</v>
      </c>
      <c r="K347" s="1">
        <v>2.0</v>
      </c>
      <c r="L347" s="1">
        <v>12.0</v>
      </c>
      <c r="M347" s="1">
        <v>15.0</v>
      </c>
      <c r="N347" s="1">
        <v>9.0</v>
      </c>
      <c r="O347" s="1">
        <v>20.0</v>
      </c>
      <c r="P347" s="1">
        <v>14.0</v>
      </c>
      <c r="Q347" s="1">
        <v>11.0</v>
      </c>
    </row>
    <row r="348">
      <c r="A348" s="1">
        <v>6055.0</v>
      </c>
      <c r="B348" s="1" t="s">
        <v>480</v>
      </c>
      <c r="C348" s="1" t="s">
        <v>481</v>
      </c>
      <c r="D348" s="1" t="s">
        <v>933</v>
      </c>
      <c r="E348" s="1" t="s">
        <v>991</v>
      </c>
      <c r="F348" s="1">
        <v>3.0</v>
      </c>
      <c r="G348" s="1">
        <v>4.0</v>
      </c>
      <c r="H348" s="1">
        <v>-1.0</v>
      </c>
      <c r="I348" s="1">
        <v>3.0</v>
      </c>
      <c r="J348" s="1">
        <v>4.0</v>
      </c>
      <c r="K348" s="1">
        <v>-1.0</v>
      </c>
      <c r="L348" s="1">
        <v>12.0</v>
      </c>
      <c r="M348" s="1">
        <v>12.0</v>
      </c>
      <c r="N348" s="1">
        <v>10.0</v>
      </c>
      <c r="O348" s="1">
        <v>24.0</v>
      </c>
      <c r="P348" s="1">
        <v>27.0</v>
      </c>
      <c r="Q348" s="1">
        <v>10.0</v>
      </c>
    </row>
    <row r="349">
      <c r="A349" s="1">
        <v>6066.0</v>
      </c>
      <c r="B349" s="1" t="s">
        <v>480</v>
      </c>
      <c r="C349" s="1" t="s">
        <v>937</v>
      </c>
      <c r="D349" s="1" t="s">
        <v>346</v>
      </c>
      <c r="E349" s="1" t="s">
        <v>980</v>
      </c>
      <c r="F349" s="1">
        <v>2.0</v>
      </c>
      <c r="G349" s="1">
        <v>8.0</v>
      </c>
      <c r="H349" s="1">
        <v>-6.0</v>
      </c>
      <c r="I349" s="1">
        <v>2.0</v>
      </c>
      <c r="J349" s="1">
        <v>9.0</v>
      </c>
      <c r="K349" s="1">
        <v>-7.0</v>
      </c>
      <c r="L349" s="1">
        <v>13.0</v>
      </c>
      <c r="M349" s="1">
        <v>15.0</v>
      </c>
      <c r="N349" s="1">
        <v>21.0</v>
      </c>
      <c r="O349" s="1">
        <v>40.0</v>
      </c>
      <c r="P349" s="1">
        <v>50.0</v>
      </c>
      <c r="Q349" s="1">
        <v>17.0</v>
      </c>
    </row>
    <row r="350">
      <c r="A350" s="1">
        <v>6119.0</v>
      </c>
      <c r="B350" s="1" t="s">
        <v>507</v>
      </c>
      <c r="C350" s="1" t="s">
        <v>507</v>
      </c>
      <c r="D350" s="1" t="s">
        <v>1291</v>
      </c>
      <c r="E350" s="1" t="s">
        <v>1222</v>
      </c>
      <c r="F350" s="1">
        <v>2.0</v>
      </c>
      <c r="G350" s="1">
        <v>3.0</v>
      </c>
      <c r="H350" s="1">
        <v>-1.0</v>
      </c>
      <c r="I350" s="1">
        <v>2.0</v>
      </c>
      <c r="J350" s="1">
        <v>3.0</v>
      </c>
      <c r="K350" s="1">
        <v>-1.0</v>
      </c>
      <c r="L350" s="1">
        <v>9.0</v>
      </c>
      <c r="M350" s="1">
        <v>9.0</v>
      </c>
      <c r="N350" s="1">
        <v>12.0</v>
      </c>
      <c r="O350" s="1" t="e">
        <v>#N/A</v>
      </c>
      <c r="P350" s="1" t="e">
        <v>#N/A</v>
      </c>
      <c r="Q350" s="1">
        <v>10.0</v>
      </c>
    </row>
    <row r="351">
      <c r="A351" s="1">
        <v>6125.0</v>
      </c>
      <c r="B351" s="1" t="s">
        <v>477</v>
      </c>
      <c r="C351" s="1" t="s">
        <v>478</v>
      </c>
      <c r="D351" s="1" t="s">
        <v>1208</v>
      </c>
      <c r="E351" s="1" t="s">
        <v>1222</v>
      </c>
      <c r="F351" s="1">
        <v>10.0</v>
      </c>
      <c r="G351" s="1">
        <v>5.0</v>
      </c>
      <c r="H351" s="1">
        <v>5.0</v>
      </c>
      <c r="I351" s="1">
        <v>10.0</v>
      </c>
      <c r="J351" s="1">
        <v>5.0</v>
      </c>
      <c r="K351" s="1">
        <v>5.0</v>
      </c>
      <c r="L351" s="1">
        <v>9.0</v>
      </c>
      <c r="M351" s="1">
        <v>9.0</v>
      </c>
      <c r="N351" s="1">
        <v>14.0</v>
      </c>
      <c r="O351" s="1" t="e">
        <v>#N/A</v>
      </c>
      <c r="P351" s="1" t="e">
        <v>#N/A</v>
      </c>
      <c r="Q351" s="1">
        <v>11.0</v>
      </c>
    </row>
    <row r="352">
      <c r="A352" s="1">
        <v>6145.0</v>
      </c>
      <c r="B352" s="1" t="s">
        <v>507</v>
      </c>
      <c r="C352" s="1" t="s">
        <v>935</v>
      </c>
      <c r="D352" s="1" t="s">
        <v>949</v>
      </c>
      <c r="E352" s="1" t="s">
        <v>987</v>
      </c>
      <c r="F352" s="1">
        <v>2.0</v>
      </c>
      <c r="G352" s="1">
        <v>9.0</v>
      </c>
      <c r="H352" s="1">
        <v>-7.0</v>
      </c>
      <c r="I352" s="1">
        <v>2.0</v>
      </c>
      <c r="J352" s="1">
        <v>10.0</v>
      </c>
      <c r="K352" s="1">
        <v>-8.0</v>
      </c>
      <c r="L352" s="1">
        <v>9.0</v>
      </c>
      <c r="M352" s="1">
        <v>11.0</v>
      </c>
      <c r="N352" s="1">
        <v>16.0</v>
      </c>
      <c r="O352" s="1">
        <v>23.0</v>
      </c>
      <c r="P352" s="1">
        <v>52.0</v>
      </c>
      <c r="Q352" s="1">
        <v>13.0</v>
      </c>
    </row>
    <row r="353">
      <c r="A353" s="1">
        <v>6149.0</v>
      </c>
      <c r="B353" s="1" t="s">
        <v>480</v>
      </c>
      <c r="C353" s="1" t="s">
        <v>931</v>
      </c>
      <c r="D353" s="1" t="s">
        <v>1292</v>
      </c>
      <c r="E353" s="1" t="s">
        <v>1233</v>
      </c>
      <c r="F353" s="1">
        <v>1.0</v>
      </c>
      <c r="G353" s="1">
        <v>2.0</v>
      </c>
      <c r="H353" s="1">
        <v>-1.0</v>
      </c>
      <c r="I353" s="1">
        <v>1.0</v>
      </c>
      <c r="J353" s="1">
        <v>2.0</v>
      </c>
      <c r="K353" s="1">
        <v>-1.0</v>
      </c>
      <c r="L353" s="1">
        <v>5.0</v>
      </c>
      <c r="M353" s="1">
        <v>5.0</v>
      </c>
      <c r="N353" s="1">
        <v>4.0</v>
      </c>
      <c r="O353" s="1" t="e">
        <v>#N/A</v>
      </c>
      <c r="P353" s="1">
        <v>1.0</v>
      </c>
      <c r="Q353" s="1">
        <v>4.0</v>
      </c>
    </row>
    <row r="354">
      <c r="A354" s="1">
        <v>6151.0</v>
      </c>
      <c r="B354" s="1" t="s">
        <v>492</v>
      </c>
      <c r="C354" s="1" t="s">
        <v>930</v>
      </c>
      <c r="D354" s="1" t="s">
        <v>1149</v>
      </c>
      <c r="E354" s="1" t="s">
        <v>974</v>
      </c>
      <c r="F354" s="1">
        <v>7.0</v>
      </c>
      <c r="G354" s="1">
        <v>4.0</v>
      </c>
      <c r="H354" s="1">
        <v>3.0</v>
      </c>
      <c r="I354" s="1">
        <v>7.0</v>
      </c>
      <c r="J354" s="1">
        <v>4.0</v>
      </c>
      <c r="K354" s="1">
        <v>3.0</v>
      </c>
      <c r="L354" s="1">
        <v>18.0</v>
      </c>
      <c r="M354" s="1">
        <v>23.0</v>
      </c>
      <c r="N354" s="1">
        <v>6.0</v>
      </c>
      <c r="O354" s="1" t="e">
        <v>#N/A</v>
      </c>
      <c r="P354" s="1" t="e">
        <v>#N/A</v>
      </c>
      <c r="Q354" s="1">
        <v>13.0</v>
      </c>
    </row>
    <row r="355">
      <c r="A355" s="1">
        <v>6159.0</v>
      </c>
      <c r="B355" s="1" t="s">
        <v>507</v>
      </c>
      <c r="C355" s="1" t="s">
        <v>507</v>
      </c>
      <c r="D355" s="1" t="s">
        <v>657</v>
      </c>
      <c r="E355" s="1" t="s">
        <v>983</v>
      </c>
      <c r="F355" s="1">
        <v>13.0</v>
      </c>
      <c r="G355" s="1">
        <v>4.0</v>
      </c>
      <c r="H355" s="1">
        <v>9.0</v>
      </c>
      <c r="I355" s="1">
        <v>13.0</v>
      </c>
      <c r="J355" s="1">
        <v>4.0</v>
      </c>
      <c r="K355" s="1">
        <v>9.0</v>
      </c>
      <c r="L355" s="1">
        <v>20.0</v>
      </c>
      <c r="M355" s="1">
        <v>20.0</v>
      </c>
      <c r="N355" s="1">
        <v>7.0</v>
      </c>
      <c r="O355" s="1" t="e">
        <v>#N/A</v>
      </c>
      <c r="P355" s="1" t="e">
        <v>#N/A</v>
      </c>
      <c r="Q355" s="1">
        <v>12.0</v>
      </c>
    </row>
    <row r="356">
      <c r="A356" s="1">
        <v>6164.0</v>
      </c>
      <c r="B356" s="1" t="s">
        <v>507</v>
      </c>
      <c r="C356" s="1" t="s">
        <v>512</v>
      </c>
      <c r="D356" s="1" t="s">
        <v>232</v>
      </c>
      <c r="E356" s="1" t="s">
        <v>1026</v>
      </c>
      <c r="F356" s="1">
        <v>8.0</v>
      </c>
      <c r="G356" s="1">
        <v>12.0</v>
      </c>
      <c r="H356" s="1">
        <v>-4.0</v>
      </c>
      <c r="I356" s="1">
        <v>8.0</v>
      </c>
      <c r="J356" s="1">
        <v>11.0</v>
      </c>
      <c r="K356" s="1">
        <v>-3.0</v>
      </c>
      <c r="L356" s="1">
        <v>22.0</v>
      </c>
      <c r="M356" s="1">
        <v>19.0</v>
      </c>
      <c r="N356" s="1">
        <v>75.0</v>
      </c>
      <c r="O356" s="1">
        <v>10.0</v>
      </c>
      <c r="P356" s="1">
        <v>24.0</v>
      </c>
      <c r="Q356" s="1">
        <v>45.0</v>
      </c>
    </row>
    <row r="357">
      <c r="A357" s="1">
        <v>6170.0</v>
      </c>
      <c r="B357" s="1" t="s">
        <v>492</v>
      </c>
      <c r="C357" s="1" t="s">
        <v>492</v>
      </c>
      <c r="D357" s="1" t="s">
        <v>160</v>
      </c>
      <c r="E357" s="1" t="s">
        <v>972</v>
      </c>
      <c r="F357" s="1">
        <v>11.0</v>
      </c>
      <c r="G357" s="1">
        <v>4.0</v>
      </c>
      <c r="H357" s="1">
        <v>7.0</v>
      </c>
      <c r="I357" s="1">
        <v>11.0</v>
      </c>
      <c r="J357" s="1">
        <v>4.0</v>
      </c>
      <c r="K357" s="1">
        <v>7.0</v>
      </c>
      <c r="L357" s="1">
        <v>16.0</v>
      </c>
      <c r="M357" s="1">
        <v>16.0</v>
      </c>
      <c r="N357" s="1">
        <v>10.0</v>
      </c>
      <c r="O357" s="1">
        <v>4.0</v>
      </c>
      <c r="P357" s="1">
        <v>1.0</v>
      </c>
      <c r="Q357" s="1">
        <v>12.0</v>
      </c>
    </row>
    <row r="358">
      <c r="A358" s="1">
        <v>6184.0</v>
      </c>
      <c r="B358" s="1" t="s">
        <v>477</v>
      </c>
      <c r="C358" s="1" t="s">
        <v>478</v>
      </c>
      <c r="D358" s="1" t="s">
        <v>796</v>
      </c>
      <c r="E358" s="1" t="s">
        <v>1033</v>
      </c>
      <c r="F358" s="1">
        <v>1.0</v>
      </c>
      <c r="G358" s="1">
        <v>1.0</v>
      </c>
      <c r="H358" s="1">
        <v>0.0</v>
      </c>
      <c r="I358" s="1">
        <v>1.0</v>
      </c>
      <c r="J358" s="1">
        <v>1.0</v>
      </c>
      <c r="K358" s="1">
        <v>0.0</v>
      </c>
      <c r="L358" s="1">
        <v>1.0</v>
      </c>
      <c r="M358" s="1">
        <v>1.0</v>
      </c>
      <c r="N358" s="1">
        <v>1.0</v>
      </c>
      <c r="O358" s="1">
        <v>1.0</v>
      </c>
      <c r="P358" s="1">
        <v>1.0</v>
      </c>
      <c r="Q358" s="1">
        <v>1.0</v>
      </c>
    </row>
    <row r="359">
      <c r="A359" s="1">
        <v>6190.0</v>
      </c>
      <c r="B359" s="1" t="s">
        <v>492</v>
      </c>
      <c r="C359" s="1" t="s">
        <v>492</v>
      </c>
      <c r="D359" s="1" t="s">
        <v>189</v>
      </c>
      <c r="E359" s="1" t="s">
        <v>988</v>
      </c>
      <c r="F359" s="1">
        <v>8.0</v>
      </c>
      <c r="G359" s="1">
        <v>1.0</v>
      </c>
      <c r="H359" s="1">
        <v>7.0</v>
      </c>
      <c r="I359" s="1">
        <v>8.0</v>
      </c>
      <c r="J359" s="1">
        <v>1.0</v>
      </c>
      <c r="K359" s="1">
        <v>7.0</v>
      </c>
      <c r="L359" s="1">
        <v>12.0</v>
      </c>
      <c r="M359" s="1">
        <v>12.0</v>
      </c>
      <c r="N359" s="1">
        <v>1.0</v>
      </c>
      <c r="O359" s="1">
        <v>1.0</v>
      </c>
      <c r="P359" s="1">
        <v>1.0</v>
      </c>
      <c r="Q359" s="1">
        <v>6.0</v>
      </c>
    </row>
    <row r="360">
      <c r="A360" s="1">
        <v>6191.0</v>
      </c>
      <c r="B360" s="1" t="s">
        <v>492</v>
      </c>
      <c r="C360" s="1" t="s">
        <v>930</v>
      </c>
      <c r="D360" s="1" t="s">
        <v>288</v>
      </c>
      <c r="E360" s="1" t="s">
        <v>1000</v>
      </c>
      <c r="F360" s="1">
        <v>3.0</v>
      </c>
      <c r="G360" s="1">
        <v>1.0</v>
      </c>
      <c r="H360" s="1">
        <v>2.0</v>
      </c>
      <c r="I360" s="1">
        <v>3.0</v>
      </c>
      <c r="J360" s="1">
        <v>1.0</v>
      </c>
      <c r="K360" s="1">
        <v>2.0</v>
      </c>
      <c r="L360" s="1">
        <v>11.0</v>
      </c>
      <c r="M360" s="1">
        <v>14.0</v>
      </c>
      <c r="N360" s="1">
        <v>6.0</v>
      </c>
      <c r="O360" s="1">
        <v>1.0</v>
      </c>
      <c r="P360" s="1">
        <v>1.0</v>
      </c>
      <c r="Q360" s="1">
        <v>9.0</v>
      </c>
    </row>
    <row r="361">
      <c r="A361" s="1">
        <v>6202.0</v>
      </c>
      <c r="B361" s="1" t="s">
        <v>480</v>
      </c>
      <c r="C361" s="1" t="s">
        <v>481</v>
      </c>
      <c r="D361" s="1" t="s">
        <v>807</v>
      </c>
      <c r="E361" s="1" t="s">
        <v>1009</v>
      </c>
      <c r="F361" s="1">
        <v>8.0</v>
      </c>
      <c r="G361" s="1">
        <v>7.0</v>
      </c>
      <c r="H361" s="1">
        <v>1.0</v>
      </c>
      <c r="I361" s="1">
        <v>8.0</v>
      </c>
      <c r="J361" s="1">
        <v>7.0</v>
      </c>
      <c r="K361" s="1">
        <v>1.0</v>
      </c>
      <c r="L361" s="1">
        <v>24.0</v>
      </c>
      <c r="M361" s="1">
        <v>24.0</v>
      </c>
      <c r="N361" s="1">
        <v>16.0</v>
      </c>
      <c r="O361" s="1">
        <v>40.0</v>
      </c>
      <c r="P361" s="1">
        <v>22.0</v>
      </c>
      <c r="Q361" s="1">
        <v>19.0</v>
      </c>
    </row>
    <row r="362">
      <c r="A362" s="1">
        <v>6206.0</v>
      </c>
      <c r="B362" s="1" t="s">
        <v>492</v>
      </c>
      <c r="C362" s="1" t="s">
        <v>934</v>
      </c>
      <c r="D362" s="1" t="s">
        <v>786</v>
      </c>
      <c r="E362" s="1" t="s">
        <v>1009</v>
      </c>
      <c r="F362" s="1">
        <v>12.0</v>
      </c>
      <c r="G362" s="1">
        <v>13.0</v>
      </c>
      <c r="H362" s="1">
        <v>-1.0</v>
      </c>
      <c r="I362" s="1">
        <v>12.0</v>
      </c>
      <c r="J362" s="1">
        <v>13.0</v>
      </c>
      <c r="K362" s="1">
        <v>-1.0</v>
      </c>
      <c r="L362" s="1">
        <v>16.0</v>
      </c>
      <c r="M362" s="1">
        <v>16.0</v>
      </c>
      <c r="N362" s="1">
        <v>43.0</v>
      </c>
      <c r="O362" s="1">
        <v>45.0</v>
      </c>
      <c r="P362" s="1">
        <v>18.0</v>
      </c>
      <c r="Q362" s="1">
        <v>28.0</v>
      </c>
    </row>
    <row r="363">
      <c r="A363" s="1">
        <v>6207.0</v>
      </c>
      <c r="B363" s="1" t="s">
        <v>507</v>
      </c>
      <c r="C363" s="1" t="s">
        <v>935</v>
      </c>
      <c r="D363" s="1" t="s">
        <v>936</v>
      </c>
      <c r="E363" s="1" t="s">
        <v>985</v>
      </c>
      <c r="F363" s="1">
        <v>5.0</v>
      </c>
      <c r="G363" s="1">
        <v>9.0</v>
      </c>
      <c r="H363" s="1">
        <v>-4.0</v>
      </c>
      <c r="I363" s="1">
        <v>5.0</v>
      </c>
      <c r="J363" s="1">
        <v>10.0</v>
      </c>
      <c r="K363" s="1">
        <v>-5.0</v>
      </c>
      <c r="L363" s="1">
        <v>10.0</v>
      </c>
      <c r="M363" s="1">
        <v>12.0</v>
      </c>
      <c r="N363" s="1">
        <v>20.0</v>
      </c>
      <c r="O363" s="1">
        <v>20.0</v>
      </c>
      <c r="P363" s="1">
        <v>32.0</v>
      </c>
      <c r="Q363" s="1">
        <v>15.0</v>
      </c>
    </row>
    <row r="364">
      <c r="A364" s="1">
        <v>6211.0</v>
      </c>
      <c r="B364" s="1" t="s">
        <v>480</v>
      </c>
      <c r="C364" s="1" t="s">
        <v>931</v>
      </c>
      <c r="D364" s="1" t="s">
        <v>683</v>
      </c>
      <c r="E364" s="1" t="s">
        <v>993</v>
      </c>
      <c r="F364" s="1">
        <v>5.0</v>
      </c>
      <c r="G364" s="1">
        <v>3.0</v>
      </c>
      <c r="H364" s="1">
        <v>2.0</v>
      </c>
      <c r="I364" s="1">
        <v>5.0</v>
      </c>
      <c r="J364" s="1">
        <v>3.0</v>
      </c>
      <c r="K364" s="1">
        <v>2.0</v>
      </c>
      <c r="L364" s="1">
        <v>11.0</v>
      </c>
      <c r="M364" s="1">
        <v>11.0</v>
      </c>
      <c r="N364" s="1">
        <v>4.0</v>
      </c>
      <c r="O364" s="1">
        <v>19.0</v>
      </c>
      <c r="P364" s="1">
        <v>7.0</v>
      </c>
      <c r="Q364" s="1">
        <v>7.0</v>
      </c>
    </row>
    <row r="365">
      <c r="A365" s="1">
        <v>6212.0</v>
      </c>
      <c r="B365" s="1" t="s">
        <v>492</v>
      </c>
      <c r="C365" s="1" t="s">
        <v>930</v>
      </c>
      <c r="D365" s="1" t="s">
        <v>1216</v>
      </c>
      <c r="E365" s="1" t="s">
        <v>993</v>
      </c>
      <c r="F365" s="1">
        <v>5.0</v>
      </c>
      <c r="G365" s="1">
        <v>3.0</v>
      </c>
      <c r="H365" s="1">
        <v>2.0</v>
      </c>
      <c r="I365" s="1">
        <v>5.0</v>
      </c>
      <c r="J365" s="1">
        <v>4.0</v>
      </c>
      <c r="K365" s="1">
        <v>1.0</v>
      </c>
      <c r="L365" s="1">
        <v>9.0</v>
      </c>
      <c r="M365" s="1">
        <v>9.0</v>
      </c>
      <c r="N365" s="1">
        <v>8.0</v>
      </c>
      <c r="O365" s="1">
        <v>15.0</v>
      </c>
      <c r="P365" s="1">
        <v>3.0</v>
      </c>
      <c r="Q365" s="1">
        <v>8.0</v>
      </c>
    </row>
    <row r="366">
      <c r="A366" s="1">
        <v>6213.0</v>
      </c>
      <c r="B366" s="1" t="s">
        <v>507</v>
      </c>
      <c r="C366" s="1" t="s">
        <v>507</v>
      </c>
      <c r="D366" s="1" t="s">
        <v>859</v>
      </c>
      <c r="E366" s="1" t="s">
        <v>993</v>
      </c>
      <c r="F366" s="1">
        <v>3.0</v>
      </c>
      <c r="G366" s="1">
        <v>7.0</v>
      </c>
      <c r="H366" s="1">
        <v>-4.0</v>
      </c>
      <c r="I366" s="1">
        <v>3.0</v>
      </c>
      <c r="J366" s="1">
        <v>7.0</v>
      </c>
      <c r="K366" s="1">
        <v>-4.0</v>
      </c>
      <c r="L366" s="1">
        <v>5.0</v>
      </c>
      <c r="M366" s="1">
        <v>5.0</v>
      </c>
      <c r="N366" s="1">
        <v>24.0</v>
      </c>
      <c r="O366" s="1">
        <v>15.0</v>
      </c>
      <c r="P366" s="1">
        <v>10.0</v>
      </c>
      <c r="Q366" s="1">
        <v>14.0</v>
      </c>
    </row>
    <row r="367">
      <c r="A367" s="1">
        <v>6215.0</v>
      </c>
      <c r="B367" s="1" t="s">
        <v>507</v>
      </c>
      <c r="C367" s="1" t="s">
        <v>512</v>
      </c>
      <c r="D367" s="1" t="s">
        <v>66</v>
      </c>
      <c r="E367" s="1" t="s">
        <v>993</v>
      </c>
      <c r="F367" s="1">
        <v>21.0</v>
      </c>
      <c r="G367" s="1">
        <v>14.0</v>
      </c>
      <c r="H367" s="1">
        <v>7.0</v>
      </c>
      <c r="I367" s="1">
        <v>21.0</v>
      </c>
      <c r="J367" s="1">
        <v>13.0</v>
      </c>
      <c r="K367" s="1">
        <v>8.0</v>
      </c>
      <c r="L367" s="1">
        <v>100.0</v>
      </c>
      <c r="M367" s="1">
        <v>100.0</v>
      </c>
      <c r="N367" s="1">
        <v>68.0</v>
      </c>
      <c r="O367" s="1">
        <v>70.0</v>
      </c>
      <c r="P367" s="1">
        <v>15.0</v>
      </c>
      <c r="Q367" s="1">
        <v>78.0</v>
      </c>
    </row>
    <row r="368">
      <c r="A368" s="1">
        <v>6217.0</v>
      </c>
      <c r="B368" s="1" t="s">
        <v>480</v>
      </c>
      <c r="C368" s="1" t="s">
        <v>481</v>
      </c>
      <c r="D368" s="1" t="s">
        <v>194</v>
      </c>
      <c r="E368" s="1" t="s">
        <v>973</v>
      </c>
      <c r="F368" s="1">
        <v>12.0</v>
      </c>
      <c r="G368" s="1">
        <v>5.0</v>
      </c>
      <c r="H368" s="1">
        <v>7.0</v>
      </c>
      <c r="I368" s="1">
        <v>12.0</v>
      </c>
      <c r="J368" s="1">
        <v>5.0</v>
      </c>
      <c r="K368" s="1">
        <v>7.0</v>
      </c>
      <c r="L368" s="1">
        <v>25.0</v>
      </c>
      <c r="M368" s="1">
        <v>25.0</v>
      </c>
      <c r="N368" s="1">
        <v>11.0</v>
      </c>
      <c r="O368" s="1">
        <v>27.0</v>
      </c>
      <c r="P368" s="1">
        <v>6.0</v>
      </c>
      <c r="Q368" s="1">
        <v>17.0</v>
      </c>
    </row>
    <row r="369">
      <c r="A369" s="1">
        <v>6218.0</v>
      </c>
      <c r="B369" s="1" t="s">
        <v>492</v>
      </c>
      <c r="C369" s="1" t="s">
        <v>1137</v>
      </c>
      <c r="D369" s="1" t="s">
        <v>705</v>
      </c>
      <c r="E369" s="1" t="s">
        <v>1233</v>
      </c>
      <c r="F369" s="1">
        <v>15.0</v>
      </c>
      <c r="G369" s="1">
        <v>9.0</v>
      </c>
      <c r="H369" s="1">
        <v>6.0</v>
      </c>
      <c r="I369" s="1">
        <v>15.0</v>
      </c>
      <c r="J369" s="1">
        <v>10.0</v>
      </c>
      <c r="K369" s="1">
        <v>5.0</v>
      </c>
      <c r="L369" s="1">
        <v>26.0</v>
      </c>
      <c r="M369" s="1">
        <v>29.0</v>
      </c>
      <c r="N369" s="1">
        <v>26.0</v>
      </c>
      <c r="O369" s="1">
        <v>30.0</v>
      </c>
      <c r="P369" s="1">
        <v>14.0</v>
      </c>
      <c r="Q369" s="1">
        <v>26.0</v>
      </c>
    </row>
    <row r="370">
      <c r="A370" s="1">
        <v>6222.0</v>
      </c>
      <c r="B370" s="1" t="s">
        <v>492</v>
      </c>
      <c r="C370" s="1" t="s">
        <v>934</v>
      </c>
      <c r="D370" s="1" t="s">
        <v>1158</v>
      </c>
      <c r="E370" s="1" t="s">
        <v>998</v>
      </c>
      <c r="F370" s="1">
        <v>1.0</v>
      </c>
      <c r="G370" s="1">
        <v>4.0</v>
      </c>
      <c r="H370" s="1">
        <v>-3.0</v>
      </c>
      <c r="I370" s="1">
        <v>1.0</v>
      </c>
      <c r="J370" s="1">
        <v>4.0</v>
      </c>
      <c r="K370" s="1">
        <v>-3.0</v>
      </c>
      <c r="L370" s="1">
        <v>10.0</v>
      </c>
      <c r="M370" s="1">
        <v>10.0</v>
      </c>
      <c r="N370" s="1">
        <v>8.0</v>
      </c>
      <c r="O370" s="1">
        <v>13.0</v>
      </c>
      <c r="P370" s="1">
        <v>16.0</v>
      </c>
      <c r="Q370" s="1">
        <v>8.0</v>
      </c>
    </row>
    <row r="371">
      <c r="A371" s="1">
        <v>6224.0</v>
      </c>
      <c r="B371" s="1" t="s">
        <v>492</v>
      </c>
      <c r="C371" s="1" t="s">
        <v>492</v>
      </c>
      <c r="D371" s="1" t="s">
        <v>636</v>
      </c>
      <c r="E371" s="1" t="s">
        <v>991</v>
      </c>
      <c r="F371" s="1">
        <v>25.0</v>
      </c>
      <c r="G371" s="1">
        <v>12.0</v>
      </c>
      <c r="H371" s="1">
        <v>13.0</v>
      </c>
      <c r="I371" s="1">
        <v>25.0</v>
      </c>
      <c r="J371" s="1">
        <v>11.0</v>
      </c>
      <c r="K371" s="1">
        <v>14.0</v>
      </c>
      <c r="L371" s="1">
        <v>186.0</v>
      </c>
      <c r="M371" s="1">
        <v>186.0</v>
      </c>
      <c r="N371" s="1">
        <v>28.0</v>
      </c>
      <c r="O371" s="1">
        <v>35.0</v>
      </c>
      <c r="P371" s="1">
        <v>50.0</v>
      </c>
      <c r="Q371" s="1">
        <v>96.0</v>
      </c>
    </row>
    <row r="372">
      <c r="A372" s="1">
        <v>6225.0</v>
      </c>
      <c r="B372" s="1" t="s">
        <v>492</v>
      </c>
      <c r="C372" s="1" t="s">
        <v>930</v>
      </c>
      <c r="D372" s="1" t="s">
        <v>659</v>
      </c>
      <c r="E372" s="1" t="s">
        <v>1009</v>
      </c>
      <c r="F372" s="1">
        <v>1.0</v>
      </c>
      <c r="G372" s="1">
        <v>4.0</v>
      </c>
      <c r="H372" s="1">
        <v>-3.0</v>
      </c>
      <c r="I372" s="1">
        <v>1.0</v>
      </c>
      <c r="J372" s="1">
        <v>5.0</v>
      </c>
      <c r="K372" s="1">
        <v>-4.0</v>
      </c>
      <c r="L372" s="1">
        <v>6.0</v>
      </c>
      <c r="M372" s="1">
        <v>9.0</v>
      </c>
      <c r="N372" s="1">
        <v>8.0</v>
      </c>
      <c r="O372" s="1">
        <v>28.0</v>
      </c>
      <c r="P372" s="1">
        <v>2.0</v>
      </c>
      <c r="Q372" s="1">
        <v>8.0</v>
      </c>
    </row>
    <row r="373">
      <c r="A373" s="1">
        <v>6226.0</v>
      </c>
      <c r="B373" s="1" t="s">
        <v>507</v>
      </c>
      <c r="C373" s="1" t="s">
        <v>512</v>
      </c>
      <c r="D373" s="1" t="s">
        <v>361</v>
      </c>
      <c r="E373" s="1" t="s">
        <v>1000</v>
      </c>
      <c r="F373" s="1">
        <v>22.0</v>
      </c>
      <c r="G373" s="1">
        <v>21.0</v>
      </c>
      <c r="H373" s="1">
        <v>1.0</v>
      </c>
      <c r="I373" s="1">
        <v>22.0</v>
      </c>
      <c r="J373" s="1">
        <v>21.0</v>
      </c>
      <c r="K373" s="1">
        <v>1.0</v>
      </c>
      <c r="L373" s="1">
        <v>192.0</v>
      </c>
      <c r="M373" s="1">
        <v>192.0</v>
      </c>
      <c r="N373" s="1">
        <v>110.0</v>
      </c>
      <c r="O373" s="1">
        <v>50.0</v>
      </c>
      <c r="P373" s="1">
        <v>22.0</v>
      </c>
      <c r="Q373" s="1">
        <v>139.0</v>
      </c>
    </row>
    <row r="374">
      <c r="A374" s="1">
        <v>6227.0</v>
      </c>
      <c r="B374" s="1" t="s">
        <v>507</v>
      </c>
      <c r="C374" s="1" t="s">
        <v>507</v>
      </c>
      <c r="D374" s="1" t="s">
        <v>738</v>
      </c>
      <c r="E374" s="1" t="s">
        <v>987</v>
      </c>
      <c r="F374" s="1">
        <v>4.0</v>
      </c>
      <c r="G374" s="1">
        <v>11.0</v>
      </c>
      <c r="H374" s="1">
        <v>-7.0</v>
      </c>
      <c r="I374" s="1">
        <v>4.0</v>
      </c>
      <c r="J374" s="1">
        <v>11.0</v>
      </c>
      <c r="K374" s="1">
        <v>-7.0</v>
      </c>
      <c r="L374" s="1">
        <v>5.0</v>
      </c>
      <c r="M374" s="1">
        <v>5.0</v>
      </c>
      <c r="N374" s="1">
        <v>21.0</v>
      </c>
      <c r="O374" s="1">
        <v>25.0</v>
      </c>
      <c r="P374" s="1">
        <v>48.0</v>
      </c>
      <c r="Q374" s="1">
        <v>13.0</v>
      </c>
    </row>
    <row r="375">
      <c r="A375" s="1">
        <v>6228.0</v>
      </c>
      <c r="B375" s="1" t="s">
        <v>507</v>
      </c>
      <c r="C375" s="1" t="s">
        <v>512</v>
      </c>
      <c r="D375" s="1" t="s">
        <v>686</v>
      </c>
      <c r="E375" s="1" t="s">
        <v>980</v>
      </c>
      <c r="F375" s="1">
        <v>40.0</v>
      </c>
      <c r="G375" s="1">
        <v>20.0</v>
      </c>
      <c r="H375" s="1">
        <v>20.0</v>
      </c>
      <c r="I375" s="1">
        <v>40.0</v>
      </c>
      <c r="J375" s="1">
        <v>19.0</v>
      </c>
      <c r="K375" s="1">
        <v>21.0</v>
      </c>
      <c r="L375" s="1">
        <v>500.0</v>
      </c>
      <c r="M375" s="1">
        <v>500.0</v>
      </c>
      <c r="N375" s="1">
        <v>190.0</v>
      </c>
      <c r="O375" s="1">
        <v>55.0</v>
      </c>
      <c r="P375" s="1">
        <v>128.0</v>
      </c>
      <c r="Q375" s="1">
        <v>315.0</v>
      </c>
    </row>
    <row r="376">
      <c r="A376" s="1">
        <v>6230.0</v>
      </c>
      <c r="B376" s="1" t="s">
        <v>480</v>
      </c>
      <c r="C376" s="1" t="s">
        <v>481</v>
      </c>
      <c r="D376" s="1" t="s">
        <v>882</v>
      </c>
      <c r="E376" s="1" t="s">
        <v>974</v>
      </c>
      <c r="F376" s="1">
        <v>4.0</v>
      </c>
      <c r="G376" s="1">
        <v>8.0</v>
      </c>
      <c r="H376" s="1">
        <v>-4.0</v>
      </c>
      <c r="I376" s="1">
        <v>4.0</v>
      </c>
      <c r="J376" s="1">
        <v>8.0</v>
      </c>
      <c r="K376" s="1">
        <v>-4.0</v>
      </c>
      <c r="L376" s="1">
        <v>10.0</v>
      </c>
      <c r="M376" s="1">
        <v>10.0</v>
      </c>
      <c r="N376" s="1">
        <v>14.0</v>
      </c>
      <c r="O376" s="1">
        <v>25.0</v>
      </c>
      <c r="P376" s="1">
        <v>7.0</v>
      </c>
      <c r="Q376" s="1">
        <v>11.0</v>
      </c>
    </row>
    <row r="377">
      <c r="A377" s="1">
        <v>6232.0</v>
      </c>
      <c r="B377" s="1" t="s">
        <v>492</v>
      </c>
      <c r="C377" s="1" t="s">
        <v>930</v>
      </c>
      <c r="D377" s="1" t="s">
        <v>900</v>
      </c>
      <c r="E377" s="1" t="s">
        <v>975</v>
      </c>
      <c r="F377" s="1">
        <v>6.0</v>
      </c>
      <c r="G377" s="1">
        <v>4.0</v>
      </c>
      <c r="H377" s="1">
        <v>2.0</v>
      </c>
      <c r="I377" s="1">
        <v>6.0</v>
      </c>
      <c r="J377" s="1">
        <v>5.0</v>
      </c>
      <c r="K377" s="1">
        <v>1.0</v>
      </c>
      <c r="L377" s="1">
        <v>13.0</v>
      </c>
      <c r="M377" s="1">
        <v>16.0</v>
      </c>
      <c r="N377" s="1">
        <v>8.0</v>
      </c>
      <c r="O377" s="1">
        <v>25.0</v>
      </c>
      <c r="P377" s="1">
        <v>10.0</v>
      </c>
      <c r="Q377" s="1">
        <v>11.0</v>
      </c>
    </row>
    <row r="378">
      <c r="A378" s="1">
        <v>6244.0</v>
      </c>
      <c r="B378" s="1" t="s">
        <v>480</v>
      </c>
      <c r="C378" s="1" t="s">
        <v>481</v>
      </c>
      <c r="D378" s="1" t="s">
        <v>795</v>
      </c>
      <c r="E378" s="1" t="s">
        <v>1026</v>
      </c>
      <c r="F378" s="1">
        <v>2.0</v>
      </c>
      <c r="G378" s="1">
        <v>1.0</v>
      </c>
      <c r="H378" s="1">
        <v>1.0</v>
      </c>
      <c r="I378" s="1">
        <v>2.0</v>
      </c>
      <c r="J378" s="1">
        <v>1.0</v>
      </c>
      <c r="K378" s="1">
        <v>1.0</v>
      </c>
      <c r="L378" s="1">
        <v>6.0</v>
      </c>
      <c r="M378" s="1">
        <v>6.0</v>
      </c>
      <c r="N378" s="1">
        <v>1.0</v>
      </c>
      <c r="O378" s="1">
        <v>2.0</v>
      </c>
      <c r="P378" s="1">
        <v>1.0</v>
      </c>
      <c r="Q378" s="1">
        <v>3.0</v>
      </c>
    </row>
    <row r="379">
      <c r="A379" s="1">
        <v>6245.0</v>
      </c>
      <c r="B379" s="1" t="s">
        <v>480</v>
      </c>
      <c r="C379" s="1" t="s">
        <v>937</v>
      </c>
      <c r="D379" s="1" t="s">
        <v>896</v>
      </c>
      <c r="E379" s="1" t="s">
        <v>985</v>
      </c>
      <c r="F379" s="1">
        <v>4.0</v>
      </c>
      <c r="G379" s="1">
        <v>2.0</v>
      </c>
      <c r="H379" s="1">
        <v>2.0</v>
      </c>
      <c r="I379" s="1">
        <v>4.0</v>
      </c>
      <c r="J379" s="1">
        <v>2.0</v>
      </c>
      <c r="K379" s="1">
        <v>2.0</v>
      </c>
      <c r="L379" s="1">
        <v>13.0</v>
      </c>
      <c r="M379" s="1">
        <v>15.0</v>
      </c>
      <c r="N379" s="1">
        <v>4.0</v>
      </c>
      <c r="O379" s="1">
        <v>4.0</v>
      </c>
      <c r="P379" s="1">
        <v>4.0</v>
      </c>
      <c r="Q379" s="1">
        <v>9.0</v>
      </c>
    </row>
    <row r="380">
      <c r="A380" s="1">
        <v>6248.0</v>
      </c>
      <c r="B380" s="1" t="s">
        <v>477</v>
      </c>
      <c r="C380" s="1" t="s">
        <v>478</v>
      </c>
      <c r="D380" s="1" t="s">
        <v>1295</v>
      </c>
      <c r="E380" s="1" t="s">
        <v>1233</v>
      </c>
      <c r="F380" s="1">
        <v>8.0</v>
      </c>
      <c r="G380" s="1">
        <v>1.0</v>
      </c>
      <c r="H380" s="1">
        <v>7.0</v>
      </c>
      <c r="I380" s="1">
        <v>8.0</v>
      </c>
      <c r="J380" s="1">
        <v>1.0</v>
      </c>
      <c r="K380" s="1">
        <v>7.0</v>
      </c>
      <c r="L380" s="1">
        <v>1.0</v>
      </c>
      <c r="M380" s="1">
        <v>1.0</v>
      </c>
      <c r="N380" s="1">
        <v>1.0</v>
      </c>
      <c r="O380" s="1" t="e">
        <v>#N/A</v>
      </c>
      <c r="P380" s="1" t="e">
        <v>#N/A</v>
      </c>
      <c r="Q380" s="1">
        <v>1.0</v>
      </c>
    </row>
    <row r="381">
      <c r="A381" s="1">
        <v>6250.0</v>
      </c>
      <c r="B381" s="1" t="s">
        <v>507</v>
      </c>
      <c r="C381" s="1" t="s">
        <v>512</v>
      </c>
      <c r="D381" s="1" t="s">
        <v>1454</v>
      </c>
      <c r="E381" s="1" t="s">
        <v>1233</v>
      </c>
      <c r="F381" s="1">
        <v>3.0</v>
      </c>
      <c r="G381" s="1">
        <v>1.0</v>
      </c>
      <c r="H381" s="1">
        <v>2.0</v>
      </c>
      <c r="I381" s="1">
        <v>3.0</v>
      </c>
      <c r="J381" s="1">
        <v>1.0</v>
      </c>
      <c r="K381" s="1">
        <v>2.0</v>
      </c>
      <c r="L381" s="1">
        <v>9.0</v>
      </c>
      <c r="M381" s="1">
        <v>9.0</v>
      </c>
      <c r="N381" s="1" t="e">
        <v>#N/A</v>
      </c>
      <c r="O381" s="1" t="e">
        <v>#N/A</v>
      </c>
      <c r="P381" s="1">
        <v>1.0</v>
      </c>
      <c r="Q381" s="1" t="e">
        <v>#N/A</v>
      </c>
    </row>
    <row r="382">
      <c r="A382" s="1">
        <v>6252.0</v>
      </c>
      <c r="B382" s="1" t="s">
        <v>492</v>
      </c>
      <c r="C382" s="1" t="s">
        <v>934</v>
      </c>
      <c r="D382" s="1" t="s">
        <v>366</v>
      </c>
      <c r="E382" s="1" t="s">
        <v>1033</v>
      </c>
      <c r="F382" s="1">
        <v>4.0</v>
      </c>
      <c r="G382" s="1">
        <v>7.0</v>
      </c>
      <c r="H382" s="1">
        <v>-3.0</v>
      </c>
      <c r="I382" s="1">
        <v>4.0</v>
      </c>
      <c r="J382" s="1">
        <v>7.0</v>
      </c>
      <c r="K382" s="1">
        <v>-3.0</v>
      </c>
      <c r="L382" s="1">
        <v>14.0</v>
      </c>
      <c r="M382" s="1">
        <v>14.0</v>
      </c>
      <c r="N382" s="1">
        <v>15.0</v>
      </c>
      <c r="O382" s="1">
        <v>41.0</v>
      </c>
      <c r="P382" s="1">
        <v>12.0</v>
      </c>
      <c r="Q382" s="1">
        <v>14.0</v>
      </c>
    </row>
    <row r="383">
      <c r="A383" s="1">
        <v>6284.0</v>
      </c>
      <c r="B383" s="1" t="s">
        <v>480</v>
      </c>
      <c r="C383" s="1" t="s">
        <v>481</v>
      </c>
      <c r="D383" s="1" t="s">
        <v>1296</v>
      </c>
      <c r="E383" s="1" t="s">
        <v>983</v>
      </c>
      <c r="F383" s="1">
        <v>1.0</v>
      </c>
      <c r="G383" s="1">
        <v>2.0</v>
      </c>
      <c r="H383" s="1">
        <v>-1.0</v>
      </c>
      <c r="I383" s="1">
        <v>1.0</v>
      </c>
      <c r="J383" s="1">
        <v>2.0</v>
      </c>
      <c r="K383" s="1">
        <v>-1.0</v>
      </c>
      <c r="L383" s="1">
        <v>3.0</v>
      </c>
      <c r="M383" s="1">
        <v>3.0</v>
      </c>
      <c r="N383" s="1">
        <v>3.0</v>
      </c>
      <c r="O383" s="1" t="e">
        <v>#N/A</v>
      </c>
      <c r="P383" s="1" t="e">
        <v>#N/A</v>
      </c>
      <c r="Q383" s="1">
        <v>3.0</v>
      </c>
    </row>
    <row r="384">
      <c r="A384" s="1">
        <v>6294.0</v>
      </c>
      <c r="B384" s="1" t="s">
        <v>492</v>
      </c>
      <c r="C384" s="1" t="s">
        <v>930</v>
      </c>
      <c r="D384" s="1" t="s">
        <v>1120</v>
      </c>
      <c r="E384" s="1" t="s">
        <v>1033</v>
      </c>
      <c r="F384" s="1">
        <v>3.0</v>
      </c>
      <c r="G384" s="1">
        <v>4.0</v>
      </c>
      <c r="H384" s="1">
        <v>-1.0</v>
      </c>
      <c r="I384" s="1">
        <v>3.0</v>
      </c>
      <c r="J384" s="1">
        <v>5.0</v>
      </c>
      <c r="K384" s="1">
        <v>-2.0</v>
      </c>
      <c r="L384" s="1">
        <v>12.0</v>
      </c>
      <c r="M384" s="1">
        <v>17.0</v>
      </c>
      <c r="N384" s="1" t="e">
        <v>#N/A</v>
      </c>
      <c r="O384" s="1" t="e">
        <v>#N/A</v>
      </c>
      <c r="P384" s="1" t="e">
        <v>#N/A</v>
      </c>
      <c r="Q384" s="1" t="e">
        <v>#N/A</v>
      </c>
    </row>
    <row r="385">
      <c r="A385" s="1">
        <v>6394.0</v>
      </c>
      <c r="B385" s="1" t="s">
        <v>492</v>
      </c>
      <c r="C385" s="1" t="s">
        <v>930</v>
      </c>
      <c r="D385" s="1" t="s">
        <v>673</v>
      </c>
      <c r="E385" s="1" t="s">
        <v>998</v>
      </c>
      <c r="F385" s="1">
        <v>7.0</v>
      </c>
      <c r="G385" s="1">
        <v>5.0</v>
      </c>
      <c r="H385" s="1">
        <v>2.0</v>
      </c>
      <c r="I385" s="1">
        <v>7.0</v>
      </c>
      <c r="J385" s="1">
        <v>6.0</v>
      </c>
      <c r="K385" s="1">
        <v>1.0</v>
      </c>
      <c r="L385" s="1">
        <v>10.0</v>
      </c>
      <c r="M385" s="1">
        <v>13.0</v>
      </c>
      <c r="N385" s="1">
        <v>12.0</v>
      </c>
      <c r="O385" s="1">
        <v>28.0</v>
      </c>
      <c r="P385" s="1">
        <v>13.0</v>
      </c>
      <c r="Q385" s="1">
        <v>12.0</v>
      </c>
    </row>
    <row r="386">
      <c r="A386" s="1">
        <v>6398.0</v>
      </c>
      <c r="B386" s="1" t="s">
        <v>507</v>
      </c>
      <c r="C386" s="1" t="s">
        <v>935</v>
      </c>
      <c r="D386" s="1" t="s">
        <v>663</v>
      </c>
      <c r="E386" s="1" t="s">
        <v>1000</v>
      </c>
      <c r="F386" s="1">
        <v>13.0</v>
      </c>
      <c r="G386" s="1">
        <v>11.0</v>
      </c>
      <c r="H386" s="1">
        <v>2.0</v>
      </c>
      <c r="I386" s="1">
        <v>13.0</v>
      </c>
      <c r="J386" s="1">
        <v>12.0</v>
      </c>
      <c r="K386" s="1">
        <v>1.0</v>
      </c>
      <c r="L386" s="1">
        <v>31.0</v>
      </c>
      <c r="M386" s="1">
        <v>34.0</v>
      </c>
      <c r="N386" s="1">
        <v>27.0</v>
      </c>
      <c r="O386" s="1">
        <v>25.0</v>
      </c>
      <c r="P386" s="1">
        <v>21.0</v>
      </c>
      <c r="Q386" s="1">
        <v>28.0</v>
      </c>
    </row>
    <row r="387">
      <c r="A387" s="1">
        <v>6409.0</v>
      </c>
      <c r="B387" s="1" t="s">
        <v>507</v>
      </c>
      <c r="C387" s="1" t="s">
        <v>507</v>
      </c>
      <c r="D387" s="1" t="s">
        <v>745</v>
      </c>
      <c r="E387" s="1" t="s">
        <v>1033</v>
      </c>
      <c r="F387" s="1">
        <v>15.0</v>
      </c>
      <c r="G387" s="1">
        <v>11.0</v>
      </c>
      <c r="H387" s="1">
        <v>4.0</v>
      </c>
      <c r="I387" s="1">
        <v>15.0</v>
      </c>
      <c r="J387" s="1">
        <v>11.0</v>
      </c>
      <c r="K387" s="1">
        <v>4.0</v>
      </c>
      <c r="L387" s="1">
        <v>18.0</v>
      </c>
      <c r="M387" s="1">
        <v>18.0</v>
      </c>
      <c r="N387" s="1">
        <v>34.0</v>
      </c>
      <c r="O387" s="1">
        <v>50.0</v>
      </c>
      <c r="P387" s="1">
        <v>60.0</v>
      </c>
      <c r="Q387" s="1">
        <v>25.0</v>
      </c>
    </row>
    <row r="388">
      <c r="A388" s="1">
        <v>6410.0</v>
      </c>
      <c r="B388" s="1" t="s">
        <v>492</v>
      </c>
      <c r="C388" s="1" t="s">
        <v>930</v>
      </c>
      <c r="D388" s="1" t="s">
        <v>1083</v>
      </c>
      <c r="E388" s="1" t="s">
        <v>998</v>
      </c>
      <c r="F388" s="1">
        <v>4.0</v>
      </c>
      <c r="G388" s="1">
        <v>1.0</v>
      </c>
      <c r="H388" s="1">
        <v>3.0</v>
      </c>
      <c r="I388" s="1">
        <v>4.0</v>
      </c>
      <c r="J388" s="1">
        <v>1.0</v>
      </c>
      <c r="K388" s="1">
        <v>3.0</v>
      </c>
      <c r="L388" s="1">
        <v>7.0</v>
      </c>
      <c r="M388" s="1">
        <v>10.0</v>
      </c>
      <c r="N388" s="1">
        <v>1.0</v>
      </c>
      <c r="O388" s="1">
        <v>20.0</v>
      </c>
      <c r="P388" s="1">
        <v>8.0</v>
      </c>
      <c r="Q388" s="1">
        <v>5.0</v>
      </c>
    </row>
    <row r="389">
      <c r="A389" s="1">
        <v>6417.0</v>
      </c>
      <c r="B389" s="1" t="s">
        <v>477</v>
      </c>
      <c r="C389" s="1" t="s">
        <v>478</v>
      </c>
      <c r="D389" s="1" t="s">
        <v>355</v>
      </c>
      <c r="E389" s="1" t="s">
        <v>1000</v>
      </c>
      <c r="F389" s="1">
        <v>1.0</v>
      </c>
      <c r="G389" s="1">
        <v>1.0</v>
      </c>
      <c r="H389" s="1">
        <v>0.0</v>
      </c>
      <c r="I389" s="1">
        <v>1.0</v>
      </c>
      <c r="J389" s="1">
        <v>1.0</v>
      </c>
      <c r="K389" s="1">
        <v>0.0</v>
      </c>
      <c r="L389" s="1">
        <v>1.0</v>
      </c>
      <c r="M389" s="1">
        <v>1.0</v>
      </c>
      <c r="N389" s="1">
        <v>1.0</v>
      </c>
      <c r="O389" s="1" t="e">
        <v>#N/A</v>
      </c>
      <c r="P389" s="1" t="e">
        <v>#N/A</v>
      </c>
      <c r="Q389" s="1">
        <v>1.0</v>
      </c>
    </row>
    <row r="390">
      <c r="A390" s="1">
        <v>6418.0</v>
      </c>
      <c r="B390" s="1" t="s">
        <v>507</v>
      </c>
      <c r="C390" s="1" t="s">
        <v>512</v>
      </c>
      <c r="D390" s="1" t="s">
        <v>848</v>
      </c>
      <c r="E390" s="1" t="s">
        <v>998</v>
      </c>
      <c r="F390" s="1">
        <v>2.0</v>
      </c>
      <c r="G390" s="1">
        <v>1.0</v>
      </c>
      <c r="H390" s="1">
        <v>1.0</v>
      </c>
      <c r="I390" s="1">
        <v>2.0</v>
      </c>
      <c r="J390" s="1">
        <v>1.0</v>
      </c>
      <c r="K390" s="1">
        <v>1.0</v>
      </c>
      <c r="L390" s="1">
        <v>1.0</v>
      </c>
      <c r="M390" s="1">
        <v>1.0</v>
      </c>
      <c r="N390" s="1">
        <v>1.0</v>
      </c>
      <c r="O390" s="1">
        <v>2.0</v>
      </c>
      <c r="P390" s="1">
        <v>2.0</v>
      </c>
      <c r="Q390" s="1">
        <v>1.0</v>
      </c>
    </row>
    <row r="391">
      <c r="A391" s="1">
        <v>6424.0</v>
      </c>
      <c r="B391" s="1" t="s">
        <v>492</v>
      </c>
      <c r="C391" s="1" t="s">
        <v>930</v>
      </c>
      <c r="D391" s="1" t="s">
        <v>643</v>
      </c>
      <c r="E391" s="1" t="s">
        <v>975</v>
      </c>
      <c r="F391" s="1">
        <v>3.0</v>
      </c>
      <c r="G391" s="1">
        <v>4.0</v>
      </c>
      <c r="H391" s="1">
        <v>-1.0</v>
      </c>
      <c r="I391" s="1">
        <v>3.0</v>
      </c>
      <c r="J391" s="1">
        <v>5.0</v>
      </c>
      <c r="K391" s="1">
        <v>-2.0</v>
      </c>
      <c r="L391" s="1">
        <v>12.0</v>
      </c>
      <c r="M391" s="1">
        <v>15.0</v>
      </c>
      <c r="N391" s="1">
        <v>14.0</v>
      </c>
      <c r="O391" s="1">
        <v>15.0</v>
      </c>
      <c r="P391" s="1">
        <v>5.0</v>
      </c>
      <c r="Q391" s="1">
        <v>14.0</v>
      </c>
    </row>
    <row r="392">
      <c r="A392" s="1">
        <v>6426.0</v>
      </c>
      <c r="B392" s="1" t="s">
        <v>480</v>
      </c>
      <c r="C392" s="1" t="s">
        <v>521</v>
      </c>
      <c r="D392" s="1" t="s">
        <v>1144</v>
      </c>
      <c r="E392" s="1" t="s">
        <v>972</v>
      </c>
      <c r="F392" s="1">
        <v>3.0</v>
      </c>
      <c r="G392" s="1">
        <v>6.0</v>
      </c>
      <c r="H392" s="1">
        <v>-3.0</v>
      </c>
      <c r="I392" s="1">
        <v>3.0</v>
      </c>
      <c r="J392" s="1">
        <v>5.0</v>
      </c>
      <c r="K392" s="1">
        <v>-2.0</v>
      </c>
      <c r="L392" s="1">
        <v>9.0</v>
      </c>
      <c r="M392" s="1">
        <v>9.0</v>
      </c>
      <c r="N392" s="1">
        <v>10.0</v>
      </c>
      <c r="O392" s="1">
        <v>17.0</v>
      </c>
      <c r="P392" s="1">
        <v>10.0</v>
      </c>
      <c r="Q392" s="1">
        <v>9.0</v>
      </c>
    </row>
    <row r="393">
      <c r="A393" s="1">
        <v>6434.0</v>
      </c>
      <c r="B393" s="1" t="s">
        <v>507</v>
      </c>
      <c r="C393" s="1" t="s">
        <v>507</v>
      </c>
      <c r="D393" s="1" t="s">
        <v>453</v>
      </c>
      <c r="E393" s="1" t="s">
        <v>976</v>
      </c>
      <c r="F393" s="1">
        <v>22.0</v>
      </c>
      <c r="G393" s="1">
        <v>15.0</v>
      </c>
      <c r="H393" s="1">
        <v>7.0</v>
      </c>
      <c r="I393" s="1">
        <v>22.0</v>
      </c>
      <c r="J393" s="1">
        <v>16.0</v>
      </c>
      <c r="K393" s="1">
        <v>6.0</v>
      </c>
      <c r="L393" s="1">
        <v>83.0</v>
      </c>
      <c r="M393" s="1">
        <v>83.0</v>
      </c>
      <c r="N393" s="1">
        <v>84.0</v>
      </c>
      <c r="O393" s="1">
        <v>30.0</v>
      </c>
      <c r="P393" s="1">
        <v>1.0</v>
      </c>
      <c r="Q393" s="1">
        <v>78.0</v>
      </c>
    </row>
    <row r="394">
      <c r="A394" s="1">
        <v>6435.0</v>
      </c>
      <c r="B394" s="1" t="s">
        <v>507</v>
      </c>
      <c r="C394" s="1" t="s">
        <v>512</v>
      </c>
      <c r="D394" s="1" t="s">
        <v>341</v>
      </c>
      <c r="E394" s="1" t="s">
        <v>998</v>
      </c>
      <c r="F394" s="1">
        <v>20.0</v>
      </c>
      <c r="G394" s="1">
        <v>17.0</v>
      </c>
      <c r="H394" s="1">
        <v>3.0</v>
      </c>
      <c r="I394" s="1">
        <v>20.0</v>
      </c>
      <c r="J394" s="1">
        <v>16.0</v>
      </c>
      <c r="K394" s="1">
        <v>4.0</v>
      </c>
      <c r="L394" s="1">
        <v>107.0</v>
      </c>
      <c r="M394" s="1">
        <v>107.0</v>
      </c>
      <c r="N394" s="1">
        <v>70.0</v>
      </c>
      <c r="O394" s="1">
        <v>47.0</v>
      </c>
      <c r="P394" s="1">
        <v>55.0</v>
      </c>
      <c r="Q394" s="1">
        <v>82.0</v>
      </c>
    </row>
    <row r="395">
      <c r="A395" s="1">
        <v>6458.0</v>
      </c>
      <c r="B395" s="1" t="s">
        <v>492</v>
      </c>
      <c r="C395" s="1" t="s">
        <v>930</v>
      </c>
      <c r="D395" s="1" t="s">
        <v>851</v>
      </c>
      <c r="E395" s="1" t="s">
        <v>983</v>
      </c>
      <c r="F395" s="1">
        <v>6.0</v>
      </c>
      <c r="G395" s="1">
        <v>5.0</v>
      </c>
      <c r="H395" s="1">
        <v>1.0</v>
      </c>
      <c r="I395" s="1">
        <v>6.0</v>
      </c>
      <c r="J395" s="1">
        <v>6.0</v>
      </c>
      <c r="K395" s="1">
        <v>0.0</v>
      </c>
      <c r="L395" s="1">
        <v>12.0</v>
      </c>
      <c r="M395" s="1">
        <v>12.0</v>
      </c>
      <c r="N395" s="1">
        <v>12.0</v>
      </c>
      <c r="O395" s="1">
        <v>15.0</v>
      </c>
      <c r="P395" s="1">
        <v>7.0</v>
      </c>
      <c r="Q395" s="1">
        <v>11.0</v>
      </c>
    </row>
    <row r="396">
      <c r="A396" s="1">
        <v>6459.0</v>
      </c>
      <c r="B396" s="1" t="s">
        <v>492</v>
      </c>
      <c r="C396" s="1" t="s">
        <v>935</v>
      </c>
      <c r="D396" s="1" t="s">
        <v>792</v>
      </c>
      <c r="E396" s="1" t="s">
        <v>998</v>
      </c>
      <c r="F396" s="1">
        <v>6.0</v>
      </c>
      <c r="G396" s="1">
        <v>7.0</v>
      </c>
      <c r="H396" s="1">
        <v>-1.0</v>
      </c>
      <c r="I396" s="1">
        <v>5.0</v>
      </c>
      <c r="J396" s="1">
        <v>6.0</v>
      </c>
      <c r="K396" s="1">
        <v>-1.0</v>
      </c>
      <c r="L396" s="1">
        <v>14.0</v>
      </c>
      <c r="M396" s="1">
        <v>14.0</v>
      </c>
      <c r="N396" s="1">
        <v>8.0</v>
      </c>
      <c r="O396" s="1">
        <v>12.0</v>
      </c>
      <c r="P396" s="1">
        <v>25.0</v>
      </c>
      <c r="Q396" s="1">
        <v>10.0</v>
      </c>
    </row>
    <row r="397">
      <c r="A397" s="1">
        <v>6462.0</v>
      </c>
      <c r="B397" s="1" t="s">
        <v>477</v>
      </c>
      <c r="C397" s="1" t="s">
        <v>478</v>
      </c>
      <c r="D397" s="1" t="s">
        <v>864</v>
      </c>
      <c r="E397" s="1" t="s">
        <v>993</v>
      </c>
      <c r="F397" s="1">
        <v>8.0</v>
      </c>
      <c r="G397" s="1">
        <v>7.0</v>
      </c>
      <c r="H397" s="1">
        <v>1.0</v>
      </c>
      <c r="I397" s="1">
        <v>8.0</v>
      </c>
      <c r="J397" s="1">
        <v>7.0</v>
      </c>
      <c r="K397" s="1">
        <v>1.0</v>
      </c>
      <c r="L397" s="1">
        <v>17.0</v>
      </c>
      <c r="M397" s="1">
        <v>17.0</v>
      </c>
      <c r="N397" s="1">
        <v>31.0</v>
      </c>
      <c r="O397" s="1">
        <v>20.0</v>
      </c>
      <c r="P397" s="1">
        <v>1.0</v>
      </c>
      <c r="Q397" s="1">
        <v>23.0</v>
      </c>
    </row>
    <row r="398">
      <c r="A398" s="1">
        <v>6474.0</v>
      </c>
      <c r="B398" s="1" t="s">
        <v>480</v>
      </c>
      <c r="C398" s="1" t="s">
        <v>481</v>
      </c>
      <c r="D398" s="1" t="s">
        <v>1300</v>
      </c>
      <c r="E398" s="1" t="s">
        <v>1222</v>
      </c>
      <c r="F398" s="1">
        <v>1.0</v>
      </c>
      <c r="G398" s="1">
        <v>1.0</v>
      </c>
      <c r="H398" s="1">
        <v>0.0</v>
      </c>
      <c r="I398" s="1">
        <v>1.0</v>
      </c>
      <c r="J398" s="1">
        <v>1.0</v>
      </c>
      <c r="K398" s="1">
        <v>0.0</v>
      </c>
      <c r="L398" s="1">
        <v>4.0</v>
      </c>
      <c r="M398" s="1">
        <v>4.0</v>
      </c>
      <c r="N398" s="1">
        <v>6.0</v>
      </c>
      <c r="O398" s="1">
        <v>7.0</v>
      </c>
      <c r="P398" s="1">
        <v>4.0</v>
      </c>
      <c r="Q398" s="1">
        <v>5.0</v>
      </c>
    </row>
    <row r="399">
      <c r="A399" s="1">
        <v>6480.0</v>
      </c>
      <c r="B399" s="1" t="s">
        <v>480</v>
      </c>
      <c r="C399" s="1" t="s">
        <v>938</v>
      </c>
      <c r="D399" s="1" t="s">
        <v>845</v>
      </c>
      <c r="E399" s="1" t="s">
        <v>983</v>
      </c>
      <c r="F399" s="1">
        <v>8.0</v>
      </c>
      <c r="G399" s="1">
        <v>6.0</v>
      </c>
      <c r="H399" s="1">
        <v>2.0</v>
      </c>
      <c r="I399" s="1">
        <v>8.0</v>
      </c>
      <c r="J399" s="1">
        <v>6.0</v>
      </c>
      <c r="K399" s="1">
        <v>2.0</v>
      </c>
      <c r="L399" s="1">
        <v>16.0</v>
      </c>
      <c r="M399" s="1">
        <v>16.0</v>
      </c>
      <c r="N399" s="1">
        <v>14.0</v>
      </c>
      <c r="O399" s="1">
        <v>15.0</v>
      </c>
      <c r="P399" s="1">
        <v>4.0</v>
      </c>
      <c r="Q399" s="1">
        <v>14.0</v>
      </c>
    </row>
    <row r="400">
      <c r="A400" s="1">
        <v>6481.0</v>
      </c>
      <c r="B400" s="1" t="s">
        <v>492</v>
      </c>
      <c r="C400" s="1" t="s">
        <v>492</v>
      </c>
      <c r="D400" s="1" t="s">
        <v>865</v>
      </c>
      <c r="E400" s="1" t="s">
        <v>993</v>
      </c>
      <c r="F400" s="1">
        <v>6.0</v>
      </c>
      <c r="G400" s="1">
        <v>8.0</v>
      </c>
      <c r="H400" s="1">
        <v>-2.0</v>
      </c>
      <c r="I400" s="1">
        <v>6.0</v>
      </c>
      <c r="J400" s="1">
        <v>7.0</v>
      </c>
      <c r="K400" s="1">
        <v>-1.0</v>
      </c>
      <c r="L400" s="1">
        <v>15.0</v>
      </c>
      <c r="M400" s="1">
        <v>15.0</v>
      </c>
      <c r="N400" s="1">
        <v>10.0</v>
      </c>
      <c r="O400" s="1">
        <v>34.0</v>
      </c>
      <c r="P400" s="1">
        <v>8.0</v>
      </c>
      <c r="Q400" s="1">
        <v>12.0</v>
      </c>
    </row>
    <row r="401">
      <c r="A401" s="1">
        <v>6482.0</v>
      </c>
      <c r="B401" s="1" t="s">
        <v>477</v>
      </c>
      <c r="C401" s="1" t="s">
        <v>478</v>
      </c>
      <c r="D401" s="1" t="s">
        <v>814</v>
      </c>
      <c r="E401" s="1" t="s">
        <v>1000</v>
      </c>
      <c r="F401" s="1">
        <v>12.0</v>
      </c>
      <c r="G401" s="1">
        <v>1.0</v>
      </c>
      <c r="H401" s="1">
        <v>11.0</v>
      </c>
      <c r="I401" s="1">
        <v>12.0</v>
      </c>
      <c r="J401" s="1">
        <v>1.0</v>
      </c>
      <c r="K401" s="1">
        <v>11.0</v>
      </c>
      <c r="L401" s="1">
        <v>41.0</v>
      </c>
      <c r="M401" s="1">
        <v>41.0</v>
      </c>
      <c r="N401" s="1">
        <v>1.0</v>
      </c>
      <c r="O401" s="1">
        <v>1.0</v>
      </c>
      <c r="P401" s="1">
        <v>1.0</v>
      </c>
      <c r="Q401" s="1">
        <v>19.0</v>
      </c>
    </row>
    <row r="402">
      <c r="A402" s="1">
        <v>6485.0</v>
      </c>
      <c r="B402" s="1" t="s">
        <v>480</v>
      </c>
      <c r="C402" s="1" t="s">
        <v>481</v>
      </c>
      <c r="D402" s="1" t="s">
        <v>1092</v>
      </c>
      <c r="E402" s="1" t="s">
        <v>993</v>
      </c>
      <c r="F402" s="1">
        <v>4.0</v>
      </c>
      <c r="G402" s="1">
        <v>5.0</v>
      </c>
      <c r="H402" s="1">
        <v>-1.0</v>
      </c>
      <c r="I402" s="1">
        <v>4.0</v>
      </c>
      <c r="J402" s="1">
        <v>5.0</v>
      </c>
      <c r="K402" s="1">
        <v>-1.0</v>
      </c>
      <c r="L402" s="1">
        <v>10.0</v>
      </c>
      <c r="M402" s="1">
        <v>10.0</v>
      </c>
      <c r="N402" s="1">
        <v>8.0</v>
      </c>
      <c r="O402" s="1">
        <v>18.0</v>
      </c>
      <c r="P402" s="1">
        <v>3.0</v>
      </c>
      <c r="Q402" s="1">
        <v>8.0</v>
      </c>
    </row>
    <row r="403">
      <c r="A403" s="1">
        <v>6486.0</v>
      </c>
      <c r="B403" s="1" t="s">
        <v>492</v>
      </c>
      <c r="C403" s="1" t="s">
        <v>1057</v>
      </c>
      <c r="D403" s="1" t="s">
        <v>616</v>
      </c>
      <c r="E403" s="1" t="s">
        <v>983</v>
      </c>
      <c r="F403" s="1">
        <v>6.0</v>
      </c>
      <c r="G403" s="1">
        <v>13.0</v>
      </c>
      <c r="H403" s="1">
        <v>-7.0</v>
      </c>
      <c r="I403" s="1">
        <v>6.0</v>
      </c>
      <c r="J403" s="1">
        <v>13.0</v>
      </c>
      <c r="K403" s="1">
        <v>-7.0</v>
      </c>
      <c r="L403" s="1">
        <v>18.0</v>
      </c>
      <c r="M403" s="1">
        <v>21.0</v>
      </c>
      <c r="N403" s="1">
        <v>37.0</v>
      </c>
      <c r="O403" s="1">
        <v>45.0</v>
      </c>
      <c r="P403" s="1">
        <v>7.0</v>
      </c>
      <c r="Q403" s="1">
        <v>28.0</v>
      </c>
    </row>
    <row r="404">
      <c r="A404" s="1">
        <v>6492.0</v>
      </c>
      <c r="B404" s="1" t="s">
        <v>492</v>
      </c>
      <c r="C404" s="1" t="s">
        <v>1057</v>
      </c>
      <c r="D404" s="1" t="s">
        <v>1419</v>
      </c>
      <c r="E404" s="1" t="s">
        <v>1000</v>
      </c>
      <c r="F404" s="1">
        <v>1.0</v>
      </c>
      <c r="G404" s="1">
        <v>4.0</v>
      </c>
      <c r="H404" s="1">
        <v>-3.0</v>
      </c>
      <c r="I404" s="1">
        <v>1.0</v>
      </c>
      <c r="J404" s="1">
        <v>3.0</v>
      </c>
      <c r="K404" s="1">
        <v>-2.0</v>
      </c>
      <c r="L404" s="1">
        <v>6.0</v>
      </c>
      <c r="M404" s="1">
        <v>8.0</v>
      </c>
      <c r="N404" s="1" t="e">
        <v>#N/A</v>
      </c>
      <c r="O404" s="1">
        <v>20.0</v>
      </c>
      <c r="P404" s="1">
        <v>25.0</v>
      </c>
      <c r="Q404" s="1" t="e">
        <v>#N/A</v>
      </c>
    </row>
    <row r="405">
      <c r="A405" s="1">
        <v>6495.0</v>
      </c>
      <c r="B405" s="1" t="s">
        <v>480</v>
      </c>
      <c r="C405" s="1" t="s">
        <v>481</v>
      </c>
      <c r="D405" s="1" t="s">
        <v>50</v>
      </c>
      <c r="E405" s="1" t="s">
        <v>1033</v>
      </c>
      <c r="F405" s="1">
        <v>7.0</v>
      </c>
      <c r="G405" s="1">
        <v>1.0</v>
      </c>
      <c r="H405" s="1">
        <v>6.0</v>
      </c>
      <c r="I405" s="1">
        <v>7.0</v>
      </c>
      <c r="J405" s="1">
        <v>1.0</v>
      </c>
      <c r="K405" s="1">
        <v>6.0</v>
      </c>
      <c r="L405" s="1">
        <v>14.0</v>
      </c>
      <c r="M405" s="1">
        <v>14.0</v>
      </c>
      <c r="N405" s="1">
        <v>10.0</v>
      </c>
      <c r="O405" s="1">
        <v>1.0</v>
      </c>
      <c r="P405" s="1">
        <v>1.0</v>
      </c>
      <c r="Q405" s="1">
        <v>11.0</v>
      </c>
    </row>
    <row r="406">
      <c r="A406" s="1">
        <v>6496.0</v>
      </c>
      <c r="B406" s="1" t="s">
        <v>480</v>
      </c>
      <c r="C406" s="1" t="s">
        <v>931</v>
      </c>
      <c r="D406" s="1" t="s">
        <v>241</v>
      </c>
      <c r="E406" s="1" t="s">
        <v>991</v>
      </c>
      <c r="F406" s="1">
        <v>2.0</v>
      </c>
      <c r="G406" s="1">
        <v>1.0</v>
      </c>
      <c r="H406" s="1">
        <v>1.0</v>
      </c>
      <c r="I406" s="1">
        <v>2.0</v>
      </c>
      <c r="J406" s="1">
        <v>1.0</v>
      </c>
      <c r="K406" s="1">
        <v>1.0</v>
      </c>
      <c r="L406" s="1">
        <v>5.0</v>
      </c>
      <c r="M406" s="1">
        <v>5.0</v>
      </c>
      <c r="N406" s="1" t="e">
        <v>#N/A</v>
      </c>
      <c r="O406" s="1">
        <v>2.0</v>
      </c>
      <c r="P406" s="1">
        <v>2.0</v>
      </c>
      <c r="Q406" s="1" t="e">
        <v>#N/A</v>
      </c>
    </row>
    <row r="407">
      <c r="A407" s="1">
        <v>6505.0</v>
      </c>
      <c r="B407" s="1" t="s">
        <v>477</v>
      </c>
      <c r="C407" s="1" t="s">
        <v>478</v>
      </c>
      <c r="D407" s="1" t="s">
        <v>1117</v>
      </c>
      <c r="E407" s="1" t="s">
        <v>991</v>
      </c>
      <c r="F407" s="1">
        <v>1.0</v>
      </c>
      <c r="G407" s="1">
        <v>1.0</v>
      </c>
      <c r="H407" s="1">
        <v>0.0</v>
      </c>
      <c r="I407" s="1">
        <v>1.0</v>
      </c>
      <c r="J407" s="1">
        <v>1.0</v>
      </c>
      <c r="K407" s="1">
        <v>0.0</v>
      </c>
      <c r="L407" s="1">
        <v>1.0</v>
      </c>
      <c r="M407" s="1">
        <v>1.0</v>
      </c>
      <c r="N407" s="1">
        <v>1.0</v>
      </c>
      <c r="O407" s="1">
        <v>1.0</v>
      </c>
      <c r="P407" s="1">
        <v>1.0</v>
      </c>
      <c r="Q407" s="1">
        <v>1.0</v>
      </c>
    </row>
    <row r="408">
      <c r="A408" s="1">
        <v>6519.0</v>
      </c>
      <c r="B408" s="1" t="s">
        <v>507</v>
      </c>
      <c r="C408" s="1" t="s">
        <v>512</v>
      </c>
      <c r="D408" s="1" t="s">
        <v>392</v>
      </c>
      <c r="E408" s="1" t="s">
        <v>991</v>
      </c>
      <c r="F408" s="1">
        <v>2.0</v>
      </c>
      <c r="G408" s="1">
        <v>1.0</v>
      </c>
      <c r="H408" s="1">
        <v>1.0</v>
      </c>
      <c r="I408" s="1">
        <v>2.0</v>
      </c>
      <c r="J408" s="1">
        <v>1.0</v>
      </c>
      <c r="K408" s="1">
        <v>1.0</v>
      </c>
      <c r="L408" s="1">
        <v>6.0</v>
      </c>
      <c r="M408" s="1">
        <v>6.0</v>
      </c>
      <c r="N408" s="1">
        <v>1.0</v>
      </c>
      <c r="O408" s="1">
        <v>1.0</v>
      </c>
      <c r="P408" s="1">
        <v>1.0</v>
      </c>
      <c r="Q408" s="1">
        <v>3.0</v>
      </c>
    </row>
    <row r="409">
      <c r="A409" s="1">
        <v>6523.0</v>
      </c>
      <c r="B409" s="1" t="s">
        <v>477</v>
      </c>
      <c r="C409" s="1" t="s">
        <v>478</v>
      </c>
      <c r="D409" s="1" t="s">
        <v>81</v>
      </c>
      <c r="E409" s="1" t="s">
        <v>998</v>
      </c>
      <c r="F409" s="1">
        <v>1.0</v>
      </c>
      <c r="G409" s="1">
        <v>1.0</v>
      </c>
      <c r="H409" s="1">
        <v>0.0</v>
      </c>
      <c r="I409" s="1">
        <v>1.0</v>
      </c>
      <c r="J409" s="1">
        <v>1.0</v>
      </c>
      <c r="K409" s="1">
        <v>0.0</v>
      </c>
      <c r="L409" s="1">
        <v>1.0</v>
      </c>
      <c r="M409" s="1">
        <v>1.0</v>
      </c>
      <c r="N409" s="1">
        <v>1.0</v>
      </c>
      <c r="O409" s="1">
        <v>1.0</v>
      </c>
      <c r="P409" s="1">
        <v>1.0</v>
      </c>
      <c r="Q409" s="1">
        <v>1.0</v>
      </c>
    </row>
    <row r="410">
      <c r="A410" s="1">
        <v>6524.0</v>
      </c>
      <c r="B410" s="1" t="s">
        <v>492</v>
      </c>
      <c r="C410" s="1" t="s">
        <v>934</v>
      </c>
      <c r="D410" s="1" t="s">
        <v>648</v>
      </c>
      <c r="E410" s="1" t="s">
        <v>1225</v>
      </c>
      <c r="F410" s="1">
        <v>3.0</v>
      </c>
      <c r="G410" s="1">
        <v>1.0</v>
      </c>
      <c r="H410" s="1">
        <v>2.0</v>
      </c>
      <c r="I410" s="1">
        <v>3.0</v>
      </c>
      <c r="J410" s="1">
        <v>1.0</v>
      </c>
      <c r="K410" s="1">
        <v>2.0</v>
      </c>
      <c r="L410" s="1">
        <v>11.0</v>
      </c>
      <c r="M410" s="1">
        <v>11.0</v>
      </c>
      <c r="N410" s="1">
        <v>1.0</v>
      </c>
      <c r="O410" s="1" t="e">
        <v>#N/A</v>
      </c>
      <c r="P410" s="1" t="e">
        <v>#N/A</v>
      </c>
      <c r="Q410" s="1">
        <v>5.0</v>
      </c>
    </row>
    <row r="411">
      <c r="A411" s="1">
        <v>6531.0</v>
      </c>
      <c r="B411" s="1" t="s">
        <v>480</v>
      </c>
      <c r="C411" s="1" t="s">
        <v>944</v>
      </c>
      <c r="D411" s="1" t="s">
        <v>655</v>
      </c>
      <c r="E411" s="1" t="s">
        <v>991</v>
      </c>
      <c r="F411" s="1">
        <v>7.0</v>
      </c>
      <c r="G411" s="1">
        <v>1.0</v>
      </c>
      <c r="H411" s="1">
        <v>6.0</v>
      </c>
      <c r="I411" s="1">
        <v>7.0</v>
      </c>
      <c r="J411" s="1">
        <v>1.0</v>
      </c>
      <c r="K411" s="1">
        <v>6.0</v>
      </c>
      <c r="L411" s="1">
        <v>21.0</v>
      </c>
      <c r="M411" s="1">
        <v>24.0</v>
      </c>
      <c r="N411" s="1" t="e">
        <v>#N/A</v>
      </c>
      <c r="O411" s="1">
        <v>5.0</v>
      </c>
      <c r="P411" s="1">
        <v>5.0</v>
      </c>
      <c r="Q411" s="1" t="e">
        <v>#N/A</v>
      </c>
    </row>
    <row r="412">
      <c r="A412" s="1">
        <v>6533.0</v>
      </c>
      <c r="B412" s="1" t="s">
        <v>480</v>
      </c>
      <c r="C412" s="1" t="s">
        <v>481</v>
      </c>
      <c r="D412" s="1" t="s">
        <v>660</v>
      </c>
      <c r="E412" s="1" t="s">
        <v>993</v>
      </c>
      <c r="F412" s="1">
        <v>2.0</v>
      </c>
      <c r="G412" s="1">
        <v>4.0</v>
      </c>
      <c r="H412" s="1">
        <v>-2.0</v>
      </c>
      <c r="I412" s="1">
        <v>2.0</v>
      </c>
      <c r="J412" s="1">
        <v>4.0</v>
      </c>
      <c r="K412" s="1">
        <v>-2.0</v>
      </c>
      <c r="L412" s="1">
        <v>7.0</v>
      </c>
      <c r="M412" s="1">
        <v>7.0</v>
      </c>
      <c r="N412" s="1">
        <v>6.0</v>
      </c>
      <c r="O412" s="1">
        <v>24.0</v>
      </c>
      <c r="P412" s="1">
        <v>8.0</v>
      </c>
      <c r="Q412" s="1">
        <v>6.0</v>
      </c>
    </row>
    <row r="413">
      <c r="A413" s="1">
        <v>6537.0</v>
      </c>
      <c r="B413" s="1" t="s">
        <v>480</v>
      </c>
      <c r="C413" s="1" t="s">
        <v>937</v>
      </c>
      <c r="D413" s="1" t="s">
        <v>435</v>
      </c>
      <c r="E413" s="1" t="s">
        <v>1222</v>
      </c>
      <c r="F413" s="1">
        <v>5.0</v>
      </c>
      <c r="G413" s="1">
        <v>1.0</v>
      </c>
      <c r="H413" s="1">
        <v>4.0</v>
      </c>
      <c r="I413" s="1">
        <v>5.0</v>
      </c>
      <c r="J413" s="1">
        <v>1.0</v>
      </c>
      <c r="K413" s="1">
        <v>4.0</v>
      </c>
      <c r="L413" s="1">
        <v>14.0</v>
      </c>
      <c r="M413" s="1">
        <v>17.0</v>
      </c>
      <c r="N413" s="1">
        <v>1.0</v>
      </c>
      <c r="O413" s="1">
        <v>1.0</v>
      </c>
      <c r="P413" s="1">
        <v>1.0</v>
      </c>
      <c r="Q413" s="1">
        <v>8.0</v>
      </c>
    </row>
    <row r="414">
      <c r="A414" s="1">
        <v>6538.0</v>
      </c>
      <c r="B414" s="1" t="s">
        <v>492</v>
      </c>
      <c r="C414" s="1" t="s">
        <v>930</v>
      </c>
      <c r="D414" s="1" t="s">
        <v>1133</v>
      </c>
      <c r="E414" s="1" t="s">
        <v>1026</v>
      </c>
      <c r="F414" s="1">
        <v>4.0</v>
      </c>
      <c r="G414" s="1">
        <v>5.0</v>
      </c>
      <c r="H414" s="1">
        <v>-1.0</v>
      </c>
      <c r="I414" s="1">
        <v>5.0</v>
      </c>
      <c r="J414" s="1">
        <v>6.0</v>
      </c>
      <c r="K414" s="1">
        <v>-1.0</v>
      </c>
      <c r="L414" s="1">
        <v>11.0</v>
      </c>
      <c r="M414" s="1">
        <v>13.0</v>
      </c>
      <c r="N414" s="1" t="e">
        <v>#N/A</v>
      </c>
      <c r="O414" s="1" t="e">
        <v>#N/A</v>
      </c>
      <c r="P414" s="1" t="e">
        <v>#N/A</v>
      </c>
      <c r="Q414" s="1" t="e">
        <v>#N/A</v>
      </c>
    </row>
    <row r="415">
      <c r="A415" s="1">
        <v>6549.0</v>
      </c>
      <c r="B415" s="1" t="s">
        <v>507</v>
      </c>
      <c r="C415" s="1" t="s">
        <v>935</v>
      </c>
      <c r="D415" s="1" t="s">
        <v>764</v>
      </c>
      <c r="E415" s="1" t="s">
        <v>998</v>
      </c>
      <c r="F415" s="1">
        <v>10.0</v>
      </c>
      <c r="G415" s="1">
        <v>4.0</v>
      </c>
      <c r="H415" s="1">
        <v>6.0</v>
      </c>
      <c r="I415" s="1">
        <v>10.0</v>
      </c>
      <c r="J415" s="1">
        <v>4.0</v>
      </c>
      <c r="K415" s="1">
        <v>6.0</v>
      </c>
      <c r="L415" s="1">
        <v>19.0</v>
      </c>
      <c r="M415" s="1">
        <v>22.0</v>
      </c>
      <c r="N415" s="1">
        <v>4.0</v>
      </c>
      <c r="O415" s="1">
        <v>7.0</v>
      </c>
      <c r="P415" s="1">
        <v>7.0</v>
      </c>
      <c r="Q415" s="1">
        <v>12.0</v>
      </c>
    </row>
    <row r="416">
      <c r="A416" s="1">
        <v>6556.0</v>
      </c>
      <c r="B416" s="1" t="s">
        <v>507</v>
      </c>
      <c r="C416" s="1" t="s">
        <v>507</v>
      </c>
      <c r="D416" s="1" t="s">
        <v>626</v>
      </c>
      <c r="E416" s="1" t="s">
        <v>1000</v>
      </c>
      <c r="F416" s="1">
        <v>10.0</v>
      </c>
      <c r="G416" s="1">
        <v>16.0</v>
      </c>
      <c r="H416" s="1">
        <v>-6.0</v>
      </c>
      <c r="I416" s="1">
        <v>10.0</v>
      </c>
      <c r="J416" s="1">
        <v>16.0</v>
      </c>
      <c r="K416" s="1">
        <v>-6.0</v>
      </c>
      <c r="L416" s="1">
        <v>10.0</v>
      </c>
      <c r="M416" s="1">
        <v>10.0</v>
      </c>
      <c r="N416" s="1">
        <v>78.0</v>
      </c>
      <c r="O416" s="1">
        <v>65.0</v>
      </c>
      <c r="P416" s="1">
        <v>28.0</v>
      </c>
      <c r="Q416" s="1">
        <v>43.0</v>
      </c>
    </row>
    <row r="417">
      <c r="A417" s="1">
        <v>6572.0</v>
      </c>
      <c r="B417" s="1" t="s">
        <v>507</v>
      </c>
      <c r="C417" s="1" t="s">
        <v>512</v>
      </c>
      <c r="D417" s="1" t="s">
        <v>291</v>
      </c>
      <c r="E417" s="1" t="s">
        <v>1009</v>
      </c>
      <c r="F417" s="1">
        <v>18.0</v>
      </c>
      <c r="G417" s="1">
        <v>8.0</v>
      </c>
      <c r="H417" s="1">
        <v>10.0</v>
      </c>
      <c r="I417" s="1">
        <v>18.0</v>
      </c>
      <c r="J417" s="1">
        <v>7.0</v>
      </c>
      <c r="K417" s="1">
        <v>11.0</v>
      </c>
      <c r="L417" s="1">
        <v>64.0</v>
      </c>
      <c r="M417" s="1">
        <v>61.0</v>
      </c>
      <c r="N417" s="1">
        <v>45.0</v>
      </c>
      <c r="O417" s="1">
        <v>9.0</v>
      </c>
      <c r="P417" s="1">
        <v>9.0</v>
      </c>
      <c r="Q417" s="1">
        <v>49.0</v>
      </c>
    </row>
    <row r="418">
      <c r="A418" s="1">
        <v>6592.0</v>
      </c>
      <c r="B418" s="1" t="s">
        <v>492</v>
      </c>
      <c r="C418" s="1" t="s">
        <v>1057</v>
      </c>
      <c r="D418" s="1" t="s">
        <v>1306</v>
      </c>
      <c r="E418" s="1" t="s">
        <v>1225</v>
      </c>
      <c r="F418" s="1">
        <v>2.0</v>
      </c>
      <c r="G418" s="1">
        <v>6.0</v>
      </c>
      <c r="H418" s="1">
        <v>-4.0</v>
      </c>
      <c r="I418" s="1">
        <v>2.0</v>
      </c>
      <c r="J418" s="1">
        <v>6.0</v>
      </c>
      <c r="K418" s="1">
        <v>-4.0</v>
      </c>
      <c r="L418" s="1">
        <v>5.0</v>
      </c>
      <c r="M418" s="1">
        <v>7.0</v>
      </c>
      <c r="N418" s="1">
        <v>13.0</v>
      </c>
      <c r="O418" s="1" t="e">
        <v>#N/A</v>
      </c>
      <c r="P418" s="1" t="e">
        <v>#N/A</v>
      </c>
      <c r="Q418" s="1">
        <v>10.0</v>
      </c>
    </row>
    <row r="419">
      <c r="A419" s="1">
        <v>6598.0</v>
      </c>
      <c r="B419" s="1" t="s">
        <v>507</v>
      </c>
      <c r="C419" s="1" t="s">
        <v>512</v>
      </c>
      <c r="D419" s="1" t="s">
        <v>1307</v>
      </c>
      <c r="E419" s="1" t="s">
        <v>975</v>
      </c>
      <c r="F419" s="1">
        <v>2.0</v>
      </c>
      <c r="G419" s="1">
        <v>1.0</v>
      </c>
      <c r="H419" s="1">
        <v>1.0</v>
      </c>
      <c r="I419" s="1">
        <v>2.0</v>
      </c>
      <c r="J419" s="1">
        <v>1.0</v>
      </c>
      <c r="K419" s="1">
        <v>1.0</v>
      </c>
      <c r="L419" s="1">
        <v>3.0</v>
      </c>
      <c r="M419" s="1">
        <v>3.0</v>
      </c>
      <c r="N419" s="1">
        <v>2.0</v>
      </c>
      <c r="O419" s="1" t="e">
        <v>#N/A</v>
      </c>
      <c r="P419" s="1" t="e">
        <v>#N/A</v>
      </c>
      <c r="Q419" s="1">
        <v>2.0</v>
      </c>
    </row>
    <row r="420">
      <c r="A420" s="1">
        <v>6618.0</v>
      </c>
      <c r="B420" s="1" t="s">
        <v>492</v>
      </c>
      <c r="C420" s="1" t="s">
        <v>1057</v>
      </c>
      <c r="D420" s="1" t="s">
        <v>1550</v>
      </c>
      <c r="E420" s="1" t="s">
        <v>983</v>
      </c>
      <c r="F420" s="1">
        <v>1.0</v>
      </c>
      <c r="G420" s="1">
        <v>1.0</v>
      </c>
      <c r="H420" s="1">
        <v>0.0</v>
      </c>
      <c r="I420" s="1">
        <v>1.0</v>
      </c>
      <c r="J420" s="1">
        <v>1.0</v>
      </c>
      <c r="K420" s="1">
        <v>0.0</v>
      </c>
      <c r="L420" s="1">
        <v>1.0</v>
      </c>
      <c r="M420" s="1">
        <v>1.0</v>
      </c>
      <c r="N420" s="1" t="e">
        <v>#N/A</v>
      </c>
      <c r="O420" s="1" t="e">
        <v>#N/A</v>
      </c>
      <c r="P420" s="1" t="e">
        <v>#N/A</v>
      </c>
      <c r="Q420" s="1" t="e">
        <v>#N/A</v>
      </c>
    </row>
    <row r="421">
      <c r="A421" s="1">
        <v>6628.0</v>
      </c>
      <c r="B421" s="1" t="s">
        <v>507</v>
      </c>
      <c r="C421" s="1" t="s">
        <v>512</v>
      </c>
      <c r="D421" s="1" t="s">
        <v>856</v>
      </c>
      <c r="E421" s="1" t="s">
        <v>973</v>
      </c>
      <c r="F421" s="1">
        <v>7.0</v>
      </c>
      <c r="G421" s="1">
        <v>15.0</v>
      </c>
      <c r="H421" s="1">
        <v>-8.0</v>
      </c>
      <c r="I421" s="1">
        <v>7.0</v>
      </c>
      <c r="J421" s="1">
        <v>14.0</v>
      </c>
      <c r="K421" s="1">
        <v>-7.0</v>
      </c>
      <c r="L421" s="1">
        <v>8.0</v>
      </c>
      <c r="M421" s="1">
        <v>8.0</v>
      </c>
      <c r="N421" s="1">
        <v>65.0</v>
      </c>
      <c r="O421" s="1" t="e">
        <v>#N/A</v>
      </c>
      <c r="P421" s="1" t="e">
        <v>#N/A</v>
      </c>
      <c r="Q421" s="1">
        <v>36.0</v>
      </c>
    </row>
    <row r="422">
      <c r="A422" s="1">
        <v>6629.0</v>
      </c>
      <c r="B422" s="1" t="s">
        <v>492</v>
      </c>
      <c r="C422" s="1" t="s">
        <v>934</v>
      </c>
      <c r="D422" s="1" t="s">
        <v>862</v>
      </c>
      <c r="E422" s="1" t="s">
        <v>1000</v>
      </c>
      <c r="F422" s="1">
        <v>12.0</v>
      </c>
      <c r="G422" s="1">
        <v>5.0</v>
      </c>
      <c r="H422" s="1">
        <v>7.0</v>
      </c>
      <c r="I422" s="1">
        <v>12.0</v>
      </c>
      <c r="J422" s="1">
        <v>5.0</v>
      </c>
      <c r="K422" s="1">
        <v>7.0</v>
      </c>
      <c r="L422" s="1">
        <v>17.0</v>
      </c>
      <c r="M422" s="1">
        <v>18.0</v>
      </c>
      <c r="N422" s="1">
        <v>20.0</v>
      </c>
      <c r="O422" s="1" t="e">
        <v>#N/A</v>
      </c>
      <c r="P422" s="1" t="e">
        <v>#N/A</v>
      </c>
      <c r="Q422" s="1">
        <v>18.0</v>
      </c>
    </row>
    <row r="423">
      <c r="A423" s="1">
        <v>6630.0</v>
      </c>
      <c r="B423" s="1" t="s">
        <v>507</v>
      </c>
      <c r="C423" s="1" t="s">
        <v>512</v>
      </c>
      <c r="D423" s="1" t="s">
        <v>669</v>
      </c>
      <c r="E423" s="1" t="s">
        <v>983</v>
      </c>
      <c r="F423" s="1">
        <v>13.0</v>
      </c>
      <c r="G423" s="1">
        <v>8.0</v>
      </c>
      <c r="H423" s="1">
        <v>5.0</v>
      </c>
      <c r="I423" s="1">
        <v>13.0</v>
      </c>
      <c r="J423" s="1">
        <v>7.0</v>
      </c>
      <c r="K423" s="1">
        <v>6.0</v>
      </c>
      <c r="L423" s="1">
        <v>13.0</v>
      </c>
      <c r="M423" s="1">
        <v>10.0</v>
      </c>
      <c r="N423" s="1">
        <v>20.0</v>
      </c>
      <c r="O423" s="1" t="e">
        <v>#N/A</v>
      </c>
      <c r="P423" s="1" t="e">
        <v>#N/A</v>
      </c>
      <c r="Q423" s="1">
        <v>14.0</v>
      </c>
    </row>
    <row r="424">
      <c r="A424" s="1">
        <v>6631.0</v>
      </c>
      <c r="B424" s="1" t="s">
        <v>480</v>
      </c>
      <c r="C424" s="1" t="s">
        <v>481</v>
      </c>
      <c r="D424" s="1" t="s">
        <v>368</v>
      </c>
      <c r="E424" s="1" t="s">
        <v>983</v>
      </c>
      <c r="F424" s="1">
        <v>4.0</v>
      </c>
      <c r="G424" s="1">
        <v>1.0</v>
      </c>
      <c r="H424" s="1">
        <v>3.0</v>
      </c>
      <c r="I424" s="1">
        <v>4.0</v>
      </c>
      <c r="J424" s="1">
        <v>1.0</v>
      </c>
      <c r="K424" s="1">
        <v>3.0</v>
      </c>
      <c r="L424" s="1">
        <v>10.0</v>
      </c>
      <c r="M424" s="1">
        <v>10.0</v>
      </c>
      <c r="N424" s="1">
        <v>1.0</v>
      </c>
      <c r="O424" s="1" t="e">
        <v>#N/A</v>
      </c>
      <c r="P424" s="1" t="e">
        <v>#N/A</v>
      </c>
      <c r="Q424" s="1">
        <v>5.0</v>
      </c>
    </row>
    <row r="425">
      <c r="A425" s="1">
        <v>6632.0</v>
      </c>
      <c r="B425" s="1" t="s">
        <v>480</v>
      </c>
      <c r="C425" s="1" t="s">
        <v>481</v>
      </c>
      <c r="D425" s="1" t="s">
        <v>701</v>
      </c>
      <c r="E425" s="1" t="s">
        <v>998</v>
      </c>
      <c r="F425" s="1">
        <v>9.0</v>
      </c>
      <c r="G425" s="1">
        <v>3.0</v>
      </c>
      <c r="H425" s="1">
        <v>6.0</v>
      </c>
      <c r="I425" s="1">
        <v>9.0</v>
      </c>
      <c r="J425" s="1">
        <v>3.0</v>
      </c>
      <c r="K425" s="1">
        <v>6.0</v>
      </c>
      <c r="L425" s="1">
        <v>22.0</v>
      </c>
      <c r="M425" s="1">
        <v>22.0</v>
      </c>
      <c r="N425" s="1">
        <v>12.0</v>
      </c>
      <c r="O425" s="1" t="e">
        <v>#N/A</v>
      </c>
      <c r="P425" s="1" t="e">
        <v>#N/A</v>
      </c>
      <c r="Q425" s="1">
        <v>16.0</v>
      </c>
    </row>
    <row r="426">
      <c r="A426" s="1">
        <v>6633.0</v>
      </c>
      <c r="B426" s="1" t="s">
        <v>492</v>
      </c>
      <c r="C426" s="1" t="s">
        <v>930</v>
      </c>
      <c r="D426" s="1" t="s">
        <v>672</v>
      </c>
      <c r="E426" s="1" t="s">
        <v>998</v>
      </c>
      <c r="F426" s="1">
        <v>5.0</v>
      </c>
      <c r="G426" s="1">
        <v>4.0</v>
      </c>
      <c r="H426" s="1">
        <v>1.0</v>
      </c>
      <c r="I426" s="1">
        <v>5.0</v>
      </c>
      <c r="J426" s="1">
        <v>5.0</v>
      </c>
      <c r="K426" s="1">
        <v>0.0</v>
      </c>
      <c r="L426" s="1">
        <v>12.0</v>
      </c>
      <c r="M426" s="1">
        <v>15.0</v>
      </c>
      <c r="N426" s="1">
        <v>9.0</v>
      </c>
      <c r="O426" s="1" t="e">
        <v>#N/A</v>
      </c>
      <c r="P426" s="1" t="e">
        <v>#N/A</v>
      </c>
      <c r="Q426" s="1">
        <v>11.0</v>
      </c>
    </row>
    <row r="427">
      <c r="A427" s="1">
        <v>6634.0</v>
      </c>
      <c r="B427" s="1" t="s">
        <v>492</v>
      </c>
      <c r="C427" s="1" t="s">
        <v>563</v>
      </c>
      <c r="D427" s="1" t="s">
        <v>1193</v>
      </c>
      <c r="E427" s="1" t="s">
        <v>998</v>
      </c>
      <c r="F427" s="1">
        <v>10.0</v>
      </c>
      <c r="G427" s="1">
        <v>9.0</v>
      </c>
      <c r="H427" s="1">
        <v>1.0</v>
      </c>
      <c r="I427" s="1">
        <v>10.0</v>
      </c>
      <c r="J427" s="1">
        <v>8.0</v>
      </c>
      <c r="K427" s="1">
        <v>2.0</v>
      </c>
      <c r="L427" s="1">
        <v>25.0</v>
      </c>
      <c r="M427" s="1">
        <v>22.0</v>
      </c>
      <c r="N427" s="1">
        <v>16.0</v>
      </c>
      <c r="O427" s="1" t="e">
        <v>#N/A</v>
      </c>
      <c r="P427" s="1" t="e">
        <v>#N/A</v>
      </c>
      <c r="Q427" s="1">
        <v>18.0</v>
      </c>
    </row>
    <row r="428">
      <c r="A428" s="1">
        <v>6635.0</v>
      </c>
      <c r="B428" s="1" t="s">
        <v>507</v>
      </c>
      <c r="C428" s="1" t="s">
        <v>512</v>
      </c>
      <c r="D428" s="1" t="s">
        <v>1309</v>
      </c>
      <c r="E428" s="1" t="s">
        <v>993</v>
      </c>
      <c r="F428" s="1">
        <v>1.0</v>
      </c>
      <c r="G428" s="1">
        <v>3.0</v>
      </c>
      <c r="H428" s="1">
        <v>-2.0</v>
      </c>
      <c r="I428" s="1">
        <v>1.0</v>
      </c>
      <c r="J428" s="1">
        <v>3.0</v>
      </c>
      <c r="K428" s="1">
        <v>-2.0</v>
      </c>
      <c r="L428" s="1">
        <v>3.0</v>
      </c>
      <c r="M428" s="1">
        <v>3.0</v>
      </c>
      <c r="N428" s="1">
        <v>7.0</v>
      </c>
      <c r="O428" s="1" t="e">
        <v>#N/A</v>
      </c>
      <c r="P428" s="1" t="e">
        <v>#N/A</v>
      </c>
      <c r="Q428" s="1">
        <v>5.0</v>
      </c>
    </row>
    <row r="429">
      <c r="A429" s="1">
        <v>6638.0</v>
      </c>
      <c r="B429" s="1" t="s">
        <v>480</v>
      </c>
      <c r="C429" s="1" t="s">
        <v>481</v>
      </c>
      <c r="D429" s="1" t="s">
        <v>791</v>
      </c>
      <c r="E429" s="1" t="s">
        <v>987</v>
      </c>
      <c r="F429" s="1">
        <v>2.0</v>
      </c>
      <c r="G429" s="1">
        <v>8.0</v>
      </c>
      <c r="H429" s="1">
        <v>-6.0</v>
      </c>
      <c r="I429" s="1">
        <v>2.0</v>
      </c>
      <c r="J429" s="1">
        <v>8.0</v>
      </c>
      <c r="K429" s="1">
        <v>-6.0</v>
      </c>
      <c r="L429" s="1">
        <v>5.0</v>
      </c>
      <c r="M429" s="1">
        <v>5.0</v>
      </c>
      <c r="N429" s="1">
        <v>18.0</v>
      </c>
      <c r="O429" s="1" t="e">
        <v>#N/A</v>
      </c>
      <c r="P429" s="1" t="e">
        <v>#N/A</v>
      </c>
      <c r="Q429" s="1">
        <v>11.0</v>
      </c>
    </row>
    <row r="430">
      <c r="A430" s="1">
        <v>6639.0</v>
      </c>
      <c r="B430" s="1" t="s">
        <v>480</v>
      </c>
      <c r="C430" s="1" t="s">
        <v>931</v>
      </c>
      <c r="D430" s="1" t="s">
        <v>812</v>
      </c>
      <c r="E430" s="1" t="s">
        <v>983</v>
      </c>
      <c r="F430" s="1">
        <v>2.0</v>
      </c>
      <c r="G430" s="1">
        <v>5.0</v>
      </c>
      <c r="H430" s="1">
        <v>-3.0</v>
      </c>
      <c r="I430" s="1">
        <v>2.0</v>
      </c>
      <c r="J430" s="1">
        <v>5.0</v>
      </c>
      <c r="K430" s="1">
        <v>-3.0</v>
      </c>
      <c r="L430" s="1">
        <v>5.0</v>
      </c>
      <c r="M430" s="1">
        <v>5.0</v>
      </c>
      <c r="N430" s="1">
        <v>7.0</v>
      </c>
      <c r="O430" s="1" t="e">
        <v>#N/A</v>
      </c>
      <c r="P430" s="1" t="e">
        <v>#N/A</v>
      </c>
      <c r="Q430" s="1">
        <v>6.0</v>
      </c>
    </row>
    <row r="431">
      <c r="A431" s="1">
        <v>6640.0</v>
      </c>
      <c r="B431" s="1" t="s">
        <v>492</v>
      </c>
      <c r="C431" s="1" t="s">
        <v>1089</v>
      </c>
      <c r="D431" s="1" t="s">
        <v>762</v>
      </c>
      <c r="E431" s="1" t="s">
        <v>975</v>
      </c>
      <c r="F431" s="1">
        <v>5.0</v>
      </c>
      <c r="G431" s="1">
        <v>5.0</v>
      </c>
      <c r="H431" s="1">
        <v>0.0</v>
      </c>
      <c r="I431" s="1">
        <v>5.0</v>
      </c>
      <c r="J431" s="1">
        <v>6.0</v>
      </c>
      <c r="K431" s="1">
        <v>-1.0</v>
      </c>
      <c r="L431" s="1">
        <v>13.0</v>
      </c>
      <c r="M431" s="1">
        <v>16.0</v>
      </c>
      <c r="N431" s="1">
        <v>15.0</v>
      </c>
      <c r="O431" s="1" t="e">
        <v>#N/A</v>
      </c>
      <c r="P431" s="1" t="e">
        <v>#N/A</v>
      </c>
      <c r="Q431" s="1">
        <v>15.0</v>
      </c>
    </row>
    <row r="432">
      <c r="A432" s="1">
        <v>6641.0</v>
      </c>
      <c r="B432" s="1" t="s">
        <v>477</v>
      </c>
      <c r="C432" s="1" t="s">
        <v>478</v>
      </c>
      <c r="D432" s="1" t="s">
        <v>708</v>
      </c>
      <c r="E432" s="1" t="s">
        <v>985</v>
      </c>
      <c r="F432" s="1">
        <v>11.0</v>
      </c>
      <c r="G432" s="1">
        <v>7.0</v>
      </c>
      <c r="H432" s="1">
        <v>4.0</v>
      </c>
      <c r="I432" s="1">
        <v>11.0</v>
      </c>
      <c r="J432" s="1">
        <v>7.0</v>
      </c>
      <c r="K432" s="1">
        <v>4.0</v>
      </c>
      <c r="L432" s="1">
        <v>32.0</v>
      </c>
      <c r="M432" s="1">
        <v>32.0</v>
      </c>
      <c r="N432" s="1">
        <v>22.0</v>
      </c>
      <c r="O432" s="1" t="e">
        <v>#N/A</v>
      </c>
      <c r="P432" s="1" t="e">
        <v>#N/A</v>
      </c>
      <c r="Q432" s="1">
        <v>25.0</v>
      </c>
    </row>
    <row r="433">
      <c r="A433" s="1">
        <v>6642.0</v>
      </c>
      <c r="B433" s="1" t="s">
        <v>480</v>
      </c>
      <c r="C433" s="1" t="s">
        <v>481</v>
      </c>
      <c r="D433" s="1" t="s">
        <v>152</v>
      </c>
      <c r="E433" s="1" t="s">
        <v>972</v>
      </c>
      <c r="F433" s="1">
        <v>6.0</v>
      </c>
      <c r="G433" s="1">
        <v>8.0</v>
      </c>
      <c r="H433" s="1">
        <v>-2.0</v>
      </c>
      <c r="I433" s="1">
        <v>6.0</v>
      </c>
      <c r="J433" s="1">
        <v>8.0</v>
      </c>
      <c r="K433" s="1">
        <v>-2.0</v>
      </c>
      <c r="L433" s="1">
        <v>20.0</v>
      </c>
      <c r="M433" s="1">
        <v>20.0</v>
      </c>
      <c r="N433" s="1">
        <v>22.0</v>
      </c>
      <c r="O433" s="1" t="e">
        <v>#N/A</v>
      </c>
      <c r="P433" s="1" t="e">
        <v>#N/A</v>
      </c>
      <c r="Q433" s="1">
        <v>20.0</v>
      </c>
    </row>
    <row r="434">
      <c r="A434" s="1">
        <v>6643.0</v>
      </c>
      <c r="B434" s="1" t="s">
        <v>507</v>
      </c>
      <c r="C434" s="1" t="s">
        <v>512</v>
      </c>
      <c r="D434" s="1" t="s">
        <v>810</v>
      </c>
      <c r="E434" s="1" t="s">
        <v>1009</v>
      </c>
      <c r="F434" s="1">
        <v>12.0</v>
      </c>
      <c r="G434" s="1">
        <v>22.0</v>
      </c>
      <c r="H434" s="1">
        <v>-10.0</v>
      </c>
      <c r="I434" s="1">
        <v>12.0</v>
      </c>
      <c r="J434" s="1">
        <v>21.0</v>
      </c>
      <c r="K434" s="1">
        <v>-9.0</v>
      </c>
      <c r="L434" s="1">
        <v>31.0</v>
      </c>
      <c r="M434" s="1">
        <v>28.0</v>
      </c>
      <c r="N434" s="1">
        <v>91.0</v>
      </c>
      <c r="O434" s="1" t="e">
        <v>#N/A</v>
      </c>
      <c r="P434" s="1" t="e">
        <v>#N/A</v>
      </c>
      <c r="Q434" s="1">
        <v>57.0</v>
      </c>
    </row>
    <row r="435">
      <c r="A435" s="1">
        <v>6644.0</v>
      </c>
      <c r="B435" s="1" t="s">
        <v>507</v>
      </c>
      <c r="C435" s="1" t="s">
        <v>512</v>
      </c>
      <c r="D435" s="1" t="s">
        <v>855</v>
      </c>
      <c r="E435" s="1" t="s">
        <v>983</v>
      </c>
      <c r="F435" s="1">
        <v>5.0</v>
      </c>
      <c r="G435" s="1">
        <v>4.0</v>
      </c>
      <c r="H435" s="1">
        <v>1.0</v>
      </c>
      <c r="I435" s="1">
        <v>5.0</v>
      </c>
      <c r="J435" s="1">
        <v>3.0</v>
      </c>
      <c r="K435" s="1">
        <v>2.0</v>
      </c>
      <c r="L435" s="1">
        <v>10.0</v>
      </c>
      <c r="M435" s="1">
        <v>10.0</v>
      </c>
      <c r="N435" s="1">
        <v>10.0</v>
      </c>
      <c r="O435" s="1" t="e">
        <v>#N/A</v>
      </c>
      <c r="P435" s="1" t="e">
        <v>#N/A</v>
      </c>
      <c r="Q435" s="1">
        <v>9.0</v>
      </c>
    </row>
    <row r="436">
      <c r="A436" s="1">
        <v>6645.0</v>
      </c>
      <c r="B436" s="1" t="s">
        <v>492</v>
      </c>
      <c r="C436" s="1" t="s">
        <v>543</v>
      </c>
      <c r="D436" s="1" t="s">
        <v>766</v>
      </c>
      <c r="E436" s="1" t="s">
        <v>998</v>
      </c>
      <c r="F436" s="1">
        <v>1.0</v>
      </c>
      <c r="G436" s="1">
        <v>8.0</v>
      </c>
      <c r="H436" s="1">
        <v>-7.0</v>
      </c>
      <c r="I436" s="1">
        <v>1.0</v>
      </c>
      <c r="J436" s="1">
        <v>7.0</v>
      </c>
      <c r="K436" s="1">
        <v>-6.0</v>
      </c>
      <c r="L436" s="1">
        <v>5.0</v>
      </c>
      <c r="M436" s="1">
        <v>5.0</v>
      </c>
      <c r="N436" s="1">
        <v>13.0</v>
      </c>
      <c r="O436" s="1" t="e">
        <v>#N/A</v>
      </c>
      <c r="P436" s="1" t="e">
        <v>#N/A</v>
      </c>
      <c r="Q436" s="1">
        <v>9.0</v>
      </c>
    </row>
    <row r="437">
      <c r="A437" s="1">
        <v>6646.0</v>
      </c>
      <c r="B437" s="1" t="s">
        <v>507</v>
      </c>
      <c r="C437" s="1" t="s">
        <v>507</v>
      </c>
      <c r="D437" s="1" t="s">
        <v>695</v>
      </c>
      <c r="E437" s="1" t="s">
        <v>972</v>
      </c>
      <c r="F437" s="1">
        <v>20.0</v>
      </c>
      <c r="G437" s="1">
        <v>14.0</v>
      </c>
      <c r="H437" s="1">
        <v>6.0</v>
      </c>
      <c r="I437" s="1">
        <v>20.0</v>
      </c>
      <c r="J437" s="1">
        <v>15.0</v>
      </c>
      <c r="K437" s="1">
        <v>5.0</v>
      </c>
      <c r="L437" s="1">
        <v>73.0</v>
      </c>
      <c r="M437" s="1">
        <v>73.0</v>
      </c>
      <c r="N437" s="1">
        <v>72.0</v>
      </c>
      <c r="O437" s="1" t="e">
        <v>#N/A</v>
      </c>
      <c r="P437" s="1" t="e">
        <v>#N/A</v>
      </c>
      <c r="Q437" s="1">
        <v>68.0</v>
      </c>
    </row>
    <row r="438">
      <c r="A438" s="1">
        <v>6649.0</v>
      </c>
      <c r="B438" s="1" t="s">
        <v>480</v>
      </c>
      <c r="C438" s="1" t="s">
        <v>938</v>
      </c>
      <c r="D438" s="1" t="s">
        <v>871</v>
      </c>
      <c r="E438" s="1" t="s">
        <v>988</v>
      </c>
      <c r="F438" s="1">
        <v>1.0</v>
      </c>
      <c r="G438" s="1">
        <v>1.0</v>
      </c>
      <c r="H438" s="1">
        <v>0.0</v>
      </c>
      <c r="I438" s="1">
        <v>1.0</v>
      </c>
      <c r="J438" s="1">
        <v>1.0</v>
      </c>
      <c r="K438" s="1">
        <v>0.0</v>
      </c>
      <c r="L438" s="1">
        <v>1.0</v>
      </c>
      <c r="M438" s="1">
        <v>1.0</v>
      </c>
      <c r="N438" s="1">
        <v>1.0</v>
      </c>
      <c r="O438" s="1" t="e">
        <v>#N/A</v>
      </c>
      <c r="P438" s="1" t="e">
        <v>#N/A</v>
      </c>
      <c r="Q438" s="1">
        <v>1.0</v>
      </c>
    </row>
    <row r="439">
      <c r="A439" s="1">
        <v>6650.0</v>
      </c>
      <c r="B439" s="1" t="s">
        <v>477</v>
      </c>
      <c r="C439" s="1" t="s">
        <v>478</v>
      </c>
      <c r="D439" s="1" t="s">
        <v>1312</v>
      </c>
      <c r="E439" s="1" t="s">
        <v>975</v>
      </c>
      <c r="F439" s="1">
        <v>1.0</v>
      </c>
      <c r="G439" s="1">
        <v>1.0</v>
      </c>
      <c r="H439" s="1">
        <v>0.0</v>
      </c>
      <c r="I439" s="1">
        <v>1.0</v>
      </c>
      <c r="J439" s="1">
        <v>1.0</v>
      </c>
      <c r="K439" s="1">
        <v>0.0</v>
      </c>
      <c r="L439" s="1">
        <v>1.0</v>
      </c>
      <c r="M439" s="1">
        <v>1.0</v>
      </c>
      <c r="N439" s="1">
        <v>1.0</v>
      </c>
      <c r="O439" s="1" t="e">
        <v>#N/A</v>
      </c>
      <c r="P439" s="1" t="e">
        <v>#N/A</v>
      </c>
      <c r="Q439" s="1">
        <v>1.0</v>
      </c>
    </row>
    <row r="440">
      <c r="A440" s="1">
        <v>6653.0</v>
      </c>
      <c r="B440" s="1" t="s">
        <v>507</v>
      </c>
      <c r="C440" s="1" t="s">
        <v>507</v>
      </c>
      <c r="D440" s="1" t="s">
        <v>289</v>
      </c>
      <c r="E440" s="1" t="s">
        <v>993</v>
      </c>
      <c r="F440" s="1">
        <v>8.0</v>
      </c>
      <c r="G440" s="1">
        <v>4.0</v>
      </c>
      <c r="H440" s="1">
        <v>4.0</v>
      </c>
      <c r="I440" s="1">
        <v>8.0</v>
      </c>
      <c r="J440" s="1">
        <v>4.0</v>
      </c>
      <c r="K440" s="1">
        <v>4.0</v>
      </c>
      <c r="L440" s="1">
        <v>11.0</v>
      </c>
      <c r="M440" s="1">
        <v>11.0</v>
      </c>
      <c r="N440" s="1">
        <v>8.0</v>
      </c>
      <c r="O440" s="1" t="e">
        <v>#N/A</v>
      </c>
      <c r="P440" s="1" t="e">
        <v>#N/A</v>
      </c>
      <c r="Q440" s="1">
        <v>9.0</v>
      </c>
    </row>
    <row r="441">
      <c r="A441" s="1">
        <v>6654.0</v>
      </c>
      <c r="B441" s="1" t="s">
        <v>480</v>
      </c>
      <c r="C441" s="1" t="s">
        <v>938</v>
      </c>
      <c r="D441" s="1" t="s">
        <v>1313</v>
      </c>
      <c r="E441" s="1" t="s">
        <v>974</v>
      </c>
      <c r="F441" s="1">
        <v>1.0</v>
      </c>
      <c r="G441" s="1">
        <v>3.0</v>
      </c>
      <c r="H441" s="1">
        <v>-2.0</v>
      </c>
      <c r="I441" s="1">
        <v>1.0</v>
      </c>
      <c r="J441" s="1">
        <v>3.0</v>
      </c>
      <c r="K441" s="1">
        <v>-2.0</v>
      </c>
      <c r="L441" s="1">
        <v>5.0</v>
      </c>
      <c r="M441" s="1">
        <v>5.0</v>
      </c>
      <c r="N441" s="1">
        <v>7.0</v>
      </c>
      <c r="O441" s="1" t="e">
        <v>#N/A</v>
      </c>
      <c r="P441" s="1" t="e">
        <v>#N/A</v>
      </c>
      <c r="Q441" s="1">
        <v>6.0</v>
      </c>
    </row>
    <row r="442">
      <c r="A442" s="1">
        <v>6656.0</v>
      </c>
      <c r="B442" s="1" t="s">
        <v>492</v>
      </c>
      <c r="C442" s="1" t="s">
        <v>930</v>
      </c>
      <c r="D442" s="1" t="s">
        <v>774</v>
      </c>
      <c r="E442" s="1" t="s">
        <v>974</v>
      </c>
      <c r="F442" s="1">
        <v>2.0</v>
      </c>
      <c r="G442" s="1">
        <v>3.0</v>
      </c>
      <c r="H442" s="1">
        <v>-1.0</v>
      </c>
      <c r="I442" s="1">
        <v>1.0</v>
      </c>
      <c r="J442" s="1">
        <v>4.0</v>
      </c>
      <c r="K442" s="1">
        <v>-3.0</v>
      </c>
      <c r="L442" s="1">
        <v>5.0</v>
      </c>
      <c r="M442" s="1">
        <v>8.0</v>
      </c>
      <c r="N442" s="1">
        <v>10.0</v>
      </c>
      <c r="O442" s="1" t="e">
        <v>#N/A</v>
      </c>
      <c r="P442" s="1" t="e">
        <v>#N/A</v>
      </c>
      <c r="Q442" s="1">
        <v>9.0</v>
      </c>
    </row>
    <row r="443">
      <c r="A443" s="1">
        <v>6657.0</v>
      </c>
      <c r="B443" s="1" t="s">
        <v>507</v>
      </c>
      <c r="C443" s="1" t="s">
        <v>512</v>
      </c>
      <c r="D443" s="1" t="s">
        <v>1314</v>
      </c>
      <c r="E443" s="1" t="s">
        <v>974</v>
      </c>
      <c r="F443" s="1">
        <v>2.0</v>
      </c>
      <c r="G443" s="1">
        <v>2.0</v>
      </c>
      <c r="H443" s="1">
        <v>0.0</v>
      </c>
      <c r="I443" s="1">
        <v>2.0</v>
      </c>
      <c r="J443" s="1">
        <v>1.0</v>
      </c>
      <c r="K443" s="1">
        <v>1.0</v>
      </c>
      <c r="L443" s="1">
        <v>8.0</v>
      </c>
      <c r="M443" s="1">
        <v>8.0</v>
      </c>
      <c r="N443" s="1">
        <v>1.0</v>
      </c>
      <c r="O443" s="1" t="e">
        <v>#N/A</v>
      </c>
      <c r="P443" s="1" t="e">
        <v>#N/A</v>
      </c>
      <c r="Q443" s="1">
        <v>4.0</v>
      </c>
    </row>
    <row r="444">
      <c r="A444" s="1">
        <v>6660.0</v>
      </c>
      <c r="B444" s="1" t="s">
        <v>480</v>
      </c>
      <c r="C444" s="1" t="s">
        <v>481</v>
      </c>
      <c r="D444" s="1" t="s">
        <v>1102</v>
      </c>
      <c r="E444" s="1" t="s">
        <v>1233</v>
      </c>
      <c r="F444" s="1">
        <v>3.0</v>
      </c>
      <c r="G444" s="1">
        <v>1.0</v>
      </c>
      <c r="H444" s="1">
        <v>2.0</v>
      </c>
      <c r="I444" s="1">
        <v>3.0</v>
      </c>
      <c r="J444" s="1">
        <v>1.0</v>
      </c>
      <c r="K444" s="1">
        <v>2.0</v>
      </c>
      <c r="L444" s="1">
        <v>7.0</v>
      </c>
      <c r="M444" s="1">
        <v>7.0</v>
      </c>
      <c r="N444" s="1">
        <v>1.0</v>
      </c>
      <c r="O444" s="1" t="e">
        <v>#N/A</v>
      </c>
      <c r="P444" s="1" t="e">
        <v>#N/A</v>
      </c>
      <c r="Q444" s="1">
        <v>4.0</v>
      </c>
    </row>
    <row r="445">
      <c r="A445" s="1">
        <v>6662.0</v>
      </c>
      <c r="B445" s="1" t="s">
        <v>477</v>
      </c>
      <c r="C445" s="1" t="s">
        <v>478</v>
      </c>
      <c r="D445" s="1" t="s">
        <v>1036</v>
      </c>
      <c r="E445" s="1" t="s">
        <v>985</v>
      </c>
      <c r="F445" s="1">
        <v>1.0</v>
      </c>
      <c r="G445" s="1">
        <v>1.0</v>
      </c>
      <c r="H445" s="1">
        <v>0.0</v>
      </c>
      <c r="I445" s="1">
        <v>1.0</v>
      </c>
      <c r="J445" s="1">
        <v>1.0</v>
      </c>
      <c r="K445" s="1">
        <v>0.0</v>
      </c>
      <c r="L445" s="1">
        <v>1.0</v>
      </c>
      <c r="M445" s="1">
        <v>1.0</v>
      </c>
      <c r="N445" s="1">
        <v>1.0</v>
      </c>
      <c r="O445" s="1" t="e">
        <v>#N/A</v>
      </c>
      <c r="P445" s="1" t="e">
        <v>#N/A</v>
      </c>
      <c r="Q445" s="1">
        <v>1.0</v>
      </c>
    </row>
    <row r="446">
      <c r="A446" s="1">
        <v>6663.0</v>
      </c>
      <c r="B446" s="1" t="s">
        <v>480</v>
      </c>
      <c r="C446" s="1" t="s">
        <v>481</v>
      </c>
      <c r="D446" s="1" t="s">
        <v>715</v>
      </c>
      <c r="E446" s="1" t="s">
        <v>985</v>
      </c>
      <c r="F446" s="1">
        <v>2.0</v>
      </c>
      <c r="G446" s="1">
        <v>5.0</v>
      </c>
      <c r="H446" s="1">
        <v>-3.0</v>
      </c>
      <c r="I446" s="1">
        <v>2.0</v>
      </c>
      <c r="J446" s="1">
        <v>5.0</v>
      </c>
      <c r="K446" s="1">
        <v>-3.0</v>
      </c>
      <c r="L446" s="1">
        <v>9.0</v>
      </c>
      <c r="M446" s="1">
        <v>9.0</v>
      </c>
      <c r="N446" s="1">
        <v>8.0</v>
      </c>
      <c r="O446" s="1" t="e">
        <v>#N/A</v>
      </c>
      <c r="P446" s="1" t="e">
        <v>#N/A</v>
      </c>
      <c r="Q446" s="1">
        <v>8.0</v>
      </c>
    </row>
    <row r="447">
      <c r="A447" s="1">
        <v>6664.0</v>
      </c>
      <c r="B447" s="1" t="s">
        <v>480</v>
      </c>
      <c r="C447" s="1" t="s">
        <v>1019</v>
      </c>
      <c r="D447" s="1" t="s">
        <v>612</v>
      </c>
      <c r="E447" s="1" t="s">
        <v>985</v>
      </c>
      <c r="F447" s="1">
        <v>12.0</v>
      </c>
      <c r="G447" s="1">
        <v>6.0</v>
      </c>
      <c r="H447" s="1">
        <v>6.0</v>
      </c>
      <c r="I447" s="1">
        <v>12.0</v>
      </c>
      <c r="J447" s="1">
        <v>7.0</v>
      </c>
      <c r="K447" s="1">
        <v>5.0</v>
      </c>
      <c r="L447" s="1">
        <v>22.0</v>
      </c>
      <c r="M447" s="1">
        <v>27.0</v>
      </c>
      <c r="N447" s="1">
        <v>16.0</v>
      </c>
      <c r="O447" s="1" t="e">
        <v>#N/A</v>
      </c>
      <c r="P447" s="1" t="e">
        <v>#N/A</v>
      </c>
      <c r="Q447" s="1">
        <v>20.0</v>
      </c>
    </row>
    <row r="448">
      <c r="A448" s="1">
        <v>6666.0</v>
      </c>
      <c r="B448" s="1" t="s">
        <v>492</v>
      </c>
      <c r="C448" s="1" t="s">
        <v>934</v>
      </c>
      <c r="D448" s="1" t="s">
        <v>773</v>
      </c>
      <c r="E448" s="1" t="s">
        <v>985</v>
      </c>
      <c r="F448" s="1">
        <v>10.0</v>
      </c>
      <c r="G448" s="1">
        <v>14.0</v>
      </c>
      <c r="H448" s="1">
        <v>-4.0</v>
      </c>
      <c r="I448" s="1">
        <v>10.0</v>
      </c>
      <c r="J448" s="1">
        <v>14.0</v>
      </c>
      <c r="K448" s="1">
        <v>-4.0</v>
      </c>
      <c r="L448" s="1">
        <v>22.0</v>
      </c>
      <c r="M448" s="1">
        <v>22.0</v>
      </c>
      <c r="N448" s="1">
        <v>45.0</v>
      </c>
      <c r="O448" s="1" t="e">
        <v>#N/A</v>
      </c>
      <c r="P448" s="1" t="e">
        <v>#N/A</v>
      </c>
      <c r="Q448" s="1">
        <v>32.0</v>
      </c>
    </row>
    <row r="449">
      <c r="A449" s="1">
        <v>6667.0</v>
      </c>
      <c r="B449" s="1" t="s">
        <v>507</v>
      </c>
      <c r="C449" s="1" t="s">
        <v>507</v>
      </c>
      <c r="D449" s="1" t="s">
        <v>1004</v>
      </c>
      <c r="E449" s="1" t="s">
        <v>985</v>
      </c>
      <c r="F449" s="1">
        <v>2.0</v>
      </c>
      <c r="G449" s="1">
        <v>10.0</v>
      </c>
      <c r="H449" s="1">
        <v>-8.0</v>
      </c>
      <c r="I449" s="1">
        <v>2.0</v>
      </c>
      <c r="J449" s="1">
        <v>10.0</v>
      </c>
      <c r="K449" s="1">
        <v>-8.0</v>
      </c>
      <c r="L449" s="1">
        <v>5.0</v>
      </c>
      <c r="M449" s="1">
        <v>5.0</v>
      </c>
      <c r="N449" s="1">
        <v>22.0</v>
      </c>
      <c r="O449" s="1" t="e">
        <v>#N/A</v>
      </c>
      <c r="P449" s="1" t="e">
        <v>#N/A</v>
      </c>
      <c r="Q449" s="1">
        <v>13.0</v>
      </c>
    </row>
    <row r="450">
      <c r="A450" s="1">
        <v>6669.0</v>
      </c>
      <c r="B450" s="1" t="s">
        <v>507</v>
      </c>
      <c r="C450" s="1" t="s">
        <v>512</v>
      </c>
      <c r="D450" s="1" t="s">
        <v>879</v>
      </c>
      <c r="E450" s="1" t="s">
        <v>985</v>
      </c>
      <c r="F450" s="1">
        <v>17.0</v>
      </c>
      <c r="G450" s="1">
        <v>8.0</v>
      </c>
      <c r="H450" s="1">
        <v>9.0</v>
      </c>
      <c r="I450" s="1">
        <v>16.0</v>
      </c>
      <c r="J450" s="1">
        <v>7.0</v>
      </c>
      <c r="K450" s="1">
        <v>9.0</v>
      </c>
      <c r="L450" s="1">
        <v>46.0</v>
      </c>
      <c r="M450" s="1">
        <v>43.0</v>
      </c>
      <c r="N450" s="1">
        <v>40.0</v>
      </c>
      <c r="O450" s="1" t="e">
        <v>#N/A</v>
      </c>
      <c r="P450" s="1" t="e">
        <v>#N/A</v>
      </c>
      <c r="Q450" s="1">
        <v>39.0</v>
      </c>
    </row>
    <row r="451">
      <c r="A451" s="1">
        <v>6670.0</v>
      </c>
      <c r="B451" s="1" t="s">
        <v>507</v>
      </c>
      <c r="C451" s="1" t="s">
        <v>512</v>
      </c>
      <c r="D451" s="1" t="s">
        <v>1316</v>
      </c>
      <c r="E451" s="1" t="s">
        <v>985</v>
      </c>
      <c r="F451" s="1">
        <v>5.0</v>
      </c>
      <c r="G451" s="1">
        <v>1.0</v>
      </c>
      <c r="H451" s="1">
        <v>4.0</v>
      </c>
      <c r="I451" s="1">
        <v>5.0</v>
      </c>
      <c r="J451" s="1">
        <v>1.0</v>
      </c>
      <c r="K451" s="1">
        <v>4.0</v>
      </c>
      <c r="L451" s="1">
        <v>12.0</v>
      </c>
      <c r="M451" s="1">
        <v>12.0</v>
      </c>
      <c r="N451" s="1">
        <v>1.0</v>
      </c>
      <c r="O451" s="1" t="e">
        <v>#N/A</v>
      </c>
      <c r="P451" s="1" t="e">
        <v>#N/A</v>
      </c>
      <c r="Q451" s="1">
        <v>6.0</v>
      </c>
    </row>
    <row r="452">
      <c r="A452" s="1">
        <v>6671.0</v>
      </c>
      <c r="B452" s="1" t="s">
        <v>477</v>
      </c>
      <c r="C452" s="1" t="s">
        <v>478</v>
      </c>
      <c r="D452" s="1" t="s">
        <v>1317</v>
      </c>
      <c r="E452" s="1" t="s">
        <v>1233</v>
      </c>
      <c r="F452" s="1">
        <v>1.0</v>
      </c>
      <c r="G452" s="1">
        <v>1.0</v>
      </c>
      <c r="H452" s="1">
        <v>0.0</v>
      </c>
      <c r="I452" s="1">
        <v>1.0</v>
      </c>
      <c r="J452" s="1">
        <v>1.0</v>
      </c>
      <c r="K452" s="1">
        <v>0.0</v>
      </c>
      <c r="L452" s="1">
        <v>1.0</v>
      </c>
      <c r="M452" s="1">
        <v>1.0</v>
      </c>
      <c r="N452" s="1">
        <v>1.0</v>
      </c>
      <c r="O452" s="1" t="e">
        <v>#N/A</v>
      </c>
      <c r="P452" s="1" t="e">
        <v>#N/A</v>
      </c>
      <c r="Q452" s="1">
        <v>1.0</v>
      </c>
    </row>
    <row r="453">
      <c r="A453" s="1">
        <v>6672.0</v>
      </c>
      <c r="B453" s="1" t="s">
        <v>480</v>
      </c>
      <c r="C453" s="1" t="s">
        <v>481</v>
      </c>
      <c r="D453" s="1" t="s">
        <v>782</v>
      </c>
      <c r="E453" s="1" t="s">
        <v>1233</v>
      </c>
      <c r="F453" s="1">
        <v>9.0</v>
      </c>
      <c r="G453" s="1">
        <v>4.0</v>
      </c>
      <c r="H453" s="1">
        <v>5.0</v>
      </c>
      <c r="I453" s="1">
        <v>9.0</v>
      </c>
      <c r="J453" s="1">
        <v>4.0</v>
      </c>
      <c r="K453" s="1">
        <v>5.0</v>
      </c>
      <c r="L453" s="1">
        <v>18.0</v>
      </c>
      <c r="M453" s="1">
        <v>18.0</v>
      </c>
      <c r="N453" s="1">
        <v>9.0</v>
      </c>
      <c r="O453" s="1" t="e">
        <v>#N/A</v>
      </c>
      <c r="P453" s="1" t="e">
        <v>#N/A</v>
      </c>
      <c r="Q453" s="1">
        <v>12.0</v>
      </c>
    </row>
    <row r="454">
      <c r="A454" s="1">
        <v>6673.0</v>
      </c>
      <c r="B454" s="1" t="s">
        <v>480</v>
      </c>
      <c r="C454" s="1" t="s">
        <v>979</v>
      </c>
      <c r="D454" s="1" t="s">
        <v>1318</v>
      </c>
      <c r="E454" s="1" t="s">
        <v>1233</v>
      </c>
      <c r="F454" s="1">
        <v>2.0</v>
      </c>
      <c r="G454" s="1">
        <v>4.0</v>
      </c>
      <c r="H454" s="1">
        <v>-2.0</v>
      </c>
      <c r="I454" s="1">
        <v>2.0</v>
      </c>
      <c r="J454" s="1">
        <v>5.0</v>
      </c>
      <c r="K454" s="1">
        <v>-3.0</v>
      </c>
      <c r="L454" s="1">
        <v>10.0</v>
      </c>
      <c r="M454" s="1">
        <v>13.0</v>
      </c>
      <c r="N454" s="1">
        <v>9.0</v>
      </c>
      <c r="O454" s="1" t="e">
        <v>#N/A</v>
      </c>
      <c r="P454" s="1" t="e">
        <v>#N/A</v>
      </c>
      <c r="Q454" s="1">
        <v>10.0</v>
      </c>
    </row>
    <row r="455">
      <c r="A455" s="1">
        <v>6675.0</v>
      </c>
      <c r="B455" s="1" t="s">
        <v>507</v>
      </c>
      <c r="C455" s="1" t="s">
        <v>512</v>
      </c>
      <c r="D455" s="1" t="s">
        <v>333</v>
      </c>
      <c r="E455" s="1" t="s">
        <v>988</v>
      </c>
      <c r="F455" s="1">
        <v>23.0</v>
      </c>
      <c r="G455" s="1">
        <v>32.0</v>
      </c>
      <c r="H455" s="1">
        <v>-9.0</v>
      </c>
      <c r="I455" s="1">
        <v>23.0</v>
      </c>
      <c r="J455" s="1">
        <v>31.0</v>
      </c>
      <c r="K455" s="1">
        <v>-8.0</v>
      </c>
      <c r="L455" s="1">
        <v>260.0</v>
      </c>
      <c r="M455" s="1">
        <v>260.0</v>
      </c>
      <c r="N455" s="1">
        <v>235.0</v>
      </c>
      <c r="O455" s="1" t="e">
        <v>#N/A</v>
      </c>
      <c r="P455" s="1" t="e">
        <v>#N/A</v>
      </c>
      <c r="Q455" s="1">
        <v>231.0</v>
      </c>
    </row>
    <row r="456">
      <c r="A456" s="1">
        <v>6676.0</v>
      </c>
      <c r="B456" s="1" t="s">
        <v>492</v>
      </c>
      <c r="C456" s="1" t="s">
        <v>930</v>
      </c>
      <c r="D456" s="1" t="s">
        <v>1320</v>
      </c>
      <c r="E456" s="1" t="s">
        <v>974</v>
      </c>
      <c r="F456" s="1">
        <v>5.0</v>
      </c>
      <c r="G456" s="1">
        <v>4.0</v>
      </c>
      <c r="H456" s="1">
        <v>1.0</v>
      </c>
      <c r="I456" s="1">
        <v>5.0</v>
      </c>
      <c r="J456" s="1">
        <v>4.0</v>
      </c>
      <c r="K456" s="1">
        <v>1.0</v>
      </c>
      <c r="L456" s="1">
        <v>9.0</v>
      </c>
      <c r="M456" s="1">
        <v>12.0</v>
      </c>
      <c r="N456" s="1">
        <v>10.0</v>
      </c>
      <c r="O456" s="1" t="e">
        <v>#N/A</v>
      </c>
      <c r="P456" s="1" t="e">
        <v>#N/A</v>
      </c>
      <c r="Q456" s="1">
        <v>10.0</v>
      </c>
    </row>
    <row r="457">
      <c r="A457" s="1">
        <v>6677.0</v>
      </c>
      <c r="B457" s="1" t="s">
        <v>492</v>
      </c>
      <c r="C457" s="1" t="s">
        <v>543</v>
      </c>
      <c r="D457" s="1" t="s">
        <v>427</v>
      </c>
      <c r="E457" s="1" t="s">
        <v>976</v>
      </c>
      <c r="F457" s="1">
        <v>1.0</v>
      </c>
      <c r="G457" s="1">
        <v>1.0</v>
      </c>
      <c r="H457" s="1">
        <v>0.0</v>
      </c>
      <c r="I457" s="1">
        <v>1.0</v>
      </c>
      <c r="J457" s="1">
        <v>1.0</v>
      </c>
      <c r="K457" s="1">
        <v>0.0</v>
      </c>
      <c r="L457" s="1">
        <v>3.0</v>
      </c>
      <c r="M457" s="1">
        <v>3.0</v>
      </c>
      <c r="N457" s="1">
        <v>1.0</v>
      </c>
      <c r="O457" s="1" t="e">
        <v>#N/A</v>
      </c>
      <c r="P457" s="1" t="e">
        <v>#N/A</v>
      </c>
      <c r="Q457" s="1">
        <v>2.0</v>
      </c>
    </row>
    <row r="458">
      <c r="A458" s="1">
        <v>6678.0</v>
      </c>
      <c r="B458" s="1" t="s">
        <v>492</v>
      </c>
      <c r="C458" s="1" t="s">
        <v>1057</v>
      </c>
      <c r="D458" s="1" t="s">
        <v>647</v>
      </c>
      <c r="E458" s="1" t="s">
        <v>991</v>
      </c>
      <c r="F458" s="1">
        <v>1.0</v>
      </c>
      <c r="G458" s="1">
        <v>1.0</v>
      </c>
      <c r="H458" s="1">
        <v>0.0</v>
      </c>
      <c r="I458" s="1">
        <v>1.0</v>
      </c>
      <c r="J458" s="1">
        <v>1.0</v>
      </c>
      <c r="K458" s="1">
        <v>0.0</v>
      </c>
      <c r="L458" s="1">
        <v>5.0</v>
      </c>
      <c r="M458" s="1">
        <v>5.0</v>
      </c>
      <c r="N458" s="1">
        <v>1.0</v>
      </c>
      <c r="O458" s="1" t="e">
        <v>#N/A</v>
      </c>
      <c r="P458" s="1" t="e">
        <v>#N/A</v>
      </c>
      <c r="Q458" s="1">
        <v>3.0</v>
      </c>
    </row>
    <row r="459">
      <c r="A459" s="1">
        <v>6680.0</v>
      </c>
      <c r="B459" s="1" t="s">
        <v>492</v>
      </c>
      <c r="C459" s="1" t="s">
        <v>930</v>
      </c>
      <c r="D459" s="1" t="s">
        <v>874</v>
      </c>
      <c r="E459" s="1" t="s">
        <v>993</v>
      </c>
      <c r="F459" s="1">
        <v>6.0</v>
      </c>
      <c r="G459" s="1">
        <v>5.0</v>
      </c>
      <c r="H459" s="1">
        <v>1.0</v>
      </c>
      <c r="I459" s="1">
        <v>6.0</v>
      </c>
      <c r="J459" s="1">
        <v>5.0</v>
      </c>
      <c r="K459" s="1">
        <v>1.0</v>
      </c>
      <c r="L459" s="1">
        <v>21.0</v>
      </c>
      <c r="M459" s="1">
        <v>26.0</v>
      </c>
      <c r="N459" s="1">
        <v>8.0</v>
      </c>
      <c r="O459" s="1" t="e">
        <v>#N/A</v>
      </c>
      <c r="P459" s="1" t="e">
        <v>#N/A</v>
      </c>
      <c r="Q459" s="1">
        <v>15.0</v>
      </c>
    </row>
    <row r="460">
      <c r="A460" s="1">
        <v>6681.0</v>
      </c>
      <c r="B460" s="1" t="s">
        <v>480</v>
      </c>
      <c r="C460" s="1" t="s">
        <v>938</v>
      </c>
      <c r="D460" s="1" t="s">
        <v>1321</v>
      </c>
      <c r="E460" s="1" t="s">
        <v>1233</v>
      </c>
      <c r="F460" s="1">
        <v>1.0</v>
      </c>
      <c r="G460" s="1">
        <v>1.0</v>
      </c>
      <c r="H460" s="1">
        <v>0.0</v>
      </c>
      <c r="I460" s="1">
        <v>1.0</v>
      </c>
      <c r="J460" s="1">
        <v>1.0</v>
      </c>
      <c r="K460" s="1">
        <v>0.0</v>
      </c>
      <c r="L460" s="1">
        <v>2.0</v>
      </c>
      <c r="M460" s="1">
        <v>2.0</v>
      </c>
      <c r="N460" s="1">
        <v>7.0</v>
      </c>
      <c r="O460" s="1" t="e">
        <v>#N/A</v>
      </c>
      <c r="P460" s="1" t="e">
        <v>#N/A</v>
      </c>
      <c r="Q460" s="1">
        <v>4.0</v>
      </c>
    </row>
    <row r="461">
      <c r="A461" s="1">
        <v>6682.0</v>
      </c>
      <c r="B461" s="1" t="s">
        <v>477</v>
      </c>
      <c r="C461" s="1" t="s">
        <v>478</v>
      </c>
      <c r="D461" s="1" t="s">
        <v>828</v>
      </c>
      <c r="E461" s="1" t="s">
        <v>1225</v>
      </c>
      <c r="F461" s="1">
        <v>2.0</v>
      </c>
      <c r="G461" s="1">
        <v>1.0</v>
      </c>
      <c r="H461" s="1">
        <v>1.0</v>
      </c>
      <c r="I461" s="1">
        <v>2.0</v>
      </c>
      <c r="J461" s="1">
        <v>1.0</v>
      </c>
      <c r="K461" s="1">
        <v>1.0</v>
      </c>
      <c r="L461" s="1">
        <v>1.0</v>
      </c>
      <c r="M461" s="1">
        <v>1.0</v>
      </c>
      <c r="N461" s="1">
        <v>15.0</v>
      </c>
      <c r="O461" s="1" t="e">
        <v>#N/A</v>
      </c>
      <c r="P461" s="1" t="e">
        <v>#N/A</v>
      </c>
      <c r="Q461" s="1">
        <v>8.0</v>
      </c>
    </row>
    <row r="462">
      <c r="A462" s="1">
        <v>6683.0</v>
      </c>
      <c r="B462" s="1" t="s">
        <v>492</v>
      </c>
      <c r="C462" s="1" t="s">
        <v>930</v>
      </c>
      <c r="D462" s="1" t="s">
        <v>1322</v>
      </c>
      <c r="E462" s="1" t="s">
        <v>1233</v>
      </c>
      <c r="F462" s="1">
        <v>7.0</v>
      </c>
      <c r="G462" s="1">
        <v>1.0</v>
      </c>
      <c r="H462" s="1">
        <v>6.0</v>
      </c>
      <c r="I462" s="1">
        <v>7.0</v>
      </c>
      <c r="J462" s="1">
        <v>1.0</v>
      </c>
      <c r="K462" s="1">
        <v>6.0</v>
      </c>
      <c r="L462" s="1">
        <v>9.0</v>
      </c>
      <c r="M462" s="1">
        <v>12.0</v>
      </c>
      <c r="N462" s="1">
        <v>2.0</v>
      </c>
      <c r="O462" s="1" t="e">
        <v>#N/A</v>
      </c>
      <c r="P462" s="1" t="e">
        <v>#N/A</v>
      </c>
      <c r="Q462" s="1">
        <v>6.0</v>
      </c>
    </row>
    <row r="463">
      <c r="A463" s="1">
        <v>6684.0</v>
      </c>
      <c r="B463" s="1" t="s">
        <v>492</v>
      </c>
      <c r="C463" s="1" t="s">
        <v>934</v>
      </c>
      <c r="D463" s="1" t="s">
        <v>749</v>
      </c>
      <c r="E463" s="1" t="s">
        <v>993</v>
      </c>
      <c r="F463" s="1">
        <v>12.0</v>
      </c>
      <c r="G463" s="1">
        <v>6.0</v>
      </c>
      <c r="H463" s="1">
        <v>6.0</v>
      </c>
      <c r="I463" s="1">
        <v>12.0</v>
      </c>
      <c r="J463" s="1">
        <v>6.0</v>
      </c>
      <c r="K463" s="1">
        <v>6.0</v>
      </c>
      <c r="L463" s="1">
        <v>24.0</v>
      </c>
      <c r="M463" s="1">
        <v>24.0</v>
      </c>
      <c r="N463" s="1">
        <v>12.0</v>
      </c>
      <c r="O463" s="1" t="e">
        <v>#N/A</v>
      </c>
      <c r="P463" s="1" t="e">
        <v>#N/A</v>
      </c>
      <c r="Q463" s="1">
        <v>17.0</v>
      </c>
    </row>
    <row r="464">
      <c r="A464" s="1">
        <v>6761.0</v>
      </c>
      <c r="B464" s="1" t="s">
        <v>492</v>
      </c>
      <c r="C464" s="1" t="s">
        <v>930</v>
      </c>
      <c r="D464" s="1" t="s">
        <v>725</v>
      </c>
      <c r="E464" s="1" t="s">
        <v>976</v>
      </c>
      <c r="F464" s="1">
        <v>7.0</v>
      </c>
      <c r="G464" s="1">
        <v>3.0</v>
      </c>
      <c r="H464" s="1">
        <v>4.0</v>
      </c>
      <c r="I464" s="1">
        <v>7.0</v>
      </c>
      <c r="J464" s="1">
        <v>3.0</v>
      </c>
      <c r="K464" s="1">
        <v>4.0</v>
      </c>
      <c r="L464" s="1">
        <v>15.0</v>
      </c>
      <c r="M464" s="1">
        <v>18.0</v>
      </c>
      <c r="N464" s="1" t="e">
        <v>#N/A</v>
      </c>
      <c r="O464" s="1" t="e">
        <v>#N/A</v>
      </c>
      <c r="P464" s="1" t="e">
        <v>#N/A</v>
      </c>
      <c r="Q464" s="1">
        <v>12.0</v>
      </c>
    </row>
    <row r="465">
      <c r="A465" s="1">
        <v>6766.0</v>
      </c>
      <c r="B465" s="1" t="s">
        <v>480</v>
      </c>
      <c r="C465" s="1" t="s">
        <v>1022</v>
      </c>
      <c r="D465" s="1" t="s">
        <v>799</v>
      </c>
      <c r="E465" s="1" t="s">
        <v>976</v>
      </c>
      <c r="F465" s="1">
        <v>6.0</v>
      </c>
      <c r="G465" s="1">
        <v>6.0</v>
      </c>
      <c r="H465" s="1">
        <v>0.0</v>
      </c>
      <c r="I465" s="1">
        <v>6.0</v>
      </c>
      <c r="J465" s="1">
        <v>7.0</v>
      </c>
      <c r="K465" s="1">
        <v>-1.0</v>
      </c>
      <c r="L465" s="1">
        <v>13.0</v>
      </c>
      <c r="M465" s="1">
        <v>16.0</v>
      </c>
      <c r="N465" s="1" t="e">
        <v>#N/A</v>
      </c>
      <c r="O465" s="1" t="e">
        <v>#N/A</v>
      </c>
      <c r="P465" s="1" t="e">
        <v>#N/A</v>
      </c>
      <c r="Q465" s="1" t="e">
        <v>#N/A</v>
      </c>
    </row>
    <row r="466">
      <c r="A466" s="1">
        <v>6801.0</v>
      </c>
      <c r="B466" s="1" t="s">
        <v>507</v>
      </c>
      <c r="C466" s="1" t="s">
        <v>512</v>
      </c>
      <c r="D466" s="1" t="s">
        <v>646</v>
      </c>
      <c r="E466" s="1" t="s">
        <v>983</v>
      </c>
      <c r="F466" s="1">
        <v>14.0</v>
      </c>
      <c r="G466" s="1">
        <v>12.0</v>
      </c>
      <c r="H466" s="1">
        <v>2.0</v>
      </c>
      <c r="I466" s="1">
        <v>14.0</v>
      </c>
      <c r="J466" s="1">
        <v>11.0</v>
      </c>
      <c r="K466" s="1">
        <v>3.0</v>
      </c>
      <c r="L466" s="1">
        <v>21.0</v>
      </c>
      <c r="M466" s="1">
        <v>18.0</v>
      </c>
      <c r="N466" s="1">
        <v>17.0</v>
      </c>
      <c r="O466" s="1" t="e">
        <v>#N/A</v>
      </c>
      <c r="P466" s="1" t="e">
        <v>#N/A</v>
      </c>
      <c r="Q466" s="1">
        <v>16.0</v>
      </c>
    </row>
    <row r="467">
      <c r="A467" s="1">
        <v>6802.0</v>
      </c>
      <c r="B467" s="1" t="s">
        <v>480</v>
      </c>
      <c r="C467" s="1" t="s">
        <v>1019</v>
      </c>
      <c r="D467" s="1" t="s">
        <v>696</v>
      </c>
      <c r="E467" s="1" t="s">
        <v>976</v>
      </c>
      <c r="F467" s="1">
        <v>8.0</v>
      </c>
      <c r="G467" s="1">
        <v>1.0</v>
      </c>
      <c r="H467" s="1">
        <v>7.0</v>
      </c>
      <c r="I467" s="1">
        <v>8.0</v>
      </c>
      <c r="J467" s="1">
        <v>1.0</v>
      </c>
      <c r="K467" s="1">
        <v>7.0</v>
      </c>
      <c r="L467" s="1">
        <v>9.0</v>
      </c>
      <c r="M467" s="1">
        <v>12.0</v>
      </c>
      <c r="N467" s="1">
        <v>10.0</v>
      </c>
      <c r="O467" s="1" t="e">
        <v>#N/A</v>
      </c>
      <c r="P467" s="1" t="e">
        <v>#N/A</v>
      </c>
      <c r="Q467" s="1">
        <v>10.0</v>
      </c>
    </row>
    <row r="468">
      <c r="A468" s="1">
        <v>6803.0</v>
      </c>
      <c r="B468" s="1" t="s">
        <v>480</v>
      </c>
      <c r="C468" s="1" t="s">
        <v>931</v>
      </c>
      <c r="D468" s="1" t="s">
        <v>174</v>
      </c>
      <c r="E468" s="1" t="s">
        <v>976</v>
      </c>
      <c r="F468" s="1">
        <v>1.0</v>
      </c>
      <c r="G468" s="1">
        <v>1.0</v>
      </c>
      <c r="H468" s="1">
        <v>0.0</v>
      </c>
      <c r="I468" s="1">
        <v>1.0</v>
      </c>
      <c r="J468" s="1">
        <v>1.0</v>
      </c>
      <c r="K468" s="1">
        <v>0.0</v>
      </c>
      <c r="L468" s="1">
        <v>6.0</v>
      </c>
      <c r="M468" s="1">
        <v>6.0</v>
      </c>
      <c r="N468" s="1">
        <v>1.0</v>
      </c>
      <c r="O468" s="1" t="e">
        <v>#N/A</v>
      </c>
      <c r="P468" s="1" t="e">
        <v>#N/A</v>
      </c>
      <c r="Q468" s="1">
        <v>3.0</v>
      </c>
    </row>
    <row r="469">
      <c r="A469" s="1">
        <v>6804.0</v>
      </c>
      <c r="B469" s="1" t="s">
        <v>492</v>
      </c>
      <c r="C469" s="1" t="s">
        <v>930</v>
      </c>
      <c r="D469" s="1" t="s">
        <v>854</v>
      </c>
      <c r="E469" s="1" t="s">
        <v>1033</v>
      </c>
      <c r="F469" s="1">
        <v>6.0</v>
      </c>
      <c r="G469" s="1">
        <v>8.0</v>
      </c>
      <c r="H469" s="1">
        <v>-2.0</v>
      </c>
      <c r="I469" s="1">
        <v>6.0</v>
      </c>
      <c r="J469" s="1">
        <v>8.0</v>
      </c>
      <c r="K469" s="1">
        <v>-2.0</v>
      </c>
      <c r="L469" s="1">
        <v>9.0</v>
      </c>
      <c r="M469" s="1">
        <v>12.0</v>
      </c>
      <c r="N469" s="1">
        <v>17.0</v>
      </c>
      <c r="O469" s="1" t="e">
        <v>#N/A</v>
      </c>
      <c r="P469" s="1" t="e">
        <v>#N/A</v>
      </c>
      <c r="Q469" s="1">
        <v>14.0</v>
      </c>
    </row>
    <row r="470">
      <c r="A470" s="1">
        <v>6809.0</v>
      </c>
      <c r="B470" s="1" t="s">
        <v>480</v>
      </c>
      <c r="C470" s="1" t="s">
        <v>481</v>
      </c>
      <c r="D470" s="1" t="s">
        <v>373</v>
      </c>
      <c r="E470" s="1" t="s">
        <v>1222</v>
      </c>
      <c r="F470" s="1">
        <v>4.0</v>
      </c>
      <c r="G470" s="1">
        <v>1.0</v>
      </c>
      <c r="H470" s="1">
        <v>3.0</v>
      </c>
      <c r="I470" s="1">
        <v>4.0</v>
      </c>
      <c r="J470" s="1">
        <v>1.0</v>
      </c>
      <c r="K470" s="1">
        <v>3.0</v>
      </c>
      <c r="L470" s="1">
        <v>10.0</v>
      </c>
      <c r="M470" s="1">
        <v>10.0</v>
      </c>
      <c r="N470" s="1">
        <v>1.0</v>
      </c>
      <c r="O470" s="1" t="e">
        <v>#N/A</v>
      </c>
      <c r="P470" s="1" t="e">
        <v>#N/A</v>
      </c>
      <c r="Q470" s="1">
        <v>5.0</v>
      </c>
    </row>
    <row r="471">
      <c r="A471" s="1">
        <v>6813.0</v>
      </c>
      <c r="B471" s="1" t="s">
        <v>477</v>
      </c>
      <c r="C471" s="1" t="s">
        <v>478</v>
      </c>
      <c r="D471" s="1" t="s">
        <v>236</v>
      </c>
      <c r="E471" s="1" t="s">
        <v>991</v>
      </c>
      <c r="F471" s="1">
        <v>1.0</v>
      </c>
      <c r="G471" s="1">
        <v>1.0</v>
      </c>
      <c r="H471" s="1">
        <v>0.0</v>
      </c>
      <c r="I471" s="1">
        <v>1.0</v>
      </c>
      <c r="J471" s="1">
        <v>1.0</v>
      </c>
      <c r="K471" s="1">
        <v>0.0</v>
      </c>
      <c r="L471" s="1">
        <v>1.0</v>
      </c>
      <c r="M471" s="1">
        <v>1.0</v>
      </c>
      <c r="N471" s="1">
        <v>1.0</v>
      </c>
      <c r="O471" s="1" t="e">
        <v>#N/A</v>
      </c>
      <c r="P471" s="1" t="e">
        <v>#N/A</v>
      </c>
      <c r="Q471" s="1">
        <v>1.0</v>
      </c>
    </row>
    <row r="472">
      <c r="A472" s="1">
        <v>6814.0</v>
      </c>
      <c r="B472" s="1" t="s">
        <v>480</v>
      </c>
      <c r="C472" s="1" t="s">
        <v>938</v>
      </c>
      <c r="D472" s="1" t="s">
        <v>1127</v>
      </c>
      <c r="E472" s="1" t="s">
        <v>1026</v>
      </c>
      <c r="F472" s="1">
        <v>4.0</v>
      </c>
      <c r="G472" s="1">
        <v>4.0</v>
      </c>
      <c r="H472" s="1">
        <v>0.0</v>
      </c>
      <c r="I472" s="1">
        <v>4.0</v>
      </c>
      <c r="J472" s="1">
        <v>4.0</v>
      </c>
      <c r="K472" s="1">
        <v>0.0</v>
      </c>
      <c r="L472" s="1">
        <v>6.0</v>
      </c>
      <c r="M472" s="1">
        <v>6.0</v>
      </c>
      <c r="N472" s="1">
        <v>5.0</v>
      </c>
      <c r="O472" s="1" t="e">
        <v>#N/A</v>
      </c>
      <c r="P472" s="1" t="e">
        <v>#N/A</v>
      </c>
      <c r="Q472" s="1">
        <v>5.0</v>
      </c>
    </row>
    <row r="473">
      <c r="A473" s="1">
        <v>6815.0</v>
      </c>
      <c r="B473" s="1" t="s">
        <v>492</v>
      </c>
      <c r="C473" s="1" t="s">
        <v>935</v>
      </c>
      <c r="D473" s="1" t="s">
        <v>904</v>
      </c>
      <c r="E473" s="1" t="s">
        <v>974</v>
      </c>
      <c r="F473" s="1">
        <v>9.0</v>
      </c>
      <c r="G473" s="1">
        <v>6.0</v>
      </c>
      <c r="H473" s="1">
        <v>3.0</v>
      </c>
      <c r="I473" s="1">
        <v>9.0</v>
      </c>
      <c r="J473" s="1">
        <v>5.0</v>
      </c>
      <c r="K473" s="1">
        <v>4.0</v>
      </c>
      <c r="L473" s="1">
        <v>13.0</v>
      </c>
      <c r="M473" s="1">
        <v>13.0</v>
      </c>
      <c r="N473" s="1">
        <v>12.0</v>
      </c>
      <c r="O473" s="1" t="e">
        <v>#N/A</v>
      </c>
      <c r="P473" s="1" t="e">
        <v>#N/A</v>
      </c>
      <c r="Q473" s="1">
        <v>12.0</v>
      </c>
    </row>
    <row r="474">
      <c r="A474" s="1">
        <v>6818.0</v>
      </c>
      <c r="B474" s="1" t="s">
        <v>477</v>
      </c>
      <c r="C474" s="1" t="s">
        <v>478</v>
      </c>
      <c r="D474" s="1" t="s">
        <v>1641</v>
      </c>
      <c r="E474" s="1" t="s">
        <v>1225</v>
      </c>
      <c r="F474" s="1">
        <v>1.0</v>
      </c>
      <c r="G474" s="1">
        <v>1.0</v>
      </c>
      <c r="H474" s="1">
        <v>0.0</v>
      </c>
      <c r="I474" s="1">
        <v>1.0</v>
      </c>
      <c r="J474" s="1">
        <v>1.0</v>
      </c>
      <c r="K474" s="1">
        <v>0.0</v>
      </c>
      <c r="L474" s="1">
        <v>1.0</v>
      </c>
      <c r="M474" s="1">
        <v>1.0</v>
      </c>
      <c r="N474" s="1" t="e">
        <v>#N/A</v>
      </c>
      <c r="O474" s="1" t="e">
        <v>#N/A</v>
      </c>
      <c r="P474" s="1" t="e">
        <v>#N/A</v>
      </c>
      <c r="Q474" s="1" t="e">
        <v>#N/A</v>
      </c>
    </row>
    <row r="475">
      <c r="A475" s="1">
        <v>6819.0</v>
      </c>
      <c r="B475" s="1" t="s">
        <v>492</v>
      </c>
      <c r="C475" s="1" t="s">
        <v>543</v>
      </c>
      <c r="D475" s="1" t="s">
        <v>1548</v>
      </c>
      <c r="E475" s="1" t="s">
        <v>1233</v>
      </c>
      <c r="F475" s="1">
        <v>1.0</v>
      </c>
      <c r="G475" s="1">
        <v>1.0</v>
      </c>
      <c r="H475" s="1">
        <v>0.0</v>
      </c>
      <c r="I475" s="1">
        <v>1.0</v>
      </c>
      <c r="J475" s="1">
        <v>1.0</v>
      </c>
      <c r="K475" s="1">
        <v>0.0</v>
      </c>
      <c r="L475" s="1">
        <v>5.0</v>
      </c>
      <c r="M475" s="1">
        <v>5.0</v>
      </c>
      <c r="N475" s="1" t="e">
        <v>#N/A</v>
      </c>
      <c r="O475" s="1" t="e">
        <v>#N/A</v>
      </c>
      <c r="P475" s="1" t="e">
        <v>#N/A</v>
      </c>
      <c r="Q475" s="1" t="e">
        <v>#N/A</v>
      </c>
    </row>
    <row r="476">
      <c r="A476" s="1">
        <v>6820.0</v>
      </c>
      <c r="B476" s="1" t="s">
        <v>480</v>
      </c>
      <c r="C476" s="1" t="s">
        <v>521</v>
      </c>
      <c r="D476" s="1" t="s">
        <v>768</v>
      </c>
      <c r="E476" s="1" t="s">
        <v>972</v>
      </c>
      <c r="F476" s="1">
        <v>2.0</v>
      </c>
      <c r="G476" s="1">
        <v>8.0</v>
      </c>
      <c r="H476" s="1">
        <v>-6.0</v>
      </c>
      <c r="I476" s="1">
        <v>2.0</v>
      </c>
      <c r="J476" s="1">
        <v>7.0</v>
      </c>
      <c r="K476" s="1">
        <v>-5.0</v>
      </c>
      <c r="L476" s="1">
        <v>8.0</v>
      </c>
      <c r="M476" s="1">
        <v>8.0</v>
      </c>
      <c r="N476" s="1">
        <v>15.0</v>
      </c>
      <c r="O476" s="1" t="e">
        <v>#N/A</v>
      </c>
      <c r="P476" s="1" t="e">
        <v>#N/A</v>
      </c>
      <c r="Q476" s="1">
        <v>11.0</v>
      </c>
    </row>
    <row r="477">
      <c r="A477" s="1">
        <v>6821.0</v>
      </c>
      <c r="B477" s="1" t="s">
        <v>492</v>
      </c>
      <c r="C477" s="1" t="s">
        <v>1242</v>
      </c>
      <c r="D477" s="1" t="s">
        <v>1543</v>
      </c>
      <c r="E477" s="1" t="s">
        <v>985</v>
      </c>
      <c r="F477" s="1">
        <v>7.0</v>
      </c>
      <c r="G477" s="1">
        <v>1.0</v>
      </c>
      <c r="H477" s="1">
        <v>6.0</v>
      </c>
      <c r="I477" s="1">
        <v>7.0</v>
      </c>
      <c r="J477" s="1">
        <v>1.0</v>
      </c>
      <c r="K477" s="1">
        <v>6.0</v>
      </c>
      <c r="L477" s="1">
        <v>11.0</v>
      </c>
      <c r="M477" s="1">
        <v>14.0</v>
      </c>
      <c r="N477" s="1" t="e">
        <v>#N/A</v>
      </c>
      <c r="O477" s="1" t="e">
        <v>#N/A</v>
      </c>
      <c r="P477" s="1" t="e">
        <v>#N/A</v>
      </c>
      <c r="Q477" s="1" t="e">
        <v>#N/A</v>
      </c>
    </row>
    <row r="478">
      <c r="A478" s="1">
        <v>6822.0</v>
      </c>
      <c r="B478" s="1" t="s">
        <v>507</v>
      </c>
      <c r="C478" s="1" t="s">
        <v>512</v>
      </c>
      <c r="D478" s="1" t="s">
        <v>251</v>
      </c>
      <c r="E478" s="1" t="s">
        <v>1026</v>
      </c>
      <c r="F478" s="1">
        <v>6.0</v>
      </c>
      <c r="G478" s="1">
        <v>1.0</v>
      </c>
      <c r="H478" s="1">
        <v>5.0</v>
      </c>
      <c r="I478" s="1">
        <v>6.0</v>
      </c>
      <c r="J478" s="1">
        <v>1.0</v>
      </c>
      <c r="K478" s="1">
        <v>5.0</v>
      </c>
      <c r="L478" s="1">
        <v>8.0</v>
      </c>
      <c r="M478" s="1">
        <v>8.0</v>
      </c>
      <c r="N478" s="1">
        <v>1.0</v>
      </c>
      <c r="O478" s="1" t="e">
        <v>#N/A</v>
      </c>
      <c r="P478" s="1" t="e">
        <v>#N/A</v>
      </c>
      <c r="Q478" s="1">
        <v>4.0</v>
      </c>
    </row>
    <row r="479">
      <c r="A479" s="1">
        <v>6824.0</v>
      </c>
      <c r="B479" s="1" t="s">
        <v>477</v>
      </c>
      <c r="C479" s="1" t="s">
        <v>478</v>
      </c>
      <c r="D479" s="1" t="s">
        <v>759</v>
      </c>
      <c r="E479" s="1" t="s">
        <v>988</v>
      </c>
      <c r="F479" s="1">
        <v>1.0</v>
      </c>
      <c r="G479" s="1">
        <v>1.0</v>
      </c>
      <c r="H479" s="1">
        <v>0.0</v>
      </c>
      <c r="I479" s="1">
        <v>1.0</v>
      </c>
      <c r="J479" s="1">
        <v>1.0</v>
      </c>
      <c r="K479" s="1">
        <v>0.0</v>
      </c>
      <c r="L479" s="1">
        <v>1.0</v>
      </c>
      <c r="M479" s="1">
        <v>1.0</v>
      </c>
      <c r="N479" s="1">
        <v>1.0</v>
      </c>
      <c r="O479" s="1" t="e">
        <v>#N/A</v>
      </c>
      <c r="P479" s="1" t="e">
        <v>#N/A</v>
      </c>
      <c r="Q479" s="1">
        <v>1.0</v>
      </c>
    </row>
    <row r="480">
      <c r="A480" s="1">
        <v>6826.0</v>
      </c>
      <c r="B480" s="1" t="s">
        <v>480</v>
      </c>
      <c r="C480" s="1" t="s">
        <v>521</v>
      </c>
      <c r="D480" s="1" t="s">
        <v>1324</v>
      </c>
      <c r="E480" s="1" t="s">
        <v>972</v>
      </c>
      <c r="F480" s="1">
        <v>4.0</v>
      </c>
      <c r="G480" s="1">
        <v>1.0</v>
      </c>
      <c r="H480" s="1">
        <v>3.0</v>
      </c>
      <c r="I480" s="1">
        <v>4.0</v>
      </c>
      <c r="J480" s="1">
        <v>1.0</v>
      </c>
      <c r="K480" s="1">
        <v>3.0</v>
      </c>
      <c r="L480" s="1">
        <v>3.0</v>
      </c>
      <c r="M480" s="1">
        <v>3.0</v>
      </c>
      <c r="N480" s="1">
        <v>3.0</v>
      </c>
      <c r="O480" s="1" t="e">
        <v>#N/A</v>
      </c>
      <c r="P480" s="1" t="e">
        <v>#N/A</v>
      </c>
      <c r="Q480" s="1">
        <v>3.0</v>
      </c>
    </row>
    <row r="481">
      <c r="A481" s="1">
        <v>6827.0</v>
      </c>
      <c r="B481" s="1" t="s">
        <v>507</v>
      </c>
      <c r="C481" s="1" t="s">
        <v>507</v>
      </c>
      <c r="D481" s="1" t="s">
        <v>1124</v>
      </c>
      <c r="E481" s="1" t="s">
        <v>972</v>
      </c>
      <c r="F481" s="1">
        <v>1.0</v>
      </c>
      <c r="G481" s="1">
        <v>1.0</v>
      </c>
      <c r="H481" s="1">
        <v>0.0</v>
      </c>
      <c r="I481" s="1">
        <v>1.0</v>
      </c>
      <c r="J481" s="1">
        <v>1.0</v>
      </c>
      <c r="K481" s="1">
        <v>0.0</v>
      </c>
      <c r="L481" s="1">
        <v>6.0</v>
      </c>
      <c r="M481" s="1">
        <v>6.0</v>
      </c>
      <c r="N481" s="1" t="e">
        <v>#N/A</v>
      </c>
      <c r="O481" s="1" t="e">
        <v>#N/A</v>
      </c>
      <c r="P481" s="1" t="e">
        <v>#N/A</v>
      </c>
      <c r="Q481" s="1" t="e">
        <v>#N/A</v>
      </c>
    </row>
    <row r="482">
      <c r="A482" s="1">
        <v>6831.0</v>
      </c>
      <c r="B482" s="1" t="s">
        <v>492</v>
      </c>
      <c r="C482" s="1" t="s">
        <v>935</v>
      </c>
      <c r="D482" s="1" t="s">
        <v>449</v>
      </c>
      <c r="E482" s="1" t="s">
        <v>987</v>
      </c>
      <c r="F482" s="1">
        <v>17.0</v>
      </c>
      <c r="G482" s="1">
        <v>20.0</v>
      </c>
      <c r="H482" s="1">
        <v>-3.0</v>
      </c>
      <c r="I482" s="1">
        <v>17.0</v>
      </c>
      <c r="J482" s="1">
        <v>19.0</v>
      </c>
      <c r="K482" s="1">
        <v>-2.0</v>
      </c>
      <c r="L482" s="1">
        <v>38.0</v>
      </c>
      <c r="M482" s="1">
        <v>38.0</v>
      </c>
      <c r="N482" s="1">
        <v>75.0</v>
      </c>
      <c r="O482" s="1" t="e">
        <v>#N/A</v>
      </c>
      <c r="P482" s="1" t="e">
        <v>#N/A</v>
      </c>
      <c r="Q482" s="1">
        <v>54.0</v>
      </c>
    </row>
    <row r="483">
      <c r="A483" s="1">
        <v>6832.0</v>
      </c>
      <c r="B483" s="1" t="s">
        <v>480</v>
      </c>
      <c r="C483" s="1" t="s">
        <v>521</v>
      </c>
      <c r="D483" s="1" t="s">
        <v>1141</v>
      </c>
      <c r="E483" s="1" t="s">
        <v>980</v>
      </c>
      <c r="F483" s="1">
        <v>3.0</v>
      </c>
      <c r="G483" s="1">
        <v>1.0</v>
      </c>
      <c r="H483" s="1">
        <v>2.0</v>
      </c>
      <c r="I483" s="1">
        <v>3.0</v>
      </c>
      <c r="J483" s="1">
        <v>1.0</v>
      </c>
      <c r="K483" s="1">
        <v>2.0</v>
      </c>
      <c r="L483" s="1">
        <v>4.0</v>
      </c>
      <c r="M483" s="1">
        <v>4.0</v>
      </c>
      <c r="N483" s="1" t="e">
        <v>#N/A</v>
      </c>
      <c r="O483" s="1" t="e">
        <v>#N/A</v>
      </c>
      <c r="P483" s="1" t="e">
        <v>#N/A</v>
      </c>
      <c r="Q483" s="1" t="e">
        <v>#N/A</v>
      </c>
    </row>
    <row r="484">
      <c r="A484" s="1">
        <v>6833.0</v>
      </c>
      <c r="B484" s="1" t="s">
        <v>507</v>
      </c>
      <c r="C484" s="1" t="s">
        <v>507</v>
      </c>
      <c r="D484" s="1" t="s">
        <v>624</v>
      </c>
      <c r="E484" s="1" t="s">
        <v>976</v>
      </c>
      <c r="F484" s="1">
        <v>12.0</v>
      </c>
      <c r="G484" s="1">
        <v>1.0</v>
      </c>
      <c r="H484" s="1">
        <v>11.0</v>
      </c>
      <c r="I484" s="1">
        <v>12.0</v>
      </c>
      <c r="J484" s="1">
        <v>1.0</v>
      </c>
      <c r="K484" s="1">
        <v>11.0</v>
      </c>
      <c r="L484" s="1">
        <v>10.0</v>
      </c>
      <c r="M484" s="1">
        <v>10.0</v>
      </c>
      <c r="N484" s="1">
        <v>17.0</v>
      </c>
      <c r="O484" s="1" t="e">
        <v>#N/A</v>
      </c>
      <c r="P484" s="1" t="e">
        <v>#N/A</v>
      </c>
      <c r="Q484" s="1">
        <v>13.0</v>
      </c>
    </row>
    <row r="485">
      <c r="A485" s="1">
        <v>6834.0</v>
      </c>
      <c r="B485" s="1" t="s">
        <v>492</v>
      </c>
      <c r="C485" s="1" t="s">
        <v>492</v>
      </c>
      <c r="D485" s="1" t="s">
        <v>1549</v>
      </c>
      <c r="E485" s="1" t="s">
        <v>980</v>
      </c>
      <c r="F485" s="1">
        <v>1.0</v>
      </c>
      <c r="G485" s="1">
        <v>1.0</v>
      </c>
      <c r="H485" s="1">
        <v>0.0</v>
      </c>
      <c r="I485" s="1">
        <v>1.0</v>
      </c>
      <c r="J485" s="1">
        <v>1.0</v>
      </c>
      <c r="K485" s="1">
        <v>0.0</v>
      </c>
      <c r="L485" s="1">
        <v>1.0</v>
      </c>
      <c r="M485" s="1">
        <v>1.0</v>
      </c>
      <c r="N485" s="1" t="e">
        <v>#N/A</v>
      </c>
      <c r="O485" s="1" t="e">
        <v>#N/A</v>
      </c>
      <c r="P485" s="1" t="e">
        <v>#N/A</v>
      </c>
      <c r="Q485" s="1" t="e">
        <v>#N/A</v>
      </c>
    </row>
    <row r="486">
      <c r="A486" s="1">
        <v>6839.0</v>
      </c>
      <c r="B486" s="1" t="s">
        <v>492</v>
      </c>
      <c r="C486" s="1" t="s">
        <v>934</v>
      </c>
      <c r="D486" s="1" t="s">
        <v>430</v>
      </c>
      <c r="E486" s="1" t="s">
        <v>1009</v>
      </c>
      <c r="F486" s="1">
        <v>1.0</v>
      </c>
      <c r="G486" s="1">
        <v>1.0</v>
      </c>
      <c r="H486" s="1">
        <v>0.0</v>
      </c>
      <c r="I486" s="1">
        <v>1.0</v>
      </c>
      <c r="J486" s="1">
        <v>1.0</v>
      </c>
      <c r="K486" s="1">
        <v>0.0</v>
      </c>
      <c r="L486" s="1">
        <v>1.0</v>
      </c>
      <c r="M486" s="1">
        <v>1.0</v>
      </c>
      <c r="N486" s="1">
        <v>1.0</v>
      </c>
      <c r="O486" s="1" t="e">
        <v>#N/A</v>
      </c>
      <c r="P486" s="1" t="e">
        <v>#N/A</v>
      </c>
      <c r="Q486" s="1">
        <v>1.0</v>
      </c>
    </row>
    <row r="487">
      <c r="A487" s="1">
        <v>6842.0</v>
      </c>
      <c r="B487" s="1" t="s">
        <v>477</v>
      </c>
      <c r="C487" s="1" t="s">
        <v>478</v>
      </c>
      <c r="D487" s="1" t="s">
        <v>1173</v>
      </c>
      <c r="E487" s="1" t="s">
        <v>993</v>
      </c>
      <c r="F487" s="1">
        <v>4.0</v>
      </c>
      <c r="G487" s="1">
        <v>1.0</v>
      </c>
      <c r="H487" s="1">
        <v>3.0</v>
      </c>
      <c r="I487" s="1">
        <v>4.0</v>
      </c>
      <c r="J487" s="1">
        <v>1.0</v>
      </c>
      <c r="K487" s="1">
        <v>3.0</v>
      </c>
      <c r="L487" s="1">
        <v>1.0</v>
      </c>
      <c r="M487" s="1">
        <v>1.0</v>
      </c>
      <c r="N487" s="1">
        <v>1.0</v>
      </c>
      <c r="O487" s="1" t="e">
        <v>#N/A</v>
      </c>
      <c r="P487" s="1" t="e">
        <v>#N/A</v>
      </c>
      <c r="Q487" s="1">
        <v>1.0</v>
      </c>
    </row>
    <row r="488">
      <c r="A488" s="1">
        <v>6867.0</v>
      </c>
      <c r="B488" s="1" t="s">
        <v>480</v>
      </c>
      <c r="C488" s="1" t="s">
        <v>931</v>
      </c>
      <c r="D488" s="1" t="s">
        <v>899</v>
      </c>
      <c r="E488" s="1" t="s">
        <v>974</v>
      </c>
      <c r="F488" s="1">
        <v>5.0</v>
      </c>
      <c r="G488" s="1">
        <v>3.0</v>
      </c>
      <c r="H488" s="1">
        <v>2.0</v>
      </c>
      <c r="I488" s="1">
        <v>5.0</v>
      </c>
      <c r="J488" s="1">
        <v>3.0</v>
      </c>
      <c r="K488" s="1">
        <v>2.0</v>
      </c>
      <c r="L488" s="1">
        <v>11.0</v>
      </c>
      <c r="M488" s="1">
        <v>11.0</v>
      </c>
      <c r="N488" s="1" t="e">
        <v>#N/A</v>
      </c>
      <c r="O488" s="1" t="e">
        <v>#N/A</v>
      </c>
      <c r="P488" s="1" t="e">
        <v>#N/A</v>
      </c>
      <c r="Q488" s="1" t="e">
        <v>#N/A</v>
      </c>
    </row>
    <row r="489">
      <c r="A489" s="1">
        <v>6872.0</v>
      </c>
      <c r="B489" s="1" t="s">
        <v>492</v>
      </c>
      <c r="C489" s="1" t="s">
        <v>934</v>
      </c>
      <c r="D489" s="1" t="s">
        <v>1551</v>
      </c>
      <c r="E489" s="1" t="s">
        <v>980</v>
      </c>
      <c r="F489" s="1">
        <v>1.0</v>
      </c>
      <c r="G489" s="1">
        <v>1.0</v>
      </c>
      <c r="H489" s="1">
        <v>0.0</v>
      </c>
      <c r="I489" s="1">
        <v>1.0</v>
      </c>
      <c r="J489" s="1">
        <v>1.0</v>
      </c>
      <c r="K489" s="1">
        <v>0.0</v>
      </c>
      <c r="L489" s="1">
        <v>1.0</v>
      </c>
      <c r="M489" s="1">
        <v>1.0</v>
      </c>
      <c r="N489" s="1" t="e">
        <v>#N/A</v>
      </c>
      <c r="O489" s="1" t="e">
        <v>#N/A</v>
      </c>
      <c r="P489" s="1" t="e">
        <v>#N/A</v>
      </c>
      <c r="Q489" s="1" t="e">
        <v>#N/A</v>
      </c>
    </row>
    <row r="490">
      <c r="A490" s="1">
        <v>6874.0</v>
      </c>
      <c r="B490" s="1" t="s">
        <v>480</v>
      </c>
      <c r="C490" s="1" t="s">
        <v>481</v>
      </c>
      <c r="D490" s="1" t="s">
        <v>798</v>
      </c>
      <c r="E490" s="1" t="s">
        <v>1225</v>
      </c>
      <c r="F490" s="1">
        <v>2.0</v>
      </c>
      <c r="G490" s="1">
        <v>3.0</v>
      </c>
      <c r="H490" s="1">
        <v>-1.0</v>
      </c>
      <c r="I490" s="1">
        <v>2.0</v>
      </c>
      <c r="J490" s="1">
        <v>3.0</v>
      </c>
      <c r="K490" s="1">
        <v>-1.0</v>
      </c>
      <c r="L490" s="1">
        <v>5.0</v>
      </c>
      <c r="M490" s="1">
        <v>5.0</v>
      </c>
      <c r="N490" s="1">
        <v>6.0</v>
      </c>
      <c r="O490" s="1" t="e">
        <v>#N/A</v>
      </c>
      <c r="P490" s="1" t="e">
        <v>#N/A</v>
      </c>
      <c r="Q490" s="1">
        <v>5.0</v>
      </c>
    </row>
    <row r="491">
      <c r="A491" s="1">
        <v>6875.0</v>
      </c>
      <c r="B491" s="1" t="s">
        <v>492</v>
      </c>
      <c r="C491" s="1" t="s">
        <v>947</v>
      </c>
      <c r="D491" s="1" t="s">
        <v>671</v>
      </c>
      <c r="E491" s="1" t="s">
        <v>974</v>
      </c>
      <c r="F491" s="1">
        <v>22.0</v>
      </c>
      <c r="G491" s="1">
        <v>7.0</v>
      </c>
      <c r="H491" s="1">
        <v>15.0</v>
      </c>
      <c r="I491" s="1">
        <v>22.0</v>
      </c>
      <c r="J491" s="1">
        <v>6.0</v>
      </c>
      <c r="K491" s="1">
        <v>16.0</v>
      </c>
      <c r="L491" s="1">
        <v>100.0</v>
      </c>
      <c r="M491" s="1">
        <v>100.0</v>
      </c>
      <c r="N491" s="1">
        <v>17.0</v>
      </c>
      <c r="O491" s="1" t="e">
        <v>#N/A</v>
      </c>
      <c r="P491" s="1" t="e">
        <v>#N/A</v>
      </c>
      <c r="Q491" s="1">
        <v>53.0</v>
      </c>
    </row>
    <row r="492">
      <c r="A492" s="1">
        <v>6883.0</v>
      </c>
      <c r="B492" s="1" t="s">
        <v>480</v>
      </c>
      <c r="C492" s="1" t="s">
        <v>481</v>
      </c>
      <c r="D492" s="1" t="s">
        <v>664</v>
      </c>
      <c r="E492" s="1" t="s">
        <v>998</v>
      </c>
      <c r="F492" s="1">
        <v>4.0</v>
      </c>
      <c r="G492" s="1">
        <v>2.0</v>
      </c>
      <c r="H492" s="1">
        <v>2.0</v>
      </c>
      <c r="I492" s="1">
        <v>4.0</v>
      </c>
      <c r="J492" s="1">
        <v>2.0</v>
      </c>
      <c r="K492" s="1">
        <v>2.0</v>
      </c>
      <c r="L492" s="1">
        <v>10.0</v>
      </c>
      <c r="M492" s="1">
        <v>10.0</v>
      </c>
      <c r="N492" s="1">
        <v>3.0</v>
      </c>
      <c r="O492" s="1" t="e">
        <v>#N/A</v>
      </c>
      <c r="P492" s="1" t="e">
        <v>#N/A</v>
      </c>
      <c r="Q492" s="1">
        <v>6.0</v>
      </c>
    </row>
    <row r="493">
      <c r="A493" s="1">
        <v>6884.0</v>
      </c>
      <c r="B493" s="1" t="s">
        <v>492</v>
      </c>
      <c r="C493" s="1" t="s">
        <v>935</v>
      </c>
      <c r="D493" s="1" t="s">
        <v>247</v>
      </c>
      <c r="E493" s="1" t="s">
        <v>976</v>
      </c>
      <c r="F493" s="1">
        <v>14.0</v>
      </c>
      <c r="G493" s="1">
        <v>11.0</v>
      </c>
      <c r="H493" s="1">
        <v>3.0</v>
      </c>
      <c r="I493" s="1">
        <v>14.0</v>
      </c>
      <c r="J493" s="1">
        <v>10.0</v>
      </c>
      <c r="K493" s="1">
        <v>4.0</v>
      </c>
      <c r="L493" s="1">
        <v>25.0</v>
      </c>
      <c r="M493" s="1">
        <v>25.0</v>
      </c>
      <c r="N493" s="1">
        <v>22.0</v>
      </c>
      <c r="O493" s="1" t="e">
        <v>#N/A</v>
      </c>
      <c r="P493" s="1" t="e">
        <v>#N/A</v>
      </c>
      <c r="Q493" s="1">
        <v>22.0</v>
      </c>
    </row>
    <row r="494">
      <c r="A494" s="1">
        <v>6885.0</v>
      </c>
      <c r="B494" s="1" t="s">
        <v>480</v>
      </c>
      <c r="C494" s="1" t="s">
        <v>938</v>
      </c>
      <c r="D494" s="1" t="s">
        <v>711</v>
      </c>
      <c r="E494" s="1" t="s">
        <v>988</v>
      </c>
      <c r="F494" s="1">
        <v>1.0</v>
      </c>
      <c r="G494" s="1">
        <v>5.0</v>
      </c>
      <c r="H494" s="1">
        <v>-4.0</v>
      </c>
      <c r="I494" s="1">
        <v>1.0</v>
      </c>
      <c r="J494" s="1">
        <v>5.0</v>
      </c>
      <c r="K494" s="1">
        <v>-4.0</v>
      </c>
      <c r="L494" s="1">
        <v>5.0</v>
      </c>
      <c r="M494" s="1">
        <v>5.0</v>
      </c>
      <c r="N494" s="1">
        <v>12.0</v>
      </c>
      <c r="O494" s="1" t="e">
        <v>#N/A</v>
      </c>
      <c r="P494" s="1" t="e">
        <v>#N/A</v>
      </c>
      <c r="Q494" s="1">
        <v>8.0</v>
      </c>
    </row>
    <row r="495">
      <c r="A495" s="1">
        <v>6887.0</v>
      </c>
      <c r="B495" s="1" t="s">
        <v>480</v>
      </c>
      <c r="C495" s="1" t="s">
        <v>481</v>
      </c>
      <c r="D495" s="1" t="s">
        <v>1325</v>
      </c>
      <c r="E495" s="1" t="s">
        <v>985</v>
      </c>
      <c r="F495" s="1">
        <v>6.0</v>
      </c>
      <c r="G495" s="1">
        <v>2.0</v>
      </c>
      <c r="H495" s="1">
        <v>4.0</v>
      </c>
      <c r="I495" s="1">
        <v>6.0</v>
      </c>
      <c r="J495" s="1">
        <v>2.0</v>
      </c>
      <c r="K495" s="1">
        <v>4.0</v>
      </c>
      <c r="L495" s="1">
        <v>13.0</v>
      </c>
      <c r="M495" s="1">
        <v>13.0</v>
      </c>
      <c r="N495" s="1">
        <v>3.0</v>
      </c>
      <c r="O495" s="1" t="e">
        <v>#N/A</v>
      </c>
      <c r="P495" s="1" t="e">
        <v>#N/A</v>
      </c>
      <c r="Q495" s="1">
        <v>7.0</v>
      </c>
    </row>
    <row r="496">
      <c r="A496" s="1">
        <v>6889.0</v>
      </c>
      <c r="B496" s="1" t="s">
        <v>492</v>
      </c>
      <c r="C496" s="1" t="s">
        <v>1057</v>
      </c>
      <c r="D496" s="1" t="s">
        <v>727</v>
      </c>
      <c r="E496" s="1" t="s">
        <v>1222</v>
      </c>
      <c r="F496" s="1">
        <v>13.0</v>
      </c>
      <c r="G496" s="1">
        <v>2.0</v>
      </c>
      <c r="H496" s="1">
        <v>11.0</v>
      </c>
      <c r="I496" s="1">
        <v>13.0</v>
      </c>
      <c r="J496" s="1">
        <v>2.0</v>
      </c>
      <c r="K496" s="1">
        <v>11.0</v>
      </c>
      <c r="L496" s="1">
        <v>27.0</v>
      </c>
      <c r="M496" s="1">
        <v>30.0</v>
      </c>
      <c r="N496" s="1">
        <v>4.0</v>
      </c>
      <c r="O496" s="1" t="e">
        <v>#N/A</v>
      </c>
      <c r="P496" s="1" t="e">
        <v>#N/A</v>
      </c>
      <c r="Q496" s="1">
        <v>15.0</v>
      </c>
    </row>
    <row r="497">
      <c r="A497" s="1">
        <v>6890.0</v>
      </c>
      <c r="B497" s="1" t="s">
        <v>480</v>
      </c>
      <c r="C497" s="1" t="s">
        <v>481</v>
      </c>
      <c r="D497" s="1" t="s">
        <v>737</v>
      </c>
      <c r="E497" s="1" t="s">
        <v>1033</v>
      </c>
      <c r="F497" s="1">
        <v>1.0</v>
      </c>
      <c r="G497" s="1">
        <v>4.0</v>
      </c>
      <c r="H497" s="1">
        <v>-3.0</v>
      </c>
      <c r="I497" s="1">
        <v>1.0</v>
      </c>
      <c r="J497" s="1">
        <v>4.0</v>
      </c>
      <c r="K497" s="1">
        <v>-3.0</v>
      </c>
      <c r="L497" s="1">
        <v>5.0</v>
      </c>
      <c r="M497" s="1">
        <v>5.0</v>
      </c>
      <c r="N497" s="1">
        <v>8.0</v>
      </c>
      <c r="O497" s="1" t="e">
        <v>#N/A</v>
      </c>
      <c r="P497" s="1" t="e">
        <v>#N/A</v>
      </c>
      <c r="Q497" s="1">
        <v>6.0</v>
      </c>
    </row>
    <row r="498">
      <c r="A498" s="1">
        <v>6891.0</v>
      </c>
      <c r="B498" s="1" t="s">
        <v>492</v>
      </c>
      <c r="C498" s="1" t="s">
        <v>930</v>
      </c>
      <c r="D498" s="1" t="s">
        <v>1326</v>
      </c>
      <c r="E498" s="1" t="s">
        <v>991</v>
      </c>
      <c r="F498" s="1">
        <v>1.0</v>
      </c>
      <c r="G498" s="1">
        <v>1.0</v>
      </c>
      <c r="H498" s="1">
        <v>0.0</v>
      </c>
      <c r="I498" s="1">
        <v>1.0</v>
      </c>
      <c r="J498" s="1">
        <v>1.0</v>
      </c>
      <c r="K498" s="1">
        <v>0.0</v>
      </c>
      <c r="L498" s="1">
        <v>1.0</v>
      </c>
      <c r="M498" s="1">
        <v>1.0</v>
      </c>
      <c r="N498" s="1">
        <v>1.0</v>
      </c>
      <c r="O498" s="1" t="e">
        <v>#N/A</v>
      </c>
      <c r="P498" s="1" t="e">
        <v>#N/A</v>
      </c>
      <c r="Q498" s="1">
        <v>1.0</v>
      </c>
    </row>
    <row r="499">
      <c r="A499" s="1">
        <v>6892.0</v>
      </c>
      <c r="B499" s="1" t="s">
        <v>480</v>
      </c>
      <c r="C499" s="1" t="s">
        <v>937</v>
      </c>
      <c r="D499" s="1" t="s">
        <v>1327</v>
      </c>
      <c r="E499" s="1" t="s">
        <v>1233</v>
      </c>
      <c r="F499" s="1">
        <v>5.0</v>
      </c>
      <c r="G499" s="1">
        <v>3.0</v>
      </c>
      <c r="H499" s="1">
        <v>2.0</v>
      </c>
      <c r="I499" s="1">
        <v>5.0</v>
      </c>
      <c r="J499" s="1">
        <v>3.0</v>
      </c>
      <c r="K499" s="1">
        <v>2.0</v>
      </c>
      <c r="L499" s="1">
        <v>9.0</v>
      </c>
      <c r="M499" s="1">
        <v>12.0</v>
      </c>
      <c r="N499" s="1">
        <v>7.0</v>
      </c>
      <c r="O499" s="1" t="e">
        <v>#N/A</v>
      </c>
      <c r="P499" s="1" t="e">
        <v>#N/A</v>
      </c>
      <c r="Q499" s="1">
        <v>9.0</v>
      </c>
    </row>
    <row r="500">
      <c r="A500" s="1">
        <v>6893.0</v>
      </c>
      <c r="B500" s="1" t="s">
        <v>480</v>
      </c>
      <c r="C500" s="1" t="s">
        <v>481</v>
      </c>
      <c r="D500" s="1" t="s">
        <v>1086</v>
      </c>
      <c r="E500" s="1" t="s">
        <v>974</v>
      </c>
      <c r="F500" s="1">
        <v>6.0</v>
      </c>
      <c r="G500" s="1">
        <v>3.0</v>
      </c>
      <c r="H500" s="1">
        <v>3.0</v>
      </c>
      <c r="I500" s="1">
        <v>6.0</v>
      </c>
      <c r="J500" s="1">
        <v>3.0</v>
      </c>
      <c r="K500" s="1">
        <v>3.0</v>
      </c>
      <c r="L500" s="1">
        <v>14.0</v>
      </c>
      <c r="M500" s="1">
        <v>14.0</v>
      </c>
      <c r="N500" s="1">
        <v>6.0</v>
      </c>
      <c r="O500" s="1" t="e">
        <v>#N/A</v>
      </c>
      <c r="P500" s="1" t="e">
        <v>#N/A</v>
      </c>
      <c r="Q500" s="1">
        <v>9.0</v>
      </c>
    </row>
    <row r="501">
      <c r="A501" s="1">
        <v>6895.0</v>
      </c>
      <c r="B501" s="1" t="s">
        <v>507</v>
      </c>
      <c r="C501" s="1" t="s">
        <v>507</v>
      </c>
      <c r="D501" s="1" t="s">
        <v>694</v>
      </c>
      <c r="E501" s="1" t="s">
        <v>1009</v>
      </c>
      <c r="F501" s="1">
        <v>19.0</v>
      </c>
      <c r="G501" s="1">
        <v>5.0</v>
      </c>
      <c r="H501" s="1">
        <v>14.0</v>
      </c>
      <c r="I501" s="1">
        <v>19.0</v>
      </c>
      <c r="J501" s="1">
        <v>5.0</v>
      </c>
      <c r="K501" s="1">
        <v>14.0</v>
      </c>
      <c r="L501" s="1">
        <v>17.0</v>
      </c>
      <c r="M501" s="1">
        <v>17.0</v>
      </c>
      <c r="N501" s="1">
        <v>11.0</v>
      </c>
      <c r="O501" s="1" t="e">
        <v>#N/A</v>
      </c>
      <c r="P501" s="1" t="e">
        <v>#N/A</v>
      </c>
      <c r="Q501" s="1">
        <v>13.0</v>
      </c>
    </row>
    <row r="502">
      <c r="A502" s="1">
        <v>6896.0</v>
      </c>
      <c r="B502" s="1" t="s">
        <v>480</v>
      </c>
      <c r="C502" s="1" t="s">
        <v>938</v>
      </c>
      <c r="D502" s="1" t="s">
        <v>1205</v>
      </c>
      <c r="E502" s="1" t="s">
        <v>974</v>
      </c>
      <c r="F502" s="1">
        <v>5.0</v>
      </c>
      <c r="G502" s="1">
        <v>5.0</v>
      </c>
      <c r="H502" s="1">
        <v>0.0</v>
      </c>
      <c r="I502" s="1">
        <v>5.0</v>
      </c>
      <c r="J502" s="1">
        <v>5.0</v>
      </c>
      <c r="K502" s="1">
        <v>0.0</v>
      </c>
      <c r="L502" s="1">
        <v>8.0</v>
      </c>
      <c r="M502" s="1">
        <v>8.0</v>
      </c>
      <c r="N502" s="1">
        <v>8.0</v>
      </c>
      <c r="O502" s="1" t="e">
        <v>#N/A</v>
      </c>
      <c r="P502" s="1" t="e">
        <v>#N/A</v>
      </c>
      <c r="Q502" s="1">
        <v>8.0</v>
      </c>
    </row>
    <row r="503">
      <c r="A503" s="1">
        <v>6898.0</v>
      </c>
      <c r="B503" s="1" t="s">
        <v>492</v>
      </c>
      <c r="C503" s="1" t="s">
        <v>930</v>
      </c>
      <c r="D503" s="1" t="s">
        <v>1085</v>
      </c>
      <c r="E503" s="1" t="s">
        <v>985</v>
      </c>
      <c r="F503" s="1">
        <v>5.0</v>
      </c>
      <c r="G503" s="1">
        <v>6.0</v>
      </c>
      <c r="H503" s="1">
        <v>-1.0</v>
      </c>
      <c r="I503" s="1">
        <v>5.0</v>
      </c>
      <c r="J503" s="1">
        <v>7.0</v>
      </c>
      <c r="K503" s="1">
        <v>-2.0</v>
      </c>
      <c r="L503" s="1">
        <v>14.0</v>
      </c>
      <c r="M503" s="1">
        <v>17.0</v>
      </c>
      <c r="N503" s="1">
        <v>14.0</v>
      </c>
      <c r="O503" s="1" t="e">
        <v>#N/A</v>
      </c>
      <c r="P503" s="1" t="e">
        <v>#N/A</v>
      </c>
      <c r="Q503" s="1">
        <v>14.0</v>
      </c>
    </row>
    <row r="504">
      <c r="A504" s="1">
        <v>6900.0</v>
      </c>
      <c r="B504" s="1" t="s">
        <v>492</v>
      </c>
      <c r="C504" s="1" t="s">
        <v>1089</v>
      </c>
      <c r="D504" s="1" t="s">
        <v>1167</v>
      </c>
      <c r="E504" s="1" t="s">
        <v>993</v>
      </c>
      <c r="F504" s="1">
        <v>6.0</v>
      </c>
      <c r="G504" s="1">
        <v>3.0</v>
      </c>
      <c r="H504" s="1">
        <v>3.0</v>
      </c>
      <c r="I504" s="1">
        <v>6.0</v>
      </c>
      <c r="J504" s="1">
        <v>4.0</v>
      </c>
      <c r="K504" s="1">
        <v>2.0</v>
      </c>
      <c r="L504" s="1">
        <v>14.0</v>
      </c>
      <c r="M504" s="1">
        <v>15.0</v>
      </c>
      <c r="N504" s="1">
        <v>7.0</v>
      </c>
      <c r="O504" s="1" t="e">
        <v>#N/A</v>
      </c>
      <c r="P504" s="1" t="e">
        <v>#N/A</v>
      </c>
      <c r="Q504" s="1">
        <v>10.0</v>
      </c>
    </row>
    <row r="505">
      <c r="A505" s="1">
        <v>6903.0</v>
      </c>
      <c r="B505" s="1" t="s">
        <v>492</v>
      </c>
      <c r="C505" s="1" t="s">
        <v>934</v>
      </c>
      <c r="D505" s="1" t="s">
        <v>1328</v>
      </c>
      <c r="E505" s="1" t="s">
        <v>987</v>
      </c>
      <c r="F505" s="1">
        <v>1.0</v>
      </c>
      <c r="G505" s="1">
        <v>1.0</v>
      </c>
      <c r="H505" s="1">
        <v>0.0</v>
      </c>
      <c r="I505" s="1">
        <v>1.0</v>
      </c>
      <c r="J505" s="1">
        <v>1.0</v>
      </c>
      <c r="K505" s="1">
        <v>0.0</v>
      </c>
      <c r="L505" s="1">
        <v>1.0</v>
      </c>
      <c r="M505" s="1">
        <v>1.0</v>
      </c>
      <c r="N505" s="1">
        <v>1.0</v>
      </c>
      <c r="O505" s="1" t="e">
        <v>#N/A</v>
      </c>
      <c r="P505" s="1" t="e">
        <v>#N/A</v>
      </c>
      <c r="Q505" s="1">
        <v>1.0</v>
      </c>
    </row>
    <row r="506">
      <c r="A506" s="1">
        <v>6904.0</v>
      </c>
      <c r="B506" s="1" t="s">
        <v>492</v>
      </c>
      <c r="C506" s="1" t="s">
        <v>1057</v>
      </c>
      <c r="D506" s="1" t="s">
        <v>710</v>
      </c>
      <c r="E506" s="1" t="s">
        <v>1233</v>
      </c>
      <c r="F506" s="1">
        <v>8.0</v>
      </c>
      <c r="G506" s="1">
        <v>3.0</v>
      </c>
      <c r="H506" s="1">
        <v>5.0</v>
      </c>
      <c r="I506" s="1">
        <v>8.0</v>
      </c>
      <c r="J506" s="1">
        <v>3.0</v>
      </c>
      <c r="K506" s="1">
        <v>5.0</v>
      </c>
      <c r="L506" s="1">
        <v>17.0</v>
      </c>
      <c r="M506" s="1">
        <v>20.0</v>
      </c>
      <c r="N506" s="1">
        <v>8.0</v>
      </c>
      <c r="O506" s="1" t="e">
        <v>#N/A</v>
      </c>
      <c r="P506" s="1" t="e">
        <v>#N/A</v>
      </c>
      <c r="Q506" s="1">
        <v>13.0</v>
      </c>
    </row>
    <row r="507">
      <c r="A507" s="1">
        <v>6908.0</v>
      </c>
      <c r="B507" s="1" t="s">
        <v>492</v>
      </c>
      <c r="C507" s="1" t="s">
        <v>930</v>
      </c>
      <c r="D507" s="1" t="s">
        <v>992</v>
      </c>
      <c r="E507" s="1" t="s">
        <v>993</v>
      </c>
      <c r="F507" s="1">
        <v>7.0</v>
      </c>
      <c r="G507" s="1">
        <v>1.0</v>
      </c>
      <c r="H507" s="1">
        <v>6.0</v>
      </c>
      <c r="I507" s="1">
        <v>7.0</v>
      </c>
      <c r="J507" s="1">
        <v>1.0</v>
      </c>
      <c r="K507" s="1">
        <v>6.0</v>
      </c>
      <c r="L507" s="1">
        <v>13.0</v>
      </c>
      <c r="M507" s="1">
        <v>18.0</v>
      </c>
      <c r="N507" s="1">
        <v>1.0</v>
      </c>
      <c r="O507" s="1" t="e">
        <v>#N/A</v>
      </c>
      <c r="P507" s="1" t="e">
        <v>#N/A</v>
      </c>
      <c r="Q507" s="1">
        <v>9.0</v>
      </c>
    </row>
    <row r="508">
      <c r="A508" s="1">
        <v>6910.0</v>
      </c>
      <c r="B508" s="1" t="s">
        <v>507</v>
      </c>
      <c r="C508" s="1" t="s">
        <v>507</v>
      </c>
      <c r="D508" s="1" t="s">
        <v>1556</v>
      </c>
      <c r="E508" s="1" t="s">
        <v>985</v>
      </c>
      <c r="F508" s="1">
        <v>1.0</v>
      </c>
      <c r="G508" s="1">
        <v>1.0</v>
      </c>
      <c r="H508" s="1">
        <v>0.0</v>
      </c>
      <c r="I508" s="1">
        <v>1.0</v>
      </c>
      <c r="J508" s="1">
        <v>1.0</v>
      </c>
      <c r="K508" s="1">
        <v>0.0</v>
      </c>
      <c r="L508" s="1">
        <v>5.0</v>
      </c>
      <c r="M508" s="1">
        <v>5.0</v>
      </c>
      <c r="N508" s="1">
        <v>1.0</v>
      </c>
      <c r="O508" s="1" t="e">
        <v>#N/A</v>
      </c>
      <c r="P508" s="1" t="e">
        <v>#N/A</v>
      </c>
      <c r="Q508" s="1">
        <v>3.0</v>
      </c>
    </row>
    <row r="509">
      <c r="A509" s="1">
        <v>6912.0</v>
      </c>
      <c r="B509" s="1" t="s">
        <v>507</v>
      </c>
      <c r="C509" s="1" t="s">
        <v>512</v>
      </c>
      <c r="D509" s="1" t="s">
        <v>1557</v>
      </c>
      <c r="E509" s="1" t="s">
        <v>980</v>
      </c>
      <c r="F509" s="1">
        <v>2.0</v>
      </c>
      <c r="G509" s="1">
        <v>1.0</v>
      </c>
      <c r="H509" s="1">
        <v>1.0</v>
      </c>
      <c r="I509" s="1">
        <v>2.0</v>
      </c>
      <c r="J509" s="1">
        <v>1.0</v>
      </c>
      <c r="K509" s="1">
        <v>1.0</v>
      </c>
      <c r="L509" s="1">
        <v>5.0</v>
      </c>
      <c r="M509" s="1">
        <v>5.0</v>
      </c>
      <c r="N509" s="1">
        <v>1.0</v>
      </c>
      <c r="O509" s="1" t="e">
        <v>#N/A</v>
      </c>
      <c r="P509" s="1" t="e">
        <v>#N/A</v>
      </c>
      <c r="Q509" s="1">
        <v>3.0</v>
      </c>
    </row>
    <row r="510">
      <c r="A510" s="1">
        <v>6913.0</v>
      </c>
      <c r="B510" s="1" t="s">
        <v>507</v>
      </c>
      <c r="C510" s="1" t="s">
        <v>507</v>
      </c>
      <c r="D510" s="1" t="s">
        <v>1555</v>
      </c>
      <c r="E510" s="1" t="s">
        <v>983</v>
      </c>
      <c r="F510" s="1">
        <v>2.0</v>
      </c>
      <c r="G510" s="1">
        <v>1.0</v>
      </c>
      <c r="H510" s="1">
        <v>1.0</v>
      </c>
      <c r="I510" s="1">
        <v>2.0</v>
      </c>
      <c r="J510" s="1">
        <v>1.0</v>
      </c>
      <c r="K510" s="1">
        <v>1.0</v>
      </c>
      <c r="L510" s="1">
        <v>3.0</v>
      </c>
      <c r="M510" s="1">
        <v>3.0</v>
      </c>
      <c r="N510" s="1">
        <v>1.0</v>
      </c>
      <c r="O510" s="1" t="e">
        <v>#N/A</v>
      </c>
      <c r="P510" s="1" t="e">
        <v>#N/A</v>
      </c>
      <c r="Q510" s="1">
        <v>2.0</v>
      </c>
    </row>
    <row r="511">
      <c r="A511" s="1">
        <v>6914.0</v>
      </c>
      <c r="B511" s="1" t="s">
        <v>507</v>
      </c>
      <c r="C511" s="1" t="s">
        <v>507</v>
      </c>
      <c r="D511" s="1" t="s">
        <v>1553</v>
      </c>
      <c r="E511" s="1" t="s">
        <v>985</v>
      </c>
      <c r="F511" s="1">
        <v>4.0</v>
      </c>
      <c r="G511" s="1">
        <v>1.0</v>
      </c>
      <c r="H511" s="1">
        <v>3.0</v>
      </c>
      <c r="I511" s="1">
        <v>4.0</v>
      </c>
      <c r="J511" s="1">
        <v>1.0</v>
      </c>
      <c r="K511" s="1">
        <v>3.0</v>
      </c>
      <c r="L511" s="1">
        <v>7.0</v>
      </c>
      <c r="M511" s="1">
        <v>7.0</v>
      </c>
      <c r="N511" s="1">
        <v>11.0</v>
      </c>
      <c r="O511" s="1" t="e">
        <v>#N/A</v>
      </c>
      <c r="P511" s="1" t="e">
        <v>#N/A</v>
      </c>
      <c r="Q511" s="1">
        <v>9.0</v>
      </c>
    </row>
    <row r="512">
      <c r="A512" s="1">
        <v>6916.0</v>
      </c>
      <c r="B512" s="1" t="s">
        <v>480</v>
      </c>
      <c r="C512" s="1" t="s">
        <v>979</v>
      </c>
      <c r="D512" s="1" t="s">
        <v>978</v>
      </c>
      <c r="E512" s="1" t="s">
        <v>1026</v>
      </c>
      <c r="F512" s="1">
        <v>3.0</v>
      </c>
      <c r="G512" s="1">
        <v>1.0</v>
      </c>
      <c r="H512" s="1">
        <v>2.0</v>
      </c>
      <c r="I512" s="1">
        <v>3.0</v>
      </c>
      <c r="J512" s="1">
        <v>1.0</v>
      </c>
      <c r="K512" s="1">
        <v>2.0</v>
      </c>
      <c r="L512" s="1">
        <v>5.0</v>
      </c>
      <c r="M512" s="1">
        <v>5.0</v>
      </c>
      <c r="N512" s="1">
        <v>5.0</v>
      </c>
      <c r="O512" s="1" t="e">
        <v>#N/A</v>
      </c>
      <c r="P512" s="1" t="e">
        <v>#N/A</v>
      </c>
      <c r="Q512" s="1">
        <v>5.0</v>
      </c>
    </row>
    <row r="513">
      <c r="A513" s="1">
        <v>6917.0</v>
      </c>
      <c r="B513" s="1" t="s">
        <v>492</v>
      </c>
      <c r="C513" s="1" t="s">
        <v>492</v>
      </c>
      <c r="D513" s="1" t="s">
        <v>852</v>
      </c>
      <c r="E513" s="1" t="s">
        <v>1026</v>
      </c>
      <c r="F513" s="1">
        <v>8.0</v>
      </c>
      <c r="G513" s="1">
        <v>1.0</v>
      </c>
      <c r="H513" s="1">
        <v>7.0</v>
      </c>
      <c r="I513" s="1">
        <v>8.0</v>
      </c>
      <c r="J513" s="1">
        <v>1.0</v>
      </c>
      <c r="K513" s="1">
        <v>7.0</v>
      </c>
      <c r="L513" s="1">
        <v>18.0</v>
      </c>
      <c r="M513" s="1">
        <v>18.0</v>
      </c>
      <c r="N513" s="1">
        <v>12.0</v>
      </c>
      <c r="O513" s="1" t="e">
        <v>#N/A</v>
      </c>
      <c r="P513" s="1" t="e">
        <v>#N/A</v>
      </c>
      <c r="Q513" s="1">
        <v>14.0</v>
      </c>
    </row>
    <row r="514">
      <c r="A514" s="1">
        <v>6919.0</v>
      </c>
      <c r="B514" s="1" t="s">
        <v>477</v>
      </c>
      <c r="C514" s="1" t="s">
        <v>478</v>
      </c>
      <c r="D514" s="1" t="s">
        <v>1537</v>
      </c>
      <c r="E514" s="1" t="s">
        <v>1222</v>
      </c>
      <c r="F514" s="1">
        <v>1.0</v>
      </c>
      <c r="G514" s="1">
        <v>1.0</v>
      </c>
      <c r="H514" s="1">
        <v>0.0</v>
      </c>
      <c r="I514" s="1">
        <v>1.0</v>
      </c>
      <c r="J514" s="1">
        <v>1.0</v>
      </c>
      <c r="K514" s="1">
        <v>0.0</v>
      </c>
      <c r="L514" s="1">
        <v>1.0</v>
      </c>
      <c r="M514" s="1">
        <v>1.0</v>
      </c>
      <c r="N514" s="1">
        <v>1.0</v>
      </c>
      <c r="O514" s="1" t="e">
        <v>#N/A</v>
      </c>
      <c r="P514" s="1" t="e">
        <v>#N/A</v>
      </c>
      <c r="Q514" s="1">
        <v>1.0</v>
      </c>
    </row>
    <row r="515">
      <c r="A515" s="1">
        <v>6920.0</v>
      </c>
      <c r="B515" s="1" t="s">
        <v>492</v>
      </c>
      <c r="C515" s="1" t="s">
        <v>1089</v>
      </c>
      <c r="D515" s="1" t="s">
        <v>1544</v>
      </c>
      <c r="E515" s="1" t="s">
        <v>1225</v>
      </c>
      <c r="F515" s="1">
        <v>3.0</v>
      </c>
      <c r="G515" s="1">
        <v>1.0</v>
      </c>
      <c r="H515" s="1">
        <v>2.0</v>
      </c>
      <c r="I515" s="1">
        <v>3.0</v>
      </c>
      <c r="J515" s="1">
        <v>1.0</v>
      </c>
      <c r="K515" s="1">
        <v>2.0</v>
      </c>
      <c r="L515" s="1">
        <v>5.0</v>
      </c>
      <c r="M515" s="1">
        <v>5.0</v>
      </c>
      <c r="N515" s="1">
        <v>5.0</v>
      </c>
      <c r="O515" s="1" t="e">
        <v>#N/A</v>
      </c>
      <c r="P515" s="1" t="e">
        <v>#N/A</v>
      </c>
      <c r="Q515" s="1">
        <v>5.0</v>
      </c>
    </row>
    <row r="516">
      <c r="A516" s="1">
        <v>6922.0</v>
      </c>
      <c r="B516" s="1" t="s">
        <v>492</v>
      </c>
      <c r="C516" s="1" t="s">
        <v>930</v>
      </c>
      <c r="D516" s="1" t="s">
        <v>1547</v>
      </c>
      <c r="E516" s="1" t="s">
        <v>1026</v>
      </c>
      <c r="F516" s="1">
        <v>2.0</v>
      </c>
      <c r="G516" s="1">
        <v>1.0</v>
      </c>
      <c r="H516" s="1">
        <v>1.0</v>
      </c>
      <c r="I516" s="1">
        <v>2.0</v>
      </c>
      <c r="J516" s="1">
        <v>1.0</v>
      </c>
      <c r="K516" s="1">
        <v>1.0</v>
      </c>
      <c r="L516" s="1">
        <v>1.0</v>
      </c>
      <c r="M516" s="1">
        <v>1.0</v>
      </c>
      <c r="N516" s="1">
        <v>1.0</v>
      </c>
      <c r="O516" s="1" t="e">
        <v>#N/A</v>
      </c>
      <c r="P516" s="1" t="e">
        <v>#N/A</v>
      </c>
      <c r="Q516" s="1">
        <v>1.0</v>
      </c>
    </row>
    <row r="517">
      <c r="A517" s="1">
        <v>6944.0</v>
      </c>
      <c r="B517" s="1" t="s">
        <v>480</v>
      </c>
      <c r="C517" s="1" t="s">
        <v>1022</v>
      </c>
      <c r="D517" s="1" t="s">
        <v>1541</v>
      </c>
      <c r="E517" s="1" t="s">
        <v>974</v>
      </c>
      <c r="F517" s="1">
        <v>1.0</v>
      </c>
      <c r="G517" s="1">
        <v>1.0</v>
      </c>
      <c r="H517" s="1">
        <v>0.0</v>
      </c>
      <c r="I517" s="1">
        <v>1.0</v>
      </c>
      <c r="J517" s="1">
        <v>1.0</v>
      </c>
      <c r="K517" s="1">
        <v>0.0</v>
      </c>
      <c r="L517" s="1">
        <v>7.0</v>
      </c>
      <c r="M517" s="1">
        <v>7.0</v>
      </c>
      <c r="N517" s="1">
        <v>1.0</v>
      </c>
      <c r="O517" s="1" t="e">
        <v>#N/A</v>
      </c>
      <c r="P517" s="1" t="e">
        <v>#N/A</v>
      </c>
      <c r="Q517" s="1">
        <v>4.0</v>
      </c>
    </row>
    <row r="518">
      <c r="A518" s="1">
        <v>6956.0</v>
      </c>
      <c r="B518" s="1" t="s">
        <v>480</v>
      </c>
      <c r="C518" s="1" t="s">
        <v>481</v>
      </c>
      <c r="D518" s="1" t="s">
        <v>676</v>
      </c>
      <c r="E518" s="1" t="s">
        <v>993</v>
      </c>
      <c r="F518" s="1">
        <v>9.0</v>
      </c>
      <c r="G518" s="1">
        <v>5.0</v>
      </c>
      <c r="H518" s="1">
        <v>4.0</v>
      </c>
      <c r="I518" s="1">
        <v>9.0</v>
      </c>
      <c r="J518" s="1">
        <v>5.0</v>
      </c>
      <c r="K518" s="1">
        <v>4.0</v>
      </c>
      <c r="L518" s="1">
        <v>42.0</v>
      </c>
      <c r="M518" s="1">
        <v>42.0</v>
      </c>
      <c r="N518" s="1">
        <v>12.0</v>
      </c>
      <c r="O518" s="1" t="e">
        <v>#N/A</v>
      </c>
      <c r="P518" s="1" t="e">
        <v>#N/A</v>
      </c>
      <c r="Q518" s="1">
        <v>25.0</v>
      </c>
    </row>
    <row r="519">
      <c r="A519" s="1">
        <v>6957.0</v>
      </c>
      <c r="B519" s="1" t="s">
        <v>480</v>
      </c>
      <c r="C519" s="1" t="s">
        <v>481</v>
      </c>
      <c r="D519" s="1" t="s">
        <v>1203</v>
      </c>
      <c r="E519" s="1" t="s">
        <v>983</v>
      </c>
      <c r="F519" s="1">
        <v>4.0</v>
      </c>
      <c r="G519" s="1">
        <v>3.0</v>
      </c>
      <c r="H519" s="1">
        <v>1.0</v>
      </c>
      <c r="I519" s="1">
        <v>4.0</v>
      </c>
      <c r="J519" s="1">
        <v>3.0</v>
      </c>
      <c r="K519" s="1">
        <v>1.0</v>
      </c>
      <c r="L519" s="1">
        <v>10.0</v>
      </c>
      <c r="M519" s="1">
        <v>10.0</v>
      </c>
      <c r="N519" s="1">
        <v>7.0</v>
      </c>
      <c r="O519" s="1" t="e">
        <v>#N/A</v>
      </c>
      <c r="P519" s="1" t="e">
        <v>#N/A</v>
      </c>
      <c r="Q519" s="1">
        <v>8.0</v>
      </c>
    </row>
    <row r="520">
      <c r="A520" s="1">
        <v>6963.0</v>
      </c>
      <c r="B520" s="1" t="s">
        <v>492</v>
      </c>
      <c r="C520" s="1" t="s">
        <v>930</v>
      </c>
      <c r="D520" s="1" t="s">
        <v>1552</v>
      </c>
      <c r="E520" s="1" t="s">
        <v>1233</v>
      </c>
      <c r="F520" s="1">
        <v>2.0</v>
      </c>
      <c r="G520" s="1">
        <v>2.0</v>
      </c>
      <c r="H520" s="1">
        <v>0.0</v>
      </c>
      <c r="I520" s="1">
        <v>2.0</v>
      </c>
      <c r="J520" s="1">
        <v>2.0</v>
      </c>
      <c r="K520" s="1">
        <v>0.0</v>
      </c>
      <c r="L520" s="1">
        <v>8.0</v>
      </c>
      <c r="M520" s="1">
        <v>10.0</v>
      </c>
      <c r="N520" s="1">
        <v>9.0</v>
      </c>
      <c r="O520" s="1" t="e">
        <v>#N/A</v>
      </c>
      <c r="P520" s="1" t="e">
        <v>#N/A</v>
      </c>
      <c r="Q520" s="1">
        <v>9.0</v>
      </c>
    </row>
    <row r="521">
      <c r="A521" s="1">
        <v>6965.0</v>
      </c>
      <c r="B521" s="1" t="s">
        <v>480</v>
      </c>
      <c r="C521" s="1" t="s">
        <v>931</v>
      </c>
      <c r="D521" s="1" t="s">
        <v>1099</v>
      </c>
      <c r="E521" s="1" t="s">
        <v>985</v>
      </c>
      <c r="F521" s="1">
        <v>2.0</v>
      </c>
      <c r="G521" s="1">
        <v>3.0</v>
      </c>
      <c r="H521" s="1">
        <v>-1.0</v>
      </c>
      <c r="I521" s="1">
        <v>2.0</v>
      </c>
      <c r="J521" s="1">
        <v>3.0</v>
      </c>
      <c r="K521" s="1">
        <v>-1.0</v>
      </c>
      <c r="L521" s="1">
        <v>5.0</v>
      </c>
      <c r="M521" s="1">
        <v>5.0</v>
      </c>
      <c r="N521" s="1">
        <v>5.0</v>
      </c>
      <c r="O521" s="1" t="e">
        <v>#N/A</v>
      </c>
      <c r="P521" s="1" t="e">
        <v>#N/A</v>
      </c>
      <c r="Q521" s="1">
        <v>5.0</v>
      </c>
    </row>
    <row r="522">
      <c r="A522" s="1">
        <v>6966.0</v>
      </c>
      <c r="B522" s="1" t="s">
        <v>477</v>
      </c>
      <c r="C522" s="1" t="s">
        <v>478</v>
      </c>
      <c r="D522" s="1" t="s">
        <v>723</v>
      </c>
      <c r="E522" s="1" t="s">
        <v>974</v>
      </c>
      <c r="F522" s="1">
        <v>10.0</v>
      </c>
      <c r="G522" s="1">
        <v>2.0</v>
      </c>
      <c r="H522" s="1">
        <v>8.0</v>
      </c>
      <c r="I522" s="1">
        <v>10.0</v>
      </c>
      <c r="J522" s="1">
        <v>2.0</v>
      </c>
      <c r="K522" s="1">
        <v>8.0</v>
      </c>
      <c r="L522" s="1">
        <v>28.0</v>
      </c>
      <c r="M522" s="1">
        <v>28.0</v>
      </c>
      <c r="N522" s="1">
        <v>12.0</v>
      </c>
      <c r="O522" s="1" t="e">
        <v>#N/A</v>
      </c>
      <c r="P522" s="1" t="e">
        <v>#N/A</v>
      </c>
      <c r="Q522" s="1">
        <v>18.0</v>
      </c>
    </row>
    <row r="523">
      <c r="A523" s="1">
        <v>6967.0</v>
      </c>
      <c r="B523" s="1" t="s">
        <v>492</v>
      </c>
      <c r="C523" s="1" t="s">
        <v>935</v>
      </c>
      <c r="D523" s="1" t="s">
        <v>156</v>
      </c>
      <c r="E523" s="1" t="s">
        <v>974</v>
      </c>
      <c r="F523" s="1">
        <v>15.0</v>
      </c>
      <c r="G523" s="1">
        <v>8.0</v>
      </c>
      <c r="H523" s="1">
        <v>7.0</v>
      </c>
      <c r="I523" s="1">
        <v>14.0</v>
      </c>
      <c r="J523" s="1">
        <v>7.0</v>
      </c>
      <c r="K523" s="1">
        <v>7.0</v>
      </c>
      <c r="L523" s="1">
        <v>102.0</v>
      </c>
      <c r="M523" s="1">
        <v>102.0</v>
      </c>
      <c r="N523" s="1">
        <v>38.0</v>
      </c>
      <c r="O523" s="1" t="e">
        <v>#N/A</v>
      </c>
      <c r="P523" s="1" t="e">
        <v>#N/A</v>
      </c>
      <c r="Q523" s="1">
        <v>64.0</v>
      </c>
    </row>
    <row r="524">
      <c r="A524" s="1">
        <v>6969.0</v>
      </c>
      <c r="B524" s="1" t="s">
        <v>492</v>
      </c>
      <c r="C524" s="1" t="s">
        <v>934</v>
      </c>
      <c r="D524" s="1" t="s">
        <v>1545</v>
      </c>
      <c r="E524" s="1" t="s">
        <v>987</v>
      </c>
      <c r="F524" s="1">
        <v>4.0</v>
      </c>
      <c r="G524" s="1">
        <v>5.0</v>
      </c>
      <c r="H524" s="1">
        <v>-1.0</v>
      </c>
      <c r="I524" s="1">
        <v>4.0</v>
      </c>
      <c r="J524" s="1">
        <v>5.0</v>
      </c>
      <c r="K524" s="1">
        <v>-1.0</v>
      </c>
      <c r="L524" s="1">
        <v>13.0</v>
      </c>
      <c r="M524" s="1">
        <v>13.0</v>
      </c>
      <c r="N524" s="1">
        <v>12.0</v>
      </c>
      <c r="O524" s="1" t="e">
        <v>#N/A</v>
      </c>
      <c r="P524" s="1" t="e">
        <v>#N/A</v>
      </c>
      <c r="Q524" s="1">
        <v>12.0</v>
      </c>
    </row>
    <row r="525">
      <c r="A525" s="1">
        <v>6975.0</v>
      </c>
      <c r="B525" s="1" t="s">
        <v>480</v>
      </c>
      <c r="C525" s="1" t="s">
        <v>938</v>
      </c>
      <c r="D525" s="1" t="s">
        <v>698</v>
      </c>
      <c r="E525" s="1" t="s">
        <v>976</v>
      </c>
      <c r="F525" s="1">
        <v>5.0</v>
      </c>
      <c r="G525" s="1">
        <v>5.0</v>
      </c>
      <c r="H525" s="1">
        <v>0.0</v>
      </c>
      <c r="I525" s="1">
        <v>5.0</v>
      </c>
      <c r="J525" s="1">
        <v>5.0</v>
      </c>
      <c r="K525" s="1">
        <v>0.0</v>
      </c>
      <c r="L525" s="1">
        <v>7.0</v>
      </c>
      <c r="M525" s="1">
        <v>7.0</v>
      </c>
      <c r="N525" s="1">
        <v>13.0</v>
      </c>
      <c r="O525" s="1" t="e">
        <v>#N/A</v>
      </c>
      <c r="P525" s="1" t="e">
        <v>#N/A</v>
      </c>
      <c r="Q525" s="1">
        <v>10.0</v>
      </c>
    </row>
    <row r="526">
      <c r="A526" s="1">
        <v>6977.0</v>
      </c>
      <c r="B526" s="1" t="s">
        <v>480</v>
      </c>
      <c r="C526" s="1" t="s">
        <v>481</v>
      </c>
      <c r="D526" s="1" t="s">
        <v>1138</v>
      </c>
      <c r="E526" s="1" t="s">
        <v>1026</v>
      </c>
      <c r="F526" s="1">
        <v>2.0</v>
      </c>
      <c r="G526" s="1">
        <v>3.0</v>
      </c>
      <c r="H526" s="1">
        <v>-1.0</v>
      </c>
      <c r="I526" s="1">
        <v>2.0</v>
      </c>
      <c r="J526" s="1">
        <v>3.0</v>
      </c>
      <c r="K526" s="1">
        <v>-1.0</v>
      </c>
      <c r="L526" s="1">
        <v>5.0</v>
      </c>
      <c r="M526" s="1">
        <v>5.0</v>
      </c>
      <c r="N526" s="1">
        <v>6.0</v>
      </c>
      <c r="O526" s="1" t="e">
        <v>#N/A</v>
      </c>
      <c r="P526" s="1" t="e">
        <v>#N/A</v>
      </c>
      <c r="Q526" s="1">
        <v>5.0</v>
      </c>
    </row>
    <row r="527">
      <c r="A527" s="1">
        <v>6978.0</v>
      </c>
      <c r="B527" s="1" t="s">
        <v>480</v>
      </c>
      <c r="C527" s="1" t="s">
        <v>481</v>
      </c>
      <c r="D527" s="1" t="s">
        <v>1542</v>
      </c>
      <c r="E527" s="1" t="s">
        <v>1225</v>
      </c>
      <c r="F527" s="1">
        <v>2.0</v>
      </c>
      <c r="G527" s="1">
        <v>1.0</v>
      </c>
      <c r="H527" s="1">
        <v>1.0</v>
      </c>
      <c r="I527" s="1">
        <v>2.0</v>
      </c>
      <c r="J527" s="1">
        <v>1.0</v>
      </c>
      <c r="K527" s="1">
        <v>1.0</v>
      </c>
      <c r="L527" s="1">
        <v>7.0</v>
      </c>
      <c r="M527" s="1">
        <v>7.0</v>
      </c>
      <c r="N527" s="1">
        <v>4.0</v>
      </c>
      <c r="O527" s="1" t="e">
        <v>#N/A</v>
      </c>
      <c r="P527" s="1" t="e">
        <v>#N/A</v>
      </c>
      <c r="Q527" s="1">
        <v>5.0</v>
      </c>
    </row>
    <row r="528">
      <c r="A528" s="1">
        <v>6980.0</v>
      </c>
      <c r="B528" s="1" t="s">
        <v>492</v>
      </c>
      <c r="C528" s="1" t="s">
        <v>563</v>
      </c>
      <c r="D528" s="1" t="s">
        <v>384</v>
      </c>
      <c r="E528" s="1" t="s">
        <v>1026</v>
      </c>
      <c r="F528" s="1">
        <v>5.0</v>
      </c>
      <c r="G528" s="1">
        <v>1.0</v>
      </c>
      <c r="H528" s="1">
        <v>4.0</v>
      </c>
      <c r="I528" s="1">
        <v>5.0</v>
      </c>
      <c r="J528" s="1">
        <v>1.0</v>
      </c>
      <c r="K528" s="1">
        <v>4.0</v>
      </c>
      <c r="L528" s="1">
        <v>1.0</v>
      </c>
      <c r="M528" s="1">
        <v>1.0</v>
      </c>
      <c r="N528" s="1">
        <v>1.0</v>
      </c>
      <c r="O528" s="1" t="e">
        <v>#N/A</v>
      </c>
      <c r="P528" s="1" t="e">
        <v>#N/A</v>
      </c>
      <c r="Q528" s="1">
        <v>1.0</v>
      </c>
    </row>
    <row r="529">
      <c r="A529" s="1">
        <v>6984.0</v>
      </c>
      <c r="B529" s="1" t="s">
        <v>492</v>
      </c>
      <c r="C529" s="1" t="s">
        <v>935</v>
      </c>
      <c r="D529" s="1" t="s">
        <v>1134</v>
      </c>
      <c r="E529" s="1" t="s">
        <v>985</v>
      </c>
      <c r="F529" s="1">
        <v>12.0</v>
      </c>
      <c r="G529" s="1">
        <v>7.0</v>
      </c>
      <c r="H529" s="1">
        <v>5.0</v>
      </c>
      <c r="I529" s="1">
        <v>11.0</v>
      </c>
      <c r="J529" s="1">
        <v>6.0</v>
      </c>
      <c r="K529" s="1">
        <v>5.0</v>
      </c>
      <c r="L529" s="1">
        <v>38.0</v>
      </c>
      <c r="M529" s="1">
        <v>38.0</v>
      </c>
      <c r="N529" s="1">
        <v>13.0</v>
      </c>
      <c r="O529" s="1" t="e">
        <v>#N/A</v>
      </c>
      <c r="P529" s="1" t="e">
        <v>#N/A</v>
      </c>
      <c r="Q529" s="1">
        <v>23.0</v>
      </c>
    </row>
    <row r="530">
      <c r="A530" s="1">
        <v>6985.0</v>
      </c>
      <c r="B530" s="1" t="s">
        <v>480</v>
      </c>
      <c r="C530" s="1" t="s">
        <v>1022</v>
      </c>
      <c r="D530" s="1" t="s">
        <v>1021</v>
      </c>
      <c r="E530" s="1" t="s">
        <v>1233</v>
      </c>
      <c r="F530" s="1">
        <v>6.0</v>
      </c>
      <c r="G530" s="1">
        <v>1.0</v>
      </c>
      <c r="H530" s="1">
        <v>5.0</v>
      </c>
      <c r="I530" s="1">
        <v>6.0</v>
      </c>
      <c r="J530" s="1">
        <v>1.0</v>
      </c>
      <c r="K530" s="1">
        <v>5.0</v>
      </c>
      <c r="L530" s="1">
        <v>14.0</v>
      </c>
      <c r="M530" s="1">
        <v>17.0</v>
      </c>
      <c r="N530" s="1">
        <v>7.0</v>
      </c>
      <c r="O530" s="1" t="e">
        <v>#N/A</v>
      </c>
      <c r="P530" s="1" t="e">
        <v>#N/A</v>
      </c>
      <c r="Q530" s="1">
        <v>11.0</v>
      </c>
    </row>
    <row r="531">
      <c r="A531" s="1">
        <v>6986.0</v>
      </c>
      <c r="B531" s="1" t="s">
        <v>480</v>
      </c>
      <c r="C531" s="1" t="s">
        <v>1019</v>
      </c>
      <c r="D531" s="1" t="s">
        <v>654</v>
      </c>
      <c r="E531" s="1" t="s">
        <v>988</v>
      </c>
      <c r="F531" s="1">
        <v>5.0</v>
      </c>
      <c r="G531" s="1">
        <v>5.0</v>
      </c>
      <c r="H531" s="1">
        <v>0.0</v>
      </c>
      <c r="I531" s="1">
        <v>6.0</v>
      </c>
      <c r="J531" s="1">
        <v>6.0</v>
      </c>
      <c r="K531" s="1">
        <v>0.0</v>
      </c>
      <c r="L531" s="1">
        <v>10.0</v>
      </c>
      <c r="M531" s="1">
        <v>13.0</v>
      </c>
      <c r="N531" s="1">
        <v>18.0</v>
      </c>
      <c r="O531" s="1" t="e">
        <v>#N/A</v>
      </c>
      <c r="P531" s="1" t="e">
        <v>#N/A</v>
      </c>
      <c r="Q531" s="1">
        <v>15.0</v>
      </c>
    </row>
    <row r="532">
      <c r="A532" s="1">
        <v>6989.0</v>
      </c>
      <c r="B532" s="1" t="s">
        <v>480</v>
      </c>
      <c r="C532" s="1" t="s">
        <v>481</v>
      </c>
      <c r="D532" s="1" t="s">
        <v>1196</v>
      </c>
      <c r="E532" s="1" t="s">
        <v>998</v>
      </c>
      <c r="F532" s="1">
        <v>2.0</v>
      </c>
      <c r="G532" s="1">
        <v>1.0</v>
      </c>
      <c r="H532" s="1">
        <v>1.0</v>
      </c>
      <c r="I532" s="1">
        <v>2.0</v>
      </c>
      <c r="J532" s="1">
        <v>1.0</v>
      </c>
      <c r="K532" s="1">
        <v>1.0</v>
      </c>
      <c r="L532" s="1">
        <v>1.0</v>
      </c>
      <c r="M532" s="1">
        <v>1.0</v>
      </c>
      <c r="N532" s="1">
        <v>1.0</v>
      </c>
      <c r="O532" s="1" t="e">
        <v>#N/A</v>
      </c>
      <c r="P532" s="1" t="e">
        <v>#N/A</v>
      </c>
      <c r="Q532" s="1">
        <v>1.0</v>
      </c>
    </row>
    <row r="533">
      <c r="A533" s="1">
        <v>6990.0</v>
      </c>
      <c r="B533" s="1" t="s">
        <v>480</v>
      </c>
      <c r="C533" s="1" t="s">
        <v>938</v>
      </c>
      <c r="D533" s="1" t="s">
        <v>1210</v>
      </c>
      <c r="E533" s="1" t="s">
        <v>998</v>
      </c>
      <c r="F533" s="1">
        <v>5.0</v>
      </c>
      <c r="G533" s="1">
        <v>2.0</v>
      </c>
      <c r="H533" s="1">
        <v>3.0</v>
      </c>
      <c r="I533" s="1">
        <v>5.0</v>
      </c>
      <c r="J533" s="1">
        <v>2.0</v>
      </c>
      <c r="K533" s="1">
        <v>3.0</v>
      </c>
      <c r="L533" s="1">
        <v>7.0</v>
      </c>
      <c r="M533" s="1">
        <v>7.0</v>
      </c>
      <c r="N533" s="1">
        <v>3.0</v>
      </c>
      <c r="O533" s="1" t="e">
        <v>#N/A</v>
      </c>
      <c r="P533" s="1" t="e">
        <v>#N/A</v>
      </c>
      <c r="Q533" s="1">
        <v>5.0</v>
      </c>
    </row>
    <row r="534">
      <c r="A534" s="1">
        <v>6991.0</v>
      </c>
      <c r="B534" s="1" t="s">
        <v>477</v>
      </c>
      <c r="C534" s="1" t="s">
        <v>478</v>
      </c>
      <c r="D534" s="1" t="s">
        <v>1178</v>
      </c>
      <c r="E534" s="1" t="s">
        <v>1026</v>
      </c>
      <c r="F534" s="1">
        <v>2.0</v>
      </c>
      <c r="G534" s="1">
        <v>1.0</v>
      </c>
      <c r="H534" s="1">
        <v>1.0</v>
      </c>
      <c r="I534" s="1">
        <v>2.0</v>
      </c>
      <c r="J534" s="1">
        <v>1.0</v>
      </c>
      <c r="K534" s="1">
        <v>1.0</v>
      </c>
      <c r="L534" s="1">
        <v>1.0</v>
      </c>
      <c r="M534" s="1">
        <v>1.0</v>
      </c>
      <c r="N534" s="1">
        <v>1.0</v>
      </c>
      <c r="O534" s="1" t="e">
        <v>#N/A</v>
      </c>
      <c r="P534" s="1" t="e">
        <v>#N/A</v>
      </c>
      <c r="Q534" s="1">
        <v>1.0</v>
      </c>
    </row>
    <row r="535">
      <c r="A535" s="1">
        <v>6992.0</v>
      </c>
      <c r="B535" s="1" t="s">
        <v>480</v>
      </c>
      <c r="C535" s="1" t="s">
        <v>1019</v>
      </c>
      <c r="D535" s="1" t="s">
        <v>1139</v>
      </c>
      <c r="E535" s="1" t="s">
        <v>983</v>
      </c>
      <c r="F535" s="1">
        <v>1.0</v>
      </c>
      <c r="G535" s="1">
        <v>2.0</v>
      </c>
      <c r="H535" s="1">
        <v>-1.0</v>
      </c>
      <c r="I535" s="1">
        <v>1.0</v>
      </c>
      <c r="J535" s="1">
        <v>3.0</v>
      </c>
      <c r="K535" s="1">
        <v>-2.0</v>
      </c>
      <c r="L535" s="1">
        <v>4.0</v>
      </c>
      <c r="M535" s="1">
        <v>6.0</v>
      </c>
      <c r="N535" s="1">
        <v>6.0</v>
      </c>
      <c r="O535" s="1" t="e">
        <v>#N/A</v>
      </c>
      <c r="P535" s="1" t="e">
        <v>#N/A</v>
      </c>
      <c r="Q535" s="1">
        <v>6.0</v>
      </c>
    </row>
    <row r="536">
      <c r="A536" s="1">
        <v>6993.0</v>
      </c>
      <c r="B536" s="1" t="s">
        <v>480</v>
      </c>
      <c r="C536" s="1" t="s">
        <v>481</v>
      </c>
      <c r="D536" s="1" t="s">
        <v>1540</v>
      </c>
      <c r="E536" s="1" t="s">
        <v>1225</v>
      </c>
      <c r="F536" s="1">
        <v>2.0</v>
      </c>
      <c r="G536" s="1">
        <v>2.0</v>
      </c>
      <c r="H536" s="1">
        <v>0.0</v>
      </c>
      <c r="I536" s="1">
        <v>2.0</v>
      </c>
      <c r="J536" s="1">
        <v>2.0</v>
      </c>
      <c r="K536" s="1">
        <v>0.0</v>
      </c>
      <c r="L536" s="1">
        <v>5.0</v>
      </c>
      <c r="M536" s="1">
        <v>5.0</v>
      </c>
      <c r="N536" s="1">
        <v>3.0</v>
      </c>
      <c r="O536" s="1" t="e">
        <v>#N/A</v>
      </c>
      <c r="P536" s="1" t="e">
        <v>#N/A</v>
      </c>
      <c r="Q536" s="1">
        <v>4.0</v>
      </c>
    </row>
    <row r="537">
      <c r="A537" s="1">
        <v>6994.0</v>
      </c>
      <c r="B537" s="1" t="s">
        <v>492</v>
      </c>
      <c r="C537" s="1" t="s">
        <v>934</v>
      </c>
      <c r="D537" s="1" t="s">
        <v>1642</v>
      </c>
      <c r="E537" s="1" t="s">
        <v>1233</v>
      </c>
      <c r="F537" s="1">
        <v>9.0</v>
      </c>
      <c r="G537" s="1">
        <v>6.0</v>
      </c>
      <c r="H537" s="1">
        <v>3.0</v>
      </c>
      <c r="I537" s="1">
        <v>9.0</v>
      </c>
      <c r="J537" s="1">
        <v>6.0</v>
      </c>
      <c r="K537" s="1">
        <v>3.0</v>
      </c>
      <c r="L537" s="1">
        <v>23.0</v>
      </c>
      <c r="M537" s="1">
        <v>23.0</v>
      </c>
      <c r="N537" s="1">
        <v>1.0</v>
      </c>
      <c r="O537" s="1" t="e">
        <v>#N/A</v>
      </c>
      <c r="P537" s="1" t="e">
        <v>#N/A</v>
      </c>
      <c r="Q537" s="1">
        <v>11.0</v>
      </c>
    </row>
    <row r="538">
      <c r="A538" s="1">
        <v>7001.0</v>
      </c>
      <c r="B538" s="1" t="s">
        <v>507</v>
      </c>
      <c r="C538" s="1" t="s">
        <v>935</v>
      </c>
      <c r="D538" s="1" t="s">
        <v>1116</v>
      </c>
      <c r="E538" s="1" t="s">
        <v>998</v>
      </c>
      <c r="F538" s="1">
        <v>4.0</v>
      </c>
      <c r="G538" s="1">
        <v>3.0</v>
      </c>
      <c r="H538" s="1">
        <v>1.0</v>
      </c>
      <c r="I538" s="1">
        <v>4.0</v>
      </c>
      <c r="J538" s="1">
        <v>4.0</v>
      </c>
      <c r="K538" s="1">
        <v>0.0</v>
      </c>
      <c r="L538" s="1">
        <v>7.0</v>
      </c>
      <c r="M538" s="1">
        <v>10.0</v>
      </c>
      <c r="N538" s="1">
        <v>1.0</v>
      </c>
      <c r="O538" s="1" t="e">
        <v>#N/A</v>
      </c>
      <c r="P538" s="1" t="e">
        <v>#N/A</v>
      </c>
      <c r="Q538" s="1">
        <v>5.0</v>
      </c>
    </row>
    <row r="539">
      <c r="A539" s="1">
        <v>7002.0</v>
      </c>
      <c r="B539" s="1" t="s">
        <v>507</v>
      </c>
      <c r="C539" s="1" t="s">
        <v>512</v>
      </c>
      <c r="D539" s="1" t="s">
        <v>1643</v>
      </c>
      <c r="E539" s="1" t="s">
        <v>1225</v>
      </c>
      <c r="F539" s="1">
        <v>4.0</v>
      </c>
      <c r="G539" s="1">
        <v>7.0</v>
      </c>
      <c r="H539" s="1">
        <v>-3.0</v>
      </c>
      <c r="I539" s="1">
        <v>4.0</v>
      </c>
      <c r="J539" s="1">
        <v>7.0</v>
      </c>
      <c r="K539" s="1">
        <v>-3.0</v>
      </c>
      <c r="L539" s="1">
        <v>9.0</v>
      </c>
      <c r="M539" s="1">
        <v>9.0</v>
      </c>
      <c r="N539" s="1">
        <v>1.0</v>
      </c>
      <c r="O539" s="1" t="e">
        <v>#N/A</v>
      </c>
      <c r="P539" s="1" t="e">
        <v>#N/A</v>
      </c>
      <c r="Q539" s="1">
        <v>5.0</v>
      </c>
    </row>
    <row r="540">
      <c r="A540" s="1">
        <v>7008.0</v>
      </c>
      <c r="B540" s="1" t="s">
        <v>507</v>
      </c>
      <c r="C540" s="1" t="s">
        <v>512</v>
      </c>
      <c r="D540" s="1" t="s">
        <v>325</v>
      </c>
      <c r="E540" s="1" t="s">
        <v>991</v>
      </c>
      <c r="F540" s="1">
        <v>25.0</v>
      </c>
      <c r="G540" s="1">
        <v>30.0</v>
      </c>
      <c r="H540" s="1">
        <v>-5.0</v>
      </c>
      <c r="I540" s="1">
        <v>25.0</v>
      </c>
      <c r="J540" s="1">
        <v>30.0</v>
      </c>
      <c r="K540" s="1">
        <v>-5.0</v>
      </c>
      <c r="L540" s="1">
        <v>130.0</v>
      </c>
      <c r="M540" s="1">
        <v>130.0</v>
      </c>
      <c r="N540" s="1">
        <v>320.0</v>
      </c>
      <c r="O540" s="1" t="e">
        <v>#N/A</v>
      </c>
      <c r="P540" s="1" t="e">
        <v>#N/A</v>
      </c>
      <c r="Q540" s="1">
        <v>215.0</v>
      </c>
    </row>
    <row r="541">
      <c r="A541" s="1">
        <v>7011.0</v>
      </c>
      <c r="B541" s="1" t="s">
        <v>480</v>
      </c>
      <c r="C541" s="1" t="s">
        <v>481</v>
      </c>
      <c r="D541" s="1" t="s">
        <v>1182</v>
      </c>
      <c r="E541" s="1" t="s">
        <v>983</v>
      </c>
      <c r="F541" s="1">
        <v>1.0</v>
      </c>
      <c r="G541" s="1">
        <v>1.0</v>
      </c>
      <c r="H541" s="1">
        <v>0.0</v>
      </c>
      <c r="I541" s="1">
        <v>1.0</v>
      </c>
      <c r="J541" s="1">
        <v>1.0</v>
      </c>
      <c r="K541" s="1">
        <v>0.0</v>
      </c>
      <c r="L541" s="1">
        <v>1.0</v>
      </c>
      <c r="M541" s="1">
        <v>1.0</v>
      </c>
      <c r="N541" s="1">
        <v>1.0</v>
      </c>
      <c r="O541" s="1" t="e">
        <v>#N/A</v>
      </c>
      <c r="P541" s="1" t="e">
        <v>#N/A</v>
      </c>
      <c r="Q541" s="1">
        <v>1.0</v>
      </c>
    </row>
    <row r="542">
      <c r="A542" s="1">
        <v>7012.0</v>
      </c>
      <c r="B542" s="1" t="s">
        <v>480</v>
      </c>
      <c r="C542" s="1" t="s">
        <v>481</v>
      </c>
      <c r="D542" s="1" t="s">
        <v>458</v>
      </c>
      <c r="E542" s="1" t="s">
        <v>1000</v>
      </c>
      <c r="F542" s="1">
        <v>1.0</v>
      </c>
      <c r="G542" s="1">
        <v>2.0</v>
      </c>
      <c r="H542" s="1">
        <v>-1.0</v>
      </c>
      <c r="I542" s="1">
        <v>1.0</v>
      </c>
      <c r="J542" s="1">
        <v>2.0</v>
      </c>
      <c r="K542" s="1">
        <v>-1.0</v>
      </c>
      <c r="L542" s="1">
        <v>5.0</v>
      </c>
      <c r="M542" s="1">
        <v>5.0</v>
      </c>
      <c r="N542" s="1">
        <v>5.0</v>
      </c>
      <c r="O542" s="1" t="e">
        <v>#N/A</v>
      </c>
      <c r="P542" s="1" t="e">
        <v>#N/A</v>
      </c>
      <c r="Q542" s="1">
        <v>5.0</v>
      </c>
    </row>
    <row r="543">
      <c r="A543" s="1">
        <v>7014.0</v>
      </c>
      <c r="B543" s="1" t="s">
        <v>480</v>
      </c>
      <c r="C543" s="1" t="s">
        <v>1019</v>
      </c>
      <c r="D543" s="1" t="s">
        <v>276</v>
      </c>
      <c r="E543" s="1" t="s">
        <v>974</v>
      </c>
      <c r="F543" s="1">
        <v>3.0</v>
      </c>
      <c r="G543" s="1">
        <v>2.0</v>
      </c>
      <c r="H543" s="1">
        <v>1.0</v>
      </c>
      <c r="I543" s="1">
        <v>3.0</v>
      </c>
      <c r="J543" s="1">
        <v>3.0</v>
      </c>
      <c r="K543" s="1">
        <v>0.0</v>
      </c>
      <c r="L543" s="1">
        <v>10.0</v>
      </c>
      <c r="M543" s="1">
        <v>12.0</v>
      </c>
      <c r="N543" s="1">
        <v>1.0</v>
      </c>
      <c r="O543" s="1" t="e">
        <v>#N/A</v>
      </c>
      <c r="P543" s="1" t="e">
        <v>#N/A</v>
      </c>
      <c r="Q543" s="1">
        <v>6.0</v>
      </c>
    </row>
    <row r="544">
      <c r="A544" s="1">
        <v>7015.0</v>
      </c>
      <c r="B544" s="1" t="s">
        <v>507</v>
      </c>
      <c r="C544" s="1" t="s">
        <v>935</v>
      </c>
      <c r="D544" s="1" t="s">
        <v>1644</v>
      </c>
      <c r="E544" s="1" t="s">
        <v>1009</v>
      </c>
      <c r="F544" s="1">
        <v>1.0</v>
      </c>
      <c r="G544" s="1">
        <v>2.0</v>
      </c>
      <c r="H544" s="1">
        <v>-1.0</v>
      </c>
      <c r="I544" s="1">
        <v>1.0</v>
      </c>
      <c r="J544" s="1">
        <v>2.0</v>
      </c>
      <c r="K544" s="1">
        <v>-1.0</v>
      </c>
      <c r="L544" s="1">
        <v>5.0</v>
      </c>
      <c r="M544" s="1">
        <v>5.0</v>
      </c>
      <c r="N544" s="1">
        <v>1.0</v>
      </c>
      <c r="O544" s="1" t="e">
        <v>#N/A</v>
      </c>
      <c r="P544" s="1" t="e">
        <v>#N/A</v>
      </c>
      <c r="Q544" s="1">
        <v>3.0</v>
      </c>
    </row>
    <row r="545">
      <c r="A545" s="1">
        <v>7016.0</v>
      </c>
      <c r="B545" s="1" t="s">
        <v>507</v>
      </c>
      <c r="C545" s="1" t="s">
        <v>507</v>
      </c>
      <c r="D545" s="1" t="s">
        <v>1645</v>
      </c>
      <c r="E545" s="1" t="s">
        <v>975</v>
      </c>
      <c r="F545" s="1">
        <v>8.0</v>
      </c>
      <c r="G545" s="1">
        <v>8.0</v>
      </c>
      <c r="H545" s="1">
        <v>0.0</v>
      </c>
      <c r="I545" s="1">
        <v>8.0</v>
      </c>
      <c r="J545" s="1">
        <v>8.0</v>
      </c>
      <c r="K545" s="1">
        <v>0.0</v>
      </c>
      <c r="L545" s="1">
        <v>11.0</v>
      </c>
      <c r="M545" s="1">
        <v>11.0</v>
      </c>
      <c r="N545" s="1">
        <v>1.0</v>
      </c>
      <c r="O545" s="1" t="e">
        <v>#N/A</v>
      </c>
      <c r="P545" s="1" t="e">
        <v>#N/A</v>
      </c>
      <c r="Q545" s="1">
        <v>5.0</v>
      </c>
    </row>
    <row r="546">
      <c r="A546" s="1">
        <v>7017.0</v>
      </c>
      <c r="B546" s="1" t="s">
        <v>507</v>
      </c>
      <c r="C546" s="1" t="s">
        <v>512</v>
      </c>
      <c r="D546" s="1" t="s">
        <v>105</v>
      </c>
      <c r="E546" s="1" t="s">
        <v>974</v>
      </c>
      <c r="F546" s="1">
        <v>11.0</v>
      </c>
      <c r="G546" s="1">
        <v>8.0</v>
      </c>
      <c r="H546" s="1">
        <v>3.0</v>
      </c>
      <c r="I546" s="1">
        <v>11.0</v>
      </c>
      <c r="J546" s="1">
        <v>8.0</v>
      </c>
      <c r="K546" s="1">
        <v>3.0</v>
      </c>
      <c r="L546" s="1">
        <v>26.0</v>
      </c>
      <c r="M546" s="1">
        <v>23.0</v>
      </c>
      <c r="N546" s="1">
        <v>20.0</v>
      </c>
      <c r="O546" s="1" t="e">
        <v>#N/A</v>
      </c>
      <c r="P546" s="1" t="e">
        <v>#N/A</v>
      </c>
      <c r="Q546" s="1">
        <v>20.0</v>
      </c>
    </row>
    <row r="547">
      <c r="A547" s="1">
        <v>7018.0</v>
      </c>
      <c r="B547" s="1" t="s">
        <v>480</v>
      </c>
      <c r="C547" s="1" t="s">
        <v>481</v>
      </c>
      <c r="D547" s="1" t="s">
        <v>1121</v>
      </c>
      <c r="E547" s="1" t="s">
        <v>988</v>
      </c>
      <c r="F547" s="1">
        <v>4.0</v>
      </c>
      <c r="G547" s="1">
        <v>4.0</v>
      </c>
      <c r="H547" s="1">
        <v>0.0</v>
      </c>
      <c r="I547" s="1">
        <v>4.0</v>
      </c>
      <c r="J547" s="1">
        <v>4.0</v>
      </c>
      <c r="K547" s="1">
        <v>0.0</v>
      </c>
      <c r="L547" s="1">
        <v>8.0</v>
      </c>
      <c r="M547" s="1">
        <v>8.0</v>
      </c>
      <c r="N547" s="1">
        <v>1.0</v>
      </c>
      <c r="O547" s="1" t="e">
        <v>#N/A</v>
      </c>
      <c r="P547" s="1" t="e">
        <v>#N/A</v>
      </c>
      <c r="Q547" s="1">
        <v>4.0</v>
      </c>
    </row>
    <row r="548">
      <c r="A548" s="1">
        <v>7019.0</v>
      </c>
      <c r="B548" s="1" t="s">
        <v>492</v>
      </c>
      <c r="C548" s="1" t="s">
        <v>930</v>
      </c>
      <c r="D548" s="1" t="s">
        <v>1646</v>
      </c>
      <c r="E548" s="1" t="s">
        <v>988</v>
      </c>
      <c r="F548" s="1">
        <v>3.0</v>
      </c>
      <c r="G548" s="1">
        <v>4.0</v>
      </c>
      <c r="H548" s="1">
        <v>-1.0</v>
      </c>
      <c r="I548" s="1">
        <v>4.0</v>
      </c>
      <c r="J548" s="1">
        <v>5.0</v>
      </c>
      <c r="K548" s="1">
        <v>-1.0</v>
      </c>
      <c r="L548" s="1">
        <v>10.0</v>
      </c>
      <c r="M548" s="1">
        <v>13.0</v>
      </c>
      <c r="N548" s="1">
        <v>1.0</v>
      </c>
      <c r="O548" s="1" t="e">
        <v>#N/A</v>
      </c>
      <c r="P548" s="1" t="e">
        <v>#N/A</v>
      </c>
      <c r="Q548" s="1">
        <v>6.0</v>
      </c>
    </row>
    <row r="549">
      <c r="A549" s="1">
        <v>7020.0</v>
      </c>
      <c r="B549" s="1" t="s">
        <v>480</v>
      </c>
      <c r="C549" s="1" t="s">
        <v>931</v>
      </c>
      <c r="D549" s="1" t="s">
        <v>1604</v>
      </c>
      <c r="E549" s="1" t="s">
        <v>988</v>
      </c>
      <c r="F549" s="1">
        <v>1.0</v>
      </c>
      <c r="G549" s="1">
        <v>2.0</v>
      </c>
      <c r="H549" s="1">
        <v>-1.0</v>
      </c>
      <c r="I549" s="1">
        <v>1.0</v>
      </c>
      <c r="J549" s="1">
        <v>2.0</v>
      </c>
      <c r="K549" s="1">
        <v>-1.0</v>
      </c>
      <c r="L549" s="1">
        <v>6.0</v>
      </c>
      <c r="M549" s="1">
        <v>6.0</v>
      </c>
      <c r="N549" s="1">
        <v>1.0</v>
      </c>
      <c r="O549" s="1" t="e">
        <v>#N/A</v>
      </c>
      <c r="P549" s="1" t="e">
        <v>#N/A</v>
      </c>
      <c r="Q549" s="1">
        <v>3.0</v>
      </c>
    </row>
    <row r="550">
      <c r="A550" s="1">
        <v>7022.0</v>
      </c>
      <c r="B550" s="1" t="s">
        <v>507</v>
      </c>
      <c r="C550" s="1" t="s">
        <v>512</v>
      </c>
      <c r="D550" s="1" t="s">
        <v>1647</v>
      </c>
      <c r="E550" s="1" t="s">
        <v>1233</v>
      </c>
      <c r="F550" s="1">
        <v>8.0</v>
      </c>
      <c r="G550" s="1">
        <v>9.0</v>
      </c>
      <c r="H550" s="1">
        <v>-1.0</v>
      </c>
      <c r="I550" s="1">
        <v>8.0</v>
      </c>
      <c r="J550" s="1">
        <v>8.0</v>
      </c>
      <c r="K550" s="1">
        <v>0.0</v>
      </c>
      <c r="L550" s="1">
        <v>16.0</v>
      </c>
      <c r="M550" s="1">
        <v>13.0</v>
      </c>
      <c r="N550" s="1">
        <v>1.0</v>
      </c>
      <c r="O550" s="1" t="e">
        <v>#N/A</v>
      </c>
      <c r="P550" s="1" t="e">
        <v>#N/A</v>
      </c>
      <c r="Q550" s="1">
        <v>6.0</v>
      </c>
    </row>
    <row r="551">
      <c r="A551" s="1">
        <v>7023.0</v>
      </c>
      <c r="B551" s="1" t="s">
        <v>507</v>
      </c>
      <c r="C551" s="1" t="s">
        <v>512</v>
      </c>
      <c r="D551" s="1" t="s">
        <v>1146</v>
      </c>
      <c r="E551" s="1" t="s">
        <v>985</v>
      </c>
      <c r="F551" s="1">
        <v>8.0</v>
      </c>
      <c r="G551" s="1">
        <v>3.0</v>
      </c>
      <c r="H551" s="1">
        <v>5.0</v>
      </c>
      <c r="I551" s="1">
        <v>8.0</v>
      </c>
      <c r="J551" s="1">
        <v>3.0</v>
      </c>
      <c r="K551" s="1">
        <v>5.0</v>
      </c>
      <c r="L551" s="1">
        <v>28.0</v>
      </c>
      <c r="M551" s="1">
        <v>25.0</v>
      </c>
      <c r="N551" s="1">
        <v>1.0</v>
      </c>
      <c r="O551" s="1" t="e">
        <v>#N/A</v>
      </c>
      <c r="P551" s="1" t="e">
        <v>#N/A</v>
      </c>
      <c r="Q551" s="1">
        <v>12.0</v>
      </c>
    </row>
    <row r="552">
      <c r="A552" s="1">
        <v>7025.0</v>
      </c>
      <c r="B552" s="1" t="s">
        <v>492</v>
      </c>
      <c r="C552" s="1" t="s">
        <v>1057</v>
      </c>
      <c r="D552" s="1" t="s">
        <v>1605</v>
      </c>
      <c r="E552" s="1" t="s">
        <v>1026</v>
      </c>
      <c r="F552" s="1">
        <v>1.0</v>
      </c>
      <c r="G552" s="1">
        <v>1.0</v>
      </c>
      <c r="H552" s="1">
        <v>0.0</v>
      </c>
      <c r="I552" s="1">
        <v>1.0</v>
      </c>
      <c r="J552" s="1">
        <v>1.0</v>
      </c>
      <c r="K552" s="1">
        <v>0.0</v>
      </c>
      <c r="L552" s="1">
        <v>1.0</v>
      </c>
      <c r="M552" s="1">
        <v>1.0</v>
      </c>
      <c r="N552" s="1">
        <v>1.0</v>
      </c>
      <c r="O552" s="1" t="e">
        <v>#N/A</v>
      </c>
      <c r="P552" s="1" t="e">
        <v>#N/A</v>
      </c>
      <c r="Q552" s="1">
        <v>1.0</v>
      </c>
    </row>
    <row r="553">
      <c r="A553" s="1">
        <v>7026.0</v>
      </c>
      <c r="B553" s="1" t="s">
        <v>507</v>
      </c>
      <c r="C553" s="1" t="s">
        <v>512</v>
      </c>
      <c r="D553" s="1" t="s">
        <v>1648</v>
      </c>
      <c r="E553" s="1" t="s">
        <v>972</v>
      </c>
      <c r="F553" s="1">
        <v>1.0</v>
      </c>
      <c r="G553" s="1">
        <v>4.0</v>
      </c>
      <c r="H553" s="1">
        <v>-3.0</v>
      </c>
      <c r="I553" s="1">
        <v>1.0</v>
      </c>
      <c r="J553" s="1">
        <v>4.0</v>
      </c>
      <c r="K553" s="1">
        <v>-3.0</v>
      </c>
      <c r="L553" s="1">
        <v>3.0</v>
      </c>
      <c r="M553" s="1">
        <v>3.0</v>
      </c>
      <c r="N553" s="1">
        <v>1.0</v>
      </c>
      <c r="O553" s="1" t="e">
        <v>#N/A</v>
      </c>
      <c r="P553" s="1" t="e">
        <v>#N/A</v>
      </c>
      <c r="Q553" s="1">
        <v>2.0</v>
      </c>
    </row>
    <row r="554">
      <c r="A554" s="1">
        <v>7027.0</v>
      </c>
      <c r="B554" s="1" t="s">
        <v>507</v>
      </c>
      <c r="C554" s="1" t="s">
        <v>512</v>
      </c>
      <c r="D554" s="1" t="s">
        <v>1606</v>
      </c>
      <c r="E554" s="1" t="s">
        <v>974</v>
      </c>
      <c r="F554" s="1">
        <v>1.0</v>
      </c>
      <c r="G554" s="1">
        <v>3.0</v>
      </c>
      <c r="H554" s="1">
        <v>-2.0</v>
      </c>
      <c r="I554" s="1">
        <v>1.0</v>
      </c>
      <c r="J554" s="1">
        <v>3.0</v>
      </c>
      <c r="K554" s="1">
        <v>-2.0</v>
      </c>
      <c r="L554" s="1">
        <v>5.0</v>
      </c>
      <c r="M554" s="1">
        <v>5.0</v>
      </c>
      <c r="N554" s="1">
        <v>1.0</v>
      </c>
      <c r="O554" s="1" t="e">
        <v>#N/A</v>
      </c>
      <c r="P554" s="1" t="e">
        <v>#N/A</v>
      </c>
      <c r="Q554" s="1">
        <v>3.0</v>
      </c>
    </row>
    <row r="555">
      <c r="A555" s="1">
        <v>7028.0</v>
      </c>
      <c r="B555" s="1" t="s">
        <v>492</v>
      </c>
      <c r="C555" s="1" t="s">
        <v>930</v>
      </c>
      <c r="D555" s="1" t="s">
        <v>230</v>
      </c>
      <c r="E555" s="1" t="s">
        <v>983</v>
      </c>
      <c r="F555" s="1">
        <v>5.0</v>
      </c>
      <c r="G555" s="1">
        <v>3.0</v>
      </c>
      <c r="H555" s="1">
        <v>2.0</v>
      </c>
      <c r="I555" s="1">
        <v>6.0</v>
      </c>
      <c r="J555" s="1">
        <v>4.0</v>
      </c>
      <c r="K555" s="1">
        <v>2.0</v>
      </c>
      <c r="L555" s="1">
        <v>14.0</v>
      </c>
      <c r="M555" s="1">
        <v>19.0</v>
      </c>
      <c r="N555" s="1">
        <v>1.0</v>
      </c>
      <c r="O555" s="1" t="e">
        <v>#N/A</v>
      </c>
      <c r="P555" s="1" t="e">
        <v>#N/A</v>
      </c>
      <c r="Q555" s="1">
        <v>9.0</v>
      </c>
    </row>
    <row r="556">
      <c r="A556" s="1">
        <v>7031.0</v>
      </c>
      <c r="B556" s="1" t="s">
        <v>480</v>
      </c>
      <c r="C556" s="1" t="s">
        <v>481</v>
      </c>
      <c r="D556" s="1" t="s">
        <v>1649</v>
      </c>
      <c r="E556" s="1" t="s">
        <v>998</v>
      </c>
      <c r="F556" s="1">
        <v>1.0</v>
      </c>
      <c r="G556" s="1">
        <v>1.0</v>
      </c>
      <c r="H556" s="1">
        <v>0.0</v>
      </c>
      <c r="I556" s="1">
        <v>1.0</v>
      </c>
      <c r="J556" s="1">
        <v>1.0</v>
      </c>
      <c r="K556" s="1">
        <v>0.0</v>
      </c>
      <c r="L556" s="1">
        <v>1.0</v>
      </c>
      <c r="M556" s="1">
        <v>1.0</v>
      </c>
      <c r="N556" s="1">
        <v>1.0</v>
      </c>
      <c r="O556" s="1" t="e">
        <v>#N/A</v>
      </c>
      <c r="P556" s="1" t="e">
        <v>#N/A</v>
      </c>
      <c r="Q556" s="1">
        <v>1.0</v>
      </c>
    </row>
    <row r="557">
      <c r="A557" s="1">
        <v>7042.0</v>
      </c>
      <c r="B557" s="1" t="s">
        <v>477</v>
      </c>
      <c r="C557" s="1" t="s">
        <v>478</v>
      </c>
      <c r="D557" s="1" t="s">
        <v>1561</v>
      </c>
      <c r="E557" s="1" t="s">
        <v>973</v>
      </c>
      <c r="F557" s="1">
        <v>1.0</v>
      </c>
      <c r="G557" s="1">
        <v>1.0</v>
      </c>
      <c r="H557" s="1">
        <v>0.0</v>
      </c>
      <c r="I557" s="1">
        <v>1.0</v>
      </c>
      <c r="J557" s="1">
        <v>1.0</v>
      </c>
      <c r="K557" s="1">
        <v>0.0</v>
      </c>
      <c r="L557" s="1">
        <v>1.0</v>
      </c>
      <c r="M557" s="1">
        <v>1.0</v>
      </c>
      <c r="N557" s="1">
        <v>1.0</v>
      </c>
      <c r="O557" s="1" t="e">
        <v>#N/A</v>
      </c>
      <c r="P557" s="1" t="e">
        <v>#N/A</v>
      </c>
      <c r="Q557" s="1">
        <v>1.0</v>
      </c>
    </row>
    <row r="558">
      <c r="A558" s="1">
        <v>7045.0</v>
      </c>
      <c r="B558" s="1" t="s">
        <v>480</v>
      </c>
      <c r="C558" s="1" t="s">
        <v>481</v>
      </c>
      <c r="D558" s="1" t="s">
        <v>1650</v>
      </c>
      <c r="E558" s="1" t="s">
        <v>983</v>
      </c>
      <c r="F558" s="1">
        <v>1.0</v>
      </c>
      <c r="G558" s="1">
        <v>1.0</v>
      </c>
      <c r="H558" s="1">
        <v>0.0</v>
      </c>
      <c r="I558" s="1">
        <v>1.0</v>
      </c>
      <c r="J558" s="1">
        <v>1.0</v>
      </c>
      <c r="K558" s="1">
        <v>0.0</v>
      </c>
      <c r="L558" s="1">
        <v>1.0</v>
      </c>
      <c r="M558" s="1">
        <v>1.0</v>
      </c>
      <c r="N558" s="1">
        <v>1.0</v>
      </c>
      <c r="O558" s="1" t="e">
        <v>#N/A</v>
      </c>
      <c r="P558" s="1" t="e">
        <v>#N/A</v>
      </c>
      <c r="Q558" s="1">
        <v>1.0</v>
      </c>
    </row>
    <row r="559">
      <c r="A559" s="1">
        <v>7048.0</v>
      </c>
      <c r="B559" s="1" t="s">
        <v>477</v>
      </c>
      <c r="C559" s="1" t="s">
        <v>478</v>
      </c>
      <c r="D559" s="1" t="s">
        <v>1651</v>
      </c>
      <c r="E559" s="1" t="s">
        <v>988</v>
      </c>
      <c r="F559" s="1">
        <v>1.0</v>
      </c>
      <c r="G559" s="1">
        <v>1.0</v>
      </c>
      <c r="H559" s="1">
        <v>0.0</v>
      </c>
      <c r="I559" s="1">
        <v>1.0</v>
      </c>
      <c r="J559" s="1">
        <v>1.0</v>
      </c>
      <c r="K559" s="1">
        <v>0.0</v>
      </c>
      <c r="L559" s="1">
        <v>1.0</v>
      </c>
      <c r="M559" s="1">
        <v>1.0</v>
      </c>
      <c r="N559" s="1">
        <v>1.0</v>
      </c>
      <c r="O559" s="1" t="e">
        <v>#N/A</v>
      </c>
      <c r="P559" s="1" t="e">
        <v>#N/A</v>
      </c>
      <c r="Q559" s="1">
        <v>1.0</v>
      </c>
    </row>
    <row r="560">
      <c r="A560" s="1">
        <v>7052.0</v>
      </c>
      <c r="B560" s="1" t="s">
        <v>492</v>
      </c>
      <c r="C560" s="1" t="s">
        <v>543</v>
      </c>
      <c r="D560" s="1" t="s">
        <v>1652</v>
      </c>
      <c r="E560" s="1" t="s">
        <v>972</v>
      </c>
      <c r="F560" s="1">
        <v>2.0</v>
      </c>
      <c r="G560" s="1">
        <v>1.0</v>
      </c>
      <c r="H560" s="1">
        <v>1.0</v>
      </c>
      <c r="I560" s="1">
        <v>2.0</v>
      </c>
      <c r="J560" s="1">
        <v>1.0</v>
      </c>
      <c r="K560" s="1">
        <v>1.0</v>
      </c>
      <c r="L560" s="1">
        <v>1.0</v>
      </c>
      <c r="M560" s="1">
        <v>1.0</v>
      </c>
      <c r="N560" s="1">
        <v>1.0</v>
      </c>
      <c r="O560" s="1" t="e">
        <v>#N/A</v>
      </c>
      <c r="P560" s="1" t="e">
        <v>#N/A</v>
      </c>
      <c r="Q560" s="1">
        <v>1.0</v>
      </c>
    </row>
    <row r="561">
      <c r="A561" s="1">
        <v>7060.0</v>
      </c>
      <c r="B561" s="1" t="s">
        <v>492</v>
      </c>
      <c r="C561" s="1" t="s">
        <v>935</v>
      </c>
      <c r="D561" s="1" t="s">
        <v>1653</v>
      </c>
      <c r="E561" s="1" t="s">
        <v>972</v>
      </c>
      <c r="F561" s="1">
        <v>2.0</v>
      </c>
      <c r="G561" s="1">
        <v>1.0</v>
      </c>
      <c r="H561" s="1">
        <v>1.0</v>
      </c>
      <c r="I561" s="1">
        <v>2.0</v>
      </c>
      <c r="J561" s="1">
        <v>1.0</v>
      </c>
      <c r="K561" s="1">
        <v>1.0</v>
      </c>
      <c r="L561" s="1">
        <v>1.0</v>
      </c>
      <c r="M561" s="1">
        <v>1.0</v>
      </c>
      <c r="N561" s="1">
        <v>1.0</v>
      </c>
      <c r="O561" s="1" t="e">
        <v>#N/A</v>
      </c>
      <c r="P561" s="1" t="e">
        <v>#N/A</v>
      </c>
      <c r="Q561" s="1">
        <v>1.0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9" t="s">
        <v>1654</v>
      </c>
      <c r="B1" s="139" t="s">
        <v>1655</v>
      </c>
      <c r="C1" s="139" t="s">
        <v>1656</v>
      </c>
      <c r="D1" s="139" t="s">
        <v>1657</v>
      </c>
      <c r="E1" s="139" t="s">
        <v>1658</v>
      </c>
      <c r="F1" s="139" t="s">
        <v>1659</v>
      </c>
      <c r="G1" s="139" t="s">
        <v>1660</v>
      </c>
    </row>
    <row r="2">
      <c r="A2" s="140">
        <v>4.0</v>
      </c>
      <c r="B2" s="139" t="s">
        <v>1661</v>
      </c>
      <c r="C2" s="140">
        <v>1.0</v>
      </c>
      <c r="D2" s="140">
        <v>1.0</v>
      </c>
      <c r="E2" s="140">
        <v>1.0</v>
      </c>
      <c r="F2" s="139" t="s">
        <v>1662</v>
      </c>
      <c r="G2" s="140">
        <v>1.0</v>
      </c>
    </row>
    <row r="3">
      <c r="A3" s="140">
        <v>22.0</v>
      </c>
      <c r="B3" s="139" t="s">
        <v>1663</v>
      </c>
      <c r="C3" s="140">
        <v>38.0</v>
      </c>
      <c r="D3" s="140">
        <v>38.0</v>
      </c>
      <c r="E3" s="140">
        <v>38.0</v>
      </c>
      <c r="F3" s="139" t="s">
        <v>1664</v>
      </c>
      <c r="G3" s="140">
        <v>38.0</v>
      </c>
    </row>
    <row r="4">
      <c r="A4" s="140">
        <v>49.0</v>
      </c>
      <c r="B4" s="139" t="s">
        <v>1665</v>
      </c>
      <c r="C4" s="140">
        <v>10.0</v>
      </c>
      <c r="D4" s="140">
        <v>10.0</v>
      </c>
      <c r="E4" s="140">
        <v>10.0</v>
      </c>
      <c r="F4" s="139" t="s">
        <v>1666</v>
      </c>
      <c r="G4" s="140">
        <v>10.0</v>
      </c>
    </row>
    <row r="5">
      <c r="A5" s="140">
        <v>133.0</v>
      </c>
      <c r="B5" s="139" t="s">
        <v>1667</v>
      </c>
      <c r="C5" s="140">
        <v>49.0</v>
      </c>
      <c r="D5" s="140">
        <v>49.0</v>
      </c>
      <c r="E5" s="140">
        <v>49.0</v>
      </c>
      <c r="F5" s="139" t="s">
        <v>1668</v>
      </c>
      <c r="G5" s="140">
        <v>49.0</v>
      </c>
    </row>
    <row r="6">
      <c r="A6" s="140">
        <v>152.0</v>
      </c>
      <c r="B6" s="139" t="s">
        <v>1669</v>
      </c>
      <c r="C6" s="140">
        <v>12.0</v>
      </c>
      <c r="D6" s="140">
        <v>12.0</v>
      </c>
      <c r="E6" s="140">
        <v>12.0</v>
      </c>
      <c r="F6" s="139" t="s">
        <v>1670</v>
      </c>
      <c r="G6" s="140">
        <v>12.0</v>
      </c>
    </row>
    <row r="7">
      <c r="A7" s="140">
        <v>170.0</v>
      </c>
      <c r="B7" s="139" t="s">
        <v>1671</v>
      </c>
      <c r="D7" s="142"/>
      <c r="E7" s="142"/>
      <c r="F7" s="142"/>
      <c r="G7" s="266" t="s">
        <v>1672</v>
      </c>
    </row>
    <row r="8">
      <c r="A8" s="140">
        <v>181.0</v>
      </c>
      <c r="B8" s="139" t="s">
        <v>1673</v>
      </c>
      <c r="C8" s="140">
        <v>15.0</v>
      </c>
      <c r="D8" s="140">
        <v>15.0</v>
      </c>
      <c r="E8" s="140">
        <v>15.0</v>
      </c>
      <c r="F8" s="139" t="s">
        <v>1674</v>
      </c>
      <c r="G8" s="140">
        <v>15.0</v>
      </c>
    </row>
    <row r="9">
      <c r="A9" s="140">
        <v>186.0</v>
      </c>
      <c r="B9" s="139" t="s">
        <v>1675</v>
      </c>
      <c r="D9" s="142"/>
      <c r="E9" s="142"/>
      <c r="F9" s="142"/>
      <c r="G9" s="266" t="s">
        <v>1672</v>
      </c>
    </row>
    <row r="10">
      <c r="A10" s="140">
        <v>186.0</v>
      </c>
      <c r="B10" s="139" t="s">
        <v>1675</v>
      </c>
      <c r="D10" s="142"/>
      <c r="E10" s="142"/>
      <c r="F10" s="142"/>
      <c r="G10" s="266" t="s">
        <v>1672</v>
      </c>
    </row>
    <row r="11">
      <c r="A11" s="140">
        <v>188.0</v>
      </c>
      <c r="B11" s="139" t="s">
        <v>1676</v>
      </c>
      <c r="C11" s="140">
        <v>28.0</v>
      </c>
      <c r="D11" s="140">
        <v>28.0</v>
      </c>
      <c r="E11" s="140">
        <v>28.0</v>
      </c>
      <c r="F11" s="139" t="s">
        <v>1677</v>
      </c>
      <c r="G11" s="140">
        <v>28.0</v>
      </c>
    </row>
    <row r="12">
      <c r="A12" s="140">
        <v>218.0</v>
      </c>
      <c r="B12" s="139" t="s">
        <v>1678</v>
      </c>
      <c r="C12" s="140">
        <v>2.0</v>
      </c>
      <c r="D12" s="140">
        <v>2.0</v>
      </c>
      <c r="E12" s="140">
        <v>2.0</v>
      </c>
      <c r="F12" s="139" t="s">
        <v>1679</v>
      </c>
      <c r="G12" s="140">
        <v>2.0</v>
      </c>
    </row>
    <row r="13">
      <c r="A13" s="140">
        <v>226.0</v>
      </c>
      <c r="B13" s="139" t="s">
        <v>1680</v>
      </c>
      <c r="D13" s="142"/>
      <c r="E13" s="142"/>
      <c r="F13" s="142"/>
      <c r="G13" s="266" t="s">
        <v>1672</v>
      </c>
    </row>
    <row r="14">
      <c r="A14" s="140">
        <v>236.0</v>
      </c>
      <c r="B14" s="139" t="s">
        <v>1681</v>
      </c>
      <c r="D14" s="142"/>
      <c r="E14" s="142"/>
      <c r="F14" s="142"/>
      <c r="G14" s="266" t="s">
        <v>1672</v>
      </c>
    </row>
    <row r="15">
      <c r="A15" s="140">
        <v>252.0</v>
      </c>
      <c r="B15" s="139" t="s">
        <v>1682</v>
      </c>
      <c r="C15" s="140">
        <v>23.0</v>
      </c>
      <c r="D15" s="140">
        <v>23.0</v>
      </c>
      <c r="E15" s="140">
        <v>23.0</v>
      </c>
      <c r="F15" s="139" t="s">
        <v>1683</v>
      </c>
      <c r="G15" s="140">
        <v>23.0</v>
      </c>
    </row>
    <row r="16">
      <c r="A16" s="140">
        <v>252.0</v>
      </c>
      <c r="B16" s="139" t="s">
        <v>1682</v>
      </c>
      <c r="C16" s="140">
        <v>23.0</v>
      </c>
      <c r="D16" s="140">
        <v>23.0</v>
      </c>
      <c r="E16" s="140">
        <v>23.0</v>
      </c>
      <c r="F16" s="139" t="s">
        <v>1683</v>
      </c>
      <c r="G16" s="140">
        <v>23.0</v>
      </c>
    </row>
    <row r="17">
      <c r="A17" s="140">
        <v>254.0</v>
      </c>
      <c r="B17" s="139" t="s">
        <v>1684</v>
      </c>
      <c r="C17" s="140">
        <v>90.0</v>
      </c>
      <c r="D17" s="140">
        <v>90.0</v>
      </c>
      <c r="E17" s="140">
        <v>90.0</v>
      </c>
      <c r="F17" s="139" t="s">
        <v>1685</v>
      </c>
      <c r="G17" s="140">
        <v>90.0</v>
      </c>
    </row>
    <row r="18">
      <c r="A18" s="140">
        <v>256.0</v>
      </c>
      <c r="B18" s="139" t="s">
        <v>824</v>
      </c>
      <c r="C18" s="140">
        <v>5.0</v>
      </c>
      <c r="D18" s="140">
        <v>5.0</v>
      </c>
      <c r="E18" s="140">
        <v>5.0</v>
      </c>
      <c r="F18" s="139" t="s">
        <v>1686</v>
      </c>
      <c r="G18" s="140">
        <v>5.0</v>
      </c>
    </row>
    <row r="19">
      <c r="A19" s="140">
        <v>309.0</v>
      </c>
      <c r="B19" s="139" t="s">
        <v>1687</v>
      </c>
      <c r="C19" s="140">
        <v>252.0</v>
      </c>
      <c r="D19" s="140">
        <v>252.0</v>
      </c>
      <c r="E19" s="140">
        <v>258.0</v>
      </c>
      <c r="F19" s="139" t="s">
        <v>1688</v>
      </c>
      <c r="G19" s="140">
        <v>258.0</v>
      </c>
    </row>
    <row r="20">
      <c r="A20" s="140">
        <v>313.0</v>
      </c>
      <c r="B20" s="139" t="s">
        <v>1689</v>
      </c>
      <c r="D20" s="142"/>
      <c r="E20" s="142"/>
      <c r="F20" s="142"/>
      <c r="G20" s="266" t="s">
        <v>1672</v>
      </c>
    </row>
    <row r="21">
      <c r="A21" s="140">
        <v>313.0</v>
      </c>
      <c r="B21" s="139" t="s">
        <v>1689</v>
      </c>
      <c r="D21" s="142"/>
      <c r="E21" s="142"/>
      <c r="F21" s="142"/>
      <c r="G21" s="266" t="s">
        <v>1672</v>
      </c>
    </row>
    <row r="22">
      <c r="A22" s="140">
        <v>322.0</v>
      </c>
      <c r="B22" s="139" t="s">
        <v>1690</v>
      </c>
      <c r="C22" s="140">
        <v>20.0</v>
      </c>
      <c r="D22" s="140">
        <v>20.0</v>
      </c>
      <c r="E22" s="140">
        <v>20.0</v>
      </c>
      <c r="F22" s="139" t="s">
        <v>1691</v>
      </c>
      <c r="G22" s="140">
        <v>20.0</v>
      </c>
    </row>
    <row r="23">
      <c r="A23" s="140">
        <v>327.0</v>
      </c>
      <c r="B23" s="139" t="s">
        <v>1692</v>
      </c>
      <c r="C23" s="140">
        <v>8.0</v>
      </c>
      <c r="D23" s="140">
        <v>8.0</v>
      </c>
      <c r="E23" s="140">
        <v>8.0</v>
      </c>
      <c r="F23" s="139" t="s">
        <v>1693</v>
      </c>
      <c r="G23" s="140">
        <v>8.0</v>
      </c>
    </row>
    <row r="24">
      <c r="A24" s="140">
        <v>333.0</v>
      </c>
      <c r="B24" s="139" t="s">
        <v>1694</v>
      </c>
      <c r="C24" s="140">
        <v>8.0</v>
      </c>
      <c r="D24" s="140">
        <v>8.0</v>
      </c>
      <c r="E24" s="140">
        <v>8.0</v>
      </c>
      <c r="F24" s="139" t="s">
        <v>1693</v>
      </c>
      <c r="G24" s="140">
        <v>8.0</v>
      </c>
    </row>
    <row r="25">
      <c r="A25" s="140">
        <v>357.0</v>
      </c>
      <c r="B25" s="139" t="s">
        <v>1695</v>
      </c>
      <c r="D25" s="142"/>
      <c r="E25" s="142"/>
      <c r="F25" s="142"/>
      <c r="G25" s="266" t="s">
        <v>1672</v>
      </c>
    </row>
    <row r="26">
      <c r="A26" s="140">
        <v>358.0</v>
      </c>
      <c r="B26" s="139" t="s">
        <v>1696</v>
      </c>
      <c r="D26" s="142"/>
      <c r="E26" s="142"/>
      <c r="F26" s="142"/>
      <c r="G26" s="266" t="s">
        <v>1672</v>
      </c>
    </row>
    <row r="27">
      <c r="A27" s="140">
        <v>376.0</v>
      </c>
      <c r="B27" s="139" t="s">
        <v>1697</v>
      </c>
      <c r="D27" s="142"/>
      <c r="E27" s="142"/>
      <c r="F27" s="142"/>
      <c r="G27" s="266" t="s">
        <v>1672</v>
      </c>
    </row>
    <row r="28">
      <c r="A28" s="140">
        <v>387.0</v>
      </c>
      <c r="B28" s="139" t="s">
        <v>1698</v>
      </c>
      <c r="D28" s="142"/>
      <c r="E28" s="142"/>
      <c r="F28" s="142"/>
      <c r="G28" s="266" t="s">
        <v>1672</v>
      </c>
    </row>
    <row r="29">
      <c r="A29" s="140">
        <v>393.0</v>
      </c>
      <c r="B29" s="139" t="s">
        <v>1699</v>
      </c>
      <c r="C29" s="140">
        <v>18.0</v>
      </c>
      <c r="D29" s="140">
        <v>18.0</v>
      </c>
      <c r="E29" s="140">
        <v>18.0</v>
      </c>
      <c r="F29" s="139" t="s">
        <v>1700</v>
      </c>
      <c r="G29" s="140">
        <v>18.0</v>
      </c>
    </row>
    <row r="30">
      <c r="A30" s="140">
        <v>441.0</v>
      </c>
      <c r="B30" s="139" t="s">
        <v>1701</v>
      </c>
      <c r="D30" s="142"/>
      <c r="E30" s="142"/>
      <c r="F30" s="142"/>
      <c r="G30" s="266" t="s">
        <v>1672</v>
      </c>
    </row>
    <row r="31">
      <c r="A31" s="140">
        <v>460.0</v>
      </c>
      <c r="B31" s="139" t="s">
        <v>1702</v>
      </c>
      <c r="C31" s="140">
        <v>22.0</v>
      </c>
      <c r="D31" s="140">
        <v>22.0</v>
      </c>
      <c r="E31" s="140">
        <v>22.0</v>
      </c>
      <c r="F31" s="139" t="s">
        <v>1703</v>
      </c>
      <c r="G31" s="140">
        <v>22.0</v>
      </c>
    </row>
    <row r="32">
      <c r="A32" s="140">
        <v>468.0</v>
      </c>
      <c r="B32" s="139" t="s">
        <v>1704</v>
      </c>
      <c r="D32" s="142"/>
      <c r="E32" s="142"/>
      <c r="F32" s="142"/>
      <c r="G32" s="266" t="s">
        <v>1672</v>
      </c>
    </row>
    <row r="33">
      <c r="A33" s="140">
        <v>479.0</v>
      </c>
      <c r="B33" s="139" t="s">
        <v>1705</v>
      </c>
      <c r="C33" s="140">
        <v>9.0</v>
      </c>
      <c r="D33" s="140">
        <v>9.0</v>
      </c>
      <c r="E33" s="140">
        <v>9.0</v>
      </c>
      <c r="F33" s="139" t="s">
        <v>1706</v>
      </c>
      <c r="G33" s="140">
        <v>9.0</v>
      </c>
    </row>
    <row r="34">
      <c r="A34" s="140">
        <v>513.0</v>
      </c>
      <c r="B34" s="139" t="s">
        <v>1707</v>
      </c>
      <c r="C34" s="140">
        <v>26.0</v>
      </c>
      <c r="D34" s="140">
        <v>26.0</v>
      </c>
      <c r="E34" s="140">
        <v>26.0</v>
      </c>
      <c r="F34" s="139" t="s">
        <v>1708</v>
      </c>
      <c r="G34" s="140">
        <v>26.0</v>
      </c>
    </row>
    <row r="35">
      <c r="A35" s="140">
        <v>530.0</v>
      </c>
      <c r="B35" s="139" t="s">
        <v>1709</v>
      </c>
      <c r="C35" s="140">
        <v>28.0</v>
      </c>
      <c r="D35" s="140">
        <v>28.0</v>
      </c>
      <c r="E35" s="140">
        <v>28.0</v>
      </c>
      <c r="F35" s="139" t="s">
        <v>1677</v>
      </c>
      <c r="G35" s="140">
        <v>28.0</v>
      </c>
    </row>
    <row r="36">
      <c r="A36" s="140">
        <v>530.0</v>
      </c>
      <c r="B36" s="139" t="s">
        <v>1709</v>
      </c>
      <c r="C36" s="140">
        <v>28.0</v>
      </c>
      <c r="D36" s="140">
        <v>28.0</v>
      </c>
      <c r="E36" s="140">
        <v>28.0</v>
      </c>
      <c r="F36" s="139" t="s">
        <v>1677</v>
      </c>
      <c r="G36" s="140">
        <v>28.0</v>
      </c>
    </row>
    <row r="37">
      <c r="A37" s="140">
        <v>536.0</v>
      </c>
      <c r="B37" s="139" t="s">
        <v>1710</v>
      </c>
      <c r="C37" s="140">
        <v>51.0</v>
      </c>
      <c r="D37" s="140">
        <v>51.0</v>
      </c>
      <c r="E37" s="140">
        <v>51.0</v>
      </c>
      <c r="F37" s="139" t="s">
        <v>1711</v>
      </c>
      <c r="G37" s="140">
        <v>51.0</v>
      </c>
    </row>
    <row r="38">
      <c r="A38" s="140">
        <v>554.0</v>
      </c>
      <c r="B38" s="139" t="s">
        <v>1712</v>
      </c>
      <c r="C38" s="140">
        <v>50.0</v>
      </c>
      <c r="D38" s="140">
        <v>50.0</v>
      </c>
      <c r="E38" s="140">
        <v>50.0</v>
      </c>
      <c r="F38" s="139" t="s">
        <v>1713</v>
      </c>
      <c r="G38" s="140">
        <v>50.0</v>
      </c>
    </row>
    <row r="39">
      <c r="A39" s="140">
        <v>556.0</v>
      </c>
      <c r="B39" s="139" t="s">
        <v>1714</v>
      </c>
      <c r="D39" s="142"/>
      <c r="E39" s="142"/>
      <c r="F39" s="142"/>
      <c r="G39" s="266" t="s">
        <v>1672</v>
      </c>
    </row>
    <row r="40">
      <c r="A40" s="140">
        <v>572.0</v>
      </c>
      <c r="B40" s="139" t="s">
        <v>1715</v>
      </c>
      <c r="C40" s="140">
        <v>92.0</v>
      </c>
      <c r="D40" s="140">
        <v>92.0</v>
      </c>
      <c r="E40" s="140">
        <v>92.0</v>
      </c>
      <c r="F40" s="139" t="s">
        <v>1716</v>
      </c>
      <c r="G40" s="140">
        <v>92.0</v>
      </c>
    </row>
    <row r="41">
      <c r="A41" s="140">
        <v>574.0</v>
      </c>
      <c r="B41" s="139" t="s">
        <v>1717</v>
      </c>
      <c r="C41" s="140">
        <v>5.0</v>
      </c>
      <c r="D41" s="140">
        <v>5.0</v>
      </c>
      <c r="E41" s="140">
        <v>5.0</v>
      </c>
      <c r="F41" s="139" t="s">
        <v>1686</v>
      </c>
      <c r="G41" s="140">
        <v>5.0</v>
      </c>
    </row>
    <row r="42">
      <c r="A42" s="140">
        <v>574.0</v>
      </c>
      <c r="B42" s="139" t="s">
        <v>1717</v>
      </c>
      <c r="C42" s="140">
        <v>5.0</v>
      </c>
      <c r="D42" s="140">
        <v>5.0</v>
      </c>
      <c r="E42" s="140">
        <v>5.0</v>
      </c>
      <c r="F42" s="139" t="s">
        <v>1686</v>
      </c>
      <c r="G42" s="140">
        <v>5.0</v>
      </c>
    </row>
    <row r="43">
      <c r="A43" s="140">
        <v>608.0</v>
      </c>
      <c r="B43" s="139" t="s">
        <v>1718</v>
      </c>
      <c r="C43" s="140">
        <v>80.0</v>
      </c>
      <c r="D43" s="140">
        <v>80.0</v>
      </c>
      <c r="E43" s="140">
        <v>112.0</v>
      </c>
      <c r="F43" s="139" t="s">
        <v>1719</v>
      </c>
      <c r="G43" s="140">
        <v>112.0</v>
      </c>
    </row>
    <row r="44">
      <c r="A44" s="140">
        <v>610.0</v>
      </c>
      <c r="B44" s="139" t="s">
        <v>1720</v>
      </c>
      <c r="C44" s="140">
        <v>1.0</v>
      </c>
      <c r="D44" s="140">
        <v>1.0</v>
      </c>
      <c r="E44" s="140">
        <v>1.0</v>
      </c>
      <c r="F44" s="139" t="s">
        <v>1662</v>
      </c>
      <c r="G44" s="140">
        <v>1.0</v>
      </c>
    </row>
    <row r="45">
      <c r="A45" s="140">
        <v>610.0</v>
      </c>
      <c r="B45" s="139" t="s">
        <v>1720</v>
      </c>
      <c r="C45" s="140">
        <v>1.0</v>
      </c>
      <c r="D45" s="140">
        <v>1.0</v>
      </c>
      <c r="E45" s="140">
        <v>1.0</v>
      </c>
      <c r="F45" s="139" t="s">
        <v>1662</v>
      </c>
      <c r="G45" s="140">
        <v>1.0</v>
      </c>
    </row>
    <row r="46">
      <c r="A46" s="140">
        <v>632.0</v>
      </c>
      <c r="B46" s="139" t="s">
        <v>1721</v>
      </c>
      <c r="C46" s="140">
        <v>205.0</v>
      </c>
      <c r="D46" s="140">
        <v>197.0</v>
      </c>
      <c r="E46" s="140">
        <v>205.0</v>
      </c>
      <c r="F46" s="139" t="s">
        <v>1722</v>
      </c>
      <c r="G46" s="140">
        <v>197.0</v>
      </c>
    </row>
    <row r="47">
      <c r="A47" s="140">
        <v>697.0</v>
      </c>
      <c r="B47" s="139" t="s">
        <v>1723</v>
      </c>
      <c r="C47" s="140">
        <v>12.0</v>
      </c>
      <c r="D47" s="140">
        <v>12.0</v>
      </c>
      <c r="E47" s="140">
        <v>12.0</v>
      </c>
      <c r="F47" s="139" t="s">
        <v>1670</v>
      </c>
      <c r="G47" s="140">
        <v>12.0</v>
      </c>
    </row>
    <row r="48">
      <c r="A48" s="140">
        <v>729.0</v>
      </c>
      <c r="B48" s="139" t="s">
        <v>1724</v>
      </c>
      <c r="D48" s="142"/>
      <c r="E48" s="142"/>
      <c r="F48" s="142"/>
      <c r="G48" s="266" t="s">
        <v>1672</v>
      </c>
    </row>
    <row r="49">
      <c r="A49" s="140">
        <v>770.0</v>
      </c>
      <c r="B49" s="139" t="s">
        <v>1725</v>
      </c>
      <c r="C49" s="140">
        <v>13.0</v>
      </c>
      <c r="D49" s="140">
        <v>13.0</v>
      </c>
      <c r="E49" s="140">
        <v>13.0</v>
      </c>
      <c r="F49" s="139" t="s">
        <v>1726</v>
      </c>
      <c r="G49" s="140">
        <v>13.0</v>
      </c>
    </row>
    <row r="50">
      <c r="A50" s="140">
        <v>779.0</v>
      </c>
      <c r="B50" s="139" t="s">
        <v>1727</v>
      </c>
      <c r="C50" s="140">
        <v>25.0</v>
      </c>
      <c r="D50" s="140">
        <v>25.0</v>
      </c>
      <c r="E50" s="140">
        <v>25.0</v>
      </c>
      <c r="F50" s="139" t="s">
        <v>1728</v>
      </c>
      <c r="G50" s="140">
        <v>25.0</v>
      </c>
    </row>
    <row r="51">
      <c r="A51" s="140">
        <v>787.0</v>
      </c>
      <c r="B51" s="139" t="s">
        <v>1729</v>
      </c>
      <c r="C51" s="140">
        <v>15.0</v>
      </c>
      <c r="D51" s="140">
        <v>15.0</v>
      </c>
      <c r="E51" s="140">
        <v>15.0</v>
      </c>
      <c r="F51" s="139" t="s">
        <v>1674</v>
      </c>
      <c r="G51" s="140">
        <v>15.0</v>
      </c>
    </row>
    <row r="52">
      <c r="A52" s="140">
        <v>788.0</v>
      </c>
      <c r="B52" s="139" t="s">
        <v>1730</v>
      </c>
      <c r="C52" s="140">
        <v>30.0</v>
      </c>
      <c r="D52" s="140">
        <v>30.0</v>
      </c>
      <c r="E52" s="140">
        <v>30.0</v>
      </c>
      <c r="F52" s="139" t="s">
        <v>1731</v>
      </c>
      <c r="G52" s="140">
        <v>30.0</v>
      </c>
    </row>
    <row r="53">
      <c r="A53" s="140">
        <v>788.0</v>
      </c>
      <c r="B53" s="139" t="s">
        <v>1730</v>
      </c>
      <c r="C53" s="140">
        <v>30.0</v>
      </c>
      <c r="D53" s="140">
        <v>30.0</v>
      </c>
      <c r="E53" s="140">
        <v>30.0</v>
      </c>
      <c r="F53" s="139" t="s">
        <v>1731</v>
      </c>
      <c r="G53" s="140">
        <v>30.0</v>
      </c>
    </row>
    <row r="54">
      <c r="A54" s="140">
        <v>791.0</v>
      </c>
      <c r="B54" s="139" t="s">
        <v>1732</v>
      </c>
      <c r="C54" s="140">
        <v>13.0</v>
      </c>
      <c r="D54" s="140">
        <v>13.0</v>
      </c>
      <c r="E54" s="140">
        <v>13.0</v>
      </c>
      <c r="F54" s="139" t="s">
        <v>1726</v>
      </c>
      <c r="G54" s="140">
        <v>13.0</v>
      </c>
    </row>
    <row r="55">
      <c r="A55" s="140">
        <v>795.0</v>
      </c>
      <c r="B55" s="139" t="s">
        <v>1733</v>
      </c>
      <c r="C55" s="140">
        <v>17.0</v>
      </c>
      <c r="D55" s="140">
        <v>17.0</v>
      </c>
      <c r="E55" s="140">
        <v>17.0</v>
      </c>
      <c r="F55" s="139" t="s">
        <v>1734</v>
      </c>
      <c r="G55" s="140">
        <v>17.0</v>
      </c>
    </row>
    <row r="56">
      <c r="A56" s="140">
        <v>795.0</v>
      </c>
      <c r="B56" s="139" t="s">
        <v>1733</v>
      </c>
      <c r="C56" s="140">
        <v>17.0</v>
      </c>
      <c r="D56" s="140">
        <v>17.0</v>
      </c>
      <c r="E56" s="140">
        <v>17.0</v>
      </c>
      <c r="F56" s="139" t="s">
        <v>1734</v>
      </c>
      <c r="G56" s="140">
        <v>17.0</v>
      </c>
    </row>
    <row r="57">
      <c r="A57" s="140">
        <v>827.0</v>
      </c>
      <c r="B57" s="139" t="s">
        <v>1735</v>
      </c>
      <c r="C57" s="140">
        <v>34.0</v>
      </c>
      <c r="D57" s="140">
        <v>34.0</v>
      </c>
      <c r="E57" s="140">
        <v>34.0</v>
      </c>
      <c r="F57" s="139" t="s">
        <v>1736</v>
      </c>
      <c r="G57" s="140">
        <v>34.0</v>
      </c>
    </row>
    <row r="58">
      <c r="A58" s="140">
        <v>1852.0</v>
      </c>
      <c r="B58" s="139" t="s">
        <v>1737</v>
      </c>
      <c r="C58" s="140">
        <v>18.0</v>
      </c>
      <c r="D58" s="140">
        <v>18.0</v>
      </c>
      <c r="E58" s="140">
        <v>18.0</v>
      </c>
      <c r="F58" s="139" t="s">
        <v>1700</v>
      </c>
      <c r="G58" s="140">
        <v>18.0</v>
      </c>
    </row>
    <row r="59">
      <c r="A59" s="140">
        <v>1870.0</v>
      </c>
      <c r="B59" s="139" t="s">
        <v>1738</v>
      </c>
      <c r="C59" s="140">
        <v>58.0</v>
      </c>
      <c r="D59" s="140">
        <v>58.0</v>
      </c>
      <c r="E59" s="140">
        <v>58.0</v>
      </c>
      <c r="F59" s="139" t="s">
        <v>1739</v>
      </c>
      <c r="G59" s="140">
        <v>58.0</v>
      </c>
    </row>
    <row r="60">
      <c r="A60" s="140">
        <v>1926.0</v>
      </c>
      <c r="B60" s="139" t="s">
        <v>1740</v>
      </c>
      <c r="C60" s="140">
        <v>1.0</v>
      </c>
      <c r="D60" s="140">
        <v>1.0</v>
      </c>
      <c r="E60" s="140">
        <v>1.0</v>
      </c>
      <c r="F60" s="139" t="s">
        <v>1662</v>
      </c>
      <c r="G60" s="140">
        <v>1.0</v>
      </c>
    </row>
    <row r="61">
      <c r="A61" s="140">
        <v>1930.0</v>
      </c>
      <c r="B61" s="139" t="s">
        <v>1741</v>
      </c>
      <c r="C61" s="140">
        <v>1.0</v>
      </c>
      <c r="D61" s="140">
        <v>1.0</v>
      </c>
      <c r="E61" s="140">
        <v>1.0</v>
      </c>
      <c r="F61" s="139" t="s">
        <v>1662</v>
      </c>
      <c r="G61" s="140">
        <v>1.0</v>
      </c>
    </row>
    <row r="62">
      <c r="A62" s="140">
        <v>1933.0</v>
      </c>
      <c r="B62" s="139" t="s">
        <v>1742</v>
      </c>
      <c r="C62" s="140">
        <v>33.0</v>
      </c>
      <c r="D62" s="140">
        <v>33.0</v>
      </c>
      <c r="E62" s="140">
        <v>36.0</v>
      </c>
      <c r="F62" s="139" t="s">
        <v>1743</v>
      </c>
      <c r="G62" s="140">
        <v>36.0</v>
      </c>
    </row>
    <row r="63">
      <c r="A63" s="140">
        <v>1952.0</v>
      </c>
      <c r="B63" s="139" t="s">
        <v>1744</v>
      </c>
      <c r="E63" s="142"/>
      <c r="F63" s="142"/>
      <c r="G63" s="266" t="s">
        <v>1672</v>
      </c>
    </row>
    <row r="64">
      <c r="A64" s="140">
        <v>1976.0</v>
      </c>
      <c r="B64" s="139" t="s">
        <v>1745</v>
      </c>
      <c r="C64" s="140">
        <v>12.0</v>
      </c>
      <c r="D64" s="140">
        <v>12.0</v>
      </c>
      <c r="E64" s="140">
        <v>12.0</v>
      </c>
      <c r="F64" s="139" t="s">
        <v>1670</v>
      </c>
      <c r="G64" s="140">
        <v>12.0</v>
      </c>
    </row>
    <row r="65">
      <c r="A65" s="140">
        <v>2038.0</v>
      </c>
      <c r="B65" s="139" t="s">
        <v>1746</v>
      </c>
      <c r="C65" s="140">
        <v>70.0</v>
      </c>
      <c r="D65" s="140">
        <v>70.0</v>
      </c>
      <c r="E65" s="140">
        <v>70.0</v>
      </c>
      <c r="F65" s="139" t="s">
        <v>1747</v>
      </c>
      <c r="G65" s="140">
        <v>70.0</v>
      </c>
    </row>
    <row r="66">
      <c r="A66" s="140">
        <v>2077.0</v>
      </c>
      <c r="B66" s="139" t="s">
        <v>1748</v>
      </c>
      <c r="C66" s="140">
        <v>28.0</v>
      </c>
      <c r="D66" s="140">
        <v>28.0</v>
      </c>
      <c r="E66" s="140">
        <v>28.0</v>
      </c>
      <c r="F66" s="139" t="s">
        <v>1677</v>
      </c>
      <c r="G66" s="140">
        <v>28.0</v>
      </c>
    </row>
    <row r="67">
      <c r="A67" s="140">
        <v>2097.0</v>
      </c>
      <c r="B67" s="139" t="s">
        <v>1749</v>
      </c>
      <c r="C67" s="140">
        <v>375.0</v>
      </c>
      <c r="D67" s="140">
        <v>375.0</v>
      </c>
      <c r="E67" s="140">
        <v>375.0</v>
      </c>
      <c r="F67" s="139" t="s">
        <v>1750</v>
      </c>
      <c r="G67" s="140">
        <v>375.0</v>
      </c>
    </row>
    <row r="68">
      <c r="A68" s="140">
        <v>2120.0</v>
      </c>
      <c r="B68" s="139" t="s">
        <v>1751</v>
      </c>
      <c r="C68" s="140">
        <v>78.0</v>
      </c>
      <c r="D68" s="140">
        <v>78.0</v>
      </c>
      <c r="E68" s="140">
        <v>78.0</v>
      </c>
      <c r="F68" s="139" t="s">
        <v>1752</v>
      </c>
      <c r="G68" s="140">
        <v>78.0</v>
      </c>
    </row>
    <row r="69">
      <c r="A69" s="140">
        <v>2134.0</v>
      </c>
      <c r="B69" s="139" t="s">
        <v>1753</v>
      </c>
      <c r="C69" s="140">
        <v>14.0</v>
      </c>
      <c r="D69" s="140">
        <v>14.0</v>
      </c>
      <c r="E69" s="140">
        <v>14.0</v>
      </c>
      <c r="F69" s="139" t="s">
        <v>1754</v>
      </c>
      <c r="G69" s="140">
        <v>14.0</v>
      </c>
    </row>
    <row r="70">
      <c r="A70" s="140">
        <v>2137.0</v>
      </c>
      <c r="B70" s="139" t="s">
        <v>1755</v>
      </c>
      <c r="C70" s="140">
        <v>114.0</v>
      </c>
      <c r="D70" s="140">
        <v>102.0</v>
      </c>
      <c r="E70" s="140">
        <v>114.0</v>
      </c>
      <c r="F70" s="139" t="s">
        <v>1756</v>
      </c>
      <c r="G70" s="140">
        <v>102.0</v>
      </c>
    </row>
    <row r="71">
      <c r="A71" s="140">
        <v>2155.0</v>
      </c>
      <c r="B71" s="139" t="s">
        <v>1757</v>
      </c>
      <c r="C71" s="140">
        <v>14.0</v>
      </c>
      <c r="D71" s="140">
        <v>14.0</v>
      </c>
      <c r="E71" s="140">
        <v>22.0</v>
      </c>
      <c r="F71" s="139" t="s">
        <v>1758</v>
      </c>
      <c r="G71" s="140">
        <v>22.0</v>
      </c>
    </row>
    <row r="72">
      <c r="A72" s="140">
        <v>2160.0</v>
      </c>
      <c r="B72" s="139" t="s">
        <v>1759</v>
      </c>
      <c r="C72" s="140">
        <v>81.0</v>
      </c>
      <c r="D72" s="140">
        <v>81.0</v>
      </c>
      <c r="E72" s="140">
        <v>81.0</v>
      </c>
      <c r="F72" s="139" t="s">
        <v>1760</v>
      </c>
      <c r="G72" s="140">
        <v>81.0</v>
      </c>
    </row>
    <row r="73">
      <c r="A73" s="140">
        <v>2167.0</v>
      </c>
      <c r="B73" s="139" t="s">
        <v>1761</v>
      </c>
      <c r="C73" s="140">
        <v>220.0</v>
      </c>
      <c r="D73" s="140">
        <v>210.0</v>
      </c>
      <c r="E73" s="140">
        <v>220.0</v>
      </c>
      <c r="F73" s="139" t="s">
        <v>1762</v>
      </c>
      <c r="G73" s="140">
        <v>210.0</v>
      </c>
    </row>
    <row r="74">
      <c r="A74" s="140">
        <v>2170.0</v>
      </c>
      <c r="B74" s="139" t="s">
        <v>1763</v>
      </c>
      <c r="C74" s="140">
        <v>11.0</v>
      </c>
      <c r="D74" s="140">
        <v>11.0</v>
      </c>
      <c r="E74" s="140">
        <v>11.0</v>
      </c>
      <c r="F74" s="139" t="s">
        <v>1764</v>
      </c>
      <c r="G74" s="140">
        <v>11.0</v>
      </c>
    </row>
    <row r="75">
      <c r="A75" s="140">
        <v>2178.0</v>
      </c>
      <c r="B75" s="139" t="s">
        <v>1765</v>
      </c>
      <c r="D75" s="142"/>
      <c r="E75" s="142"/>
      <c r="F75" s="142"/>
      <c r="G75" s="266" t="s">
        <v>1672</v>
      </c>
    </row>
    <row r="76">
      <c r="A76" s="140">
        <v>2188.0</v>
      </c>
      <c r="B76" s="139" t="s">
        <v>1766</v>
      </c>
      <c r="C76" s="140">
        <v>26.0</v>
      </c>
      <c r="D76" s="140">
        <v>26.0</v>
      </c>
      <c r="E76" s="140">
        <v>26.0</v>
      </c>
      <c r="F76" s="139" t="s">
        <v>1708</v>
      </c>
      <c r="G76" s="140">
        <v>26.0</v>
      </c>
    </row>
    <row r="77">
      <c r="A77" s="140">
        <v>2194.0</v>
      </c>
      <c r="B77" s="139" t="s">
        <v>1767</v>
      </c>
      <c r="C77" s="140">
        <v>160.0</v>
      </c>
      <c r="D77" s="140">
        <v>160.0</v>
      </c>
      <c r="E77" s="140">
        <v>160.0</v>
      </c>
      <c r="F77" s="139" t="s">
        <v>1768</v>
      </c>
      <c r="G77" s="140">
        <v>160.0</v>
      </c>
    </row>
    <row r="78">
      <c r="A78" s="140">
        <v>2263.0</v>
      </c>
      <c r="B78" s="139" t="s">
        <v>1769</v>
      </c>
      <c r="C78" s="140">
        <v>11.0</v>
      </c>
      <c r="D78" s="140">
        <v>11.0</v>
      </c>
      <c r="E78" s="140">
        <v>11.0</v>
      </c>
      <c r="F78" s="139" t="s">
        <v>1764</v>
      </c>
      <c r="G78" s="140">
        <v>11.0</v>
      </c>
    </row>
    <row r="79">
      <c r="A79" s="140">
        <v>2285.0</v>
      </c>
      <c r="B79" s="139" t="s">
        <v>1770</v>
      </c>
      <c r="D79" s="142"/>
      <c r="E79" s="142"/>
      <c r="F79" s="142"/>
      <c r="G79" s="266" t="s">
        <v>1672</v>
      </c>
    </row>
    <row r="80">
      <c r="A80" s="140">
        <v>2296.0</v>
      </c>
      <c r="B80" s="139" t="s">
        <v>1771</v>
      </c>
      <c r="C80" s="140">
        <v>30.0</v>
      </c>
      <c r="D80" s="140">
        <v>30.0</v>
      </c>
      <c r="E80" s="140">
        <v>30.0</v>
      </c>
      <c r="F80" s="139" t="s">
        <v>1731</v>
      </c>
      <c r="G80" s="140">
        <v>30.0</v>
      </c>
    </row>
    <row r="81">
      <c r="A81" s="140">
        <v>2369.0</v>
      </c>
      <c r="B81" s="139" t="s">
        <v>1772</v>
      </c>
      <c r="C81" s="140">
        <v>64.0</v>
      </c>
      <c r="D81" s="140">
        <v>64.0</v>
      </c>
      <c r="E81" s="140">
        <v>80.0</v>
      </c>
      <c r="F81" s="139" t="s">
        <v>1773</v>
      </c>
      <c r="G81" s="140">
        <v>80.0</v>
      </c>
    </row>
    <row r="82">
      <c r="A82" s="140">
        <v>2406.0</v>
      </c>
      <c r="B82" s="139" t="s">
        <v>1774</v>
      </c>
      <c r="D82" s="142"/>
      <c r="E82" s="142"/>
      <c r="F82" s="142"/>
      <c r="G82" s="266" t="s">
        <v>1672</v>
      </c>
    </row>
    <row r="83">
      <c r="A83" s="140">
        <v>2423.0</v>
      </c>
      <c r="B83" s="139" t="s">
        <v>1775</v>
      </c>
      <c r="C83" s="140">
        <v>216.0</v>
      </c>
      <c r="D83" s="140">
        <v>209.0</v>
      </c>
      <c r="E83" s="140">
        <v>216.0</v>
      </c>
      <c r="F83" s="139" t="s">
        <v>1776</v>
      </c>
      <c r="G83" s="140">
        <v>209.0</v>
      </c>
    </row>
    <row r="84">
      <c r="A84" s="140">
        <v>2423.0</v>
      </c>
      <c r="B84" s="139" t="s">
        <v>1775</v>
      </c>
      <c r="C84" s="140">
        <v>216.0</v>
      </c>
      <c r="D84" s="140">
        <v>209.0</v>
      </c>
      <c r="E84" s="140">
        <v>216.0</v>
      </c>
      <c r="F84" s="139" t="s">
        <v>1776</v>
      </c>
      <c r="G84" s="140">
        <v>209.0</v>
      </c>
    </row>
    <row r="85">
      <c r="A85" s="140">
        <v>2428.0</v>
      </c>
      <c r="B85" s="139" t="s">
        <v>1777</v>
      </c>
      <c r="C85" s="140">
        <v>90.0</v>
      </c>
      <c r="D85" s="140">
        <v>90.0</v>
      </c>
      <c r="E85" s="140">
        <v>90.0</v>
      </c>
      <c r="F85" s="139" t="s">
        <v>1685</v>
      </c>
      <c r="G85" s="140">
        <v>90.0</v>
      </c>
    </row>
    <row r="86">
      <c r="A86" s="140">
        <v>2438.0</v>
      </c>
      <c r="B86" s="139" t="s">
        <v>1778</v>
      </c>
      <c r="D86" s="142"/>
      <c r="E86" s="142"/>
      <c r="F86" s="142"/>
      <c r="G86" s="266" t="s">
        <v>1672</v>
      </c>
    </row>
    <row r="87">
      <c r="A87" s="140">
        <v>2515.0</v>
      </c>
      <c r="B87" s="139" t="s">
        <v>1779</v>
      </c>
      <c r="D87" s="142"/>
      <c r="E87" s="142"/>
      <c r="F87" s="142"/>
      <c r="G87" s="266" t="s">
        <v>1672</v>
      </c>
    </row>
    <row r="88">
      <c r="A88" s="140">
        <v>2521.0</v>
      </c>
      <c r="B88" s="139" t="s">
        <v>1780</v>
      </c>
      <c r="C88" s="140">
        <v>62.0</v>
      </c>
      <c r="D88" s="140">
        <v>62.0</v>
      </c>
      <c r="E88" s="140">
        <v>62.0</v>
      </c>
      <c r="F88" s="139" t="s">
        <v>1781</v>
      </c>
      <c r="G88" s="140">
        <v>62.0</v>
      </c>
    </row>
    <row r="89">
      <c r="A89" s="140">
        <v>2525.0</v>
      </c>
      <c r="B89" s="139" t="s">
        <v>1782</v>
      </c>
      <c r="C89" s="140">
        <v>16.0</v>
      </c>
      <c r="D89" s="140">
        <v>16.0</v>
      </c>
      <c r="E89" s="140">
        <v>16.0</v>
      </c>
      <c r="F89" s="139" t="s">
        <v>1783</v>
      </c>
      <c r="G89" s="140">
        <v>16.0</v>
      </c>
    </row>
    <row r="90">
      <c r="A90" s="140">
        <v>2529.0</v>
      </c>
      <c r="B90" s="139" t="s">
        <v>1784</v>
      </c>
      <c r="C90" s="140">
        <v>33.0</v>
      </c>
      <c r="D90" s="140">
        <v>30.0</v>
      </c>
      <c r="E90" s="140">
        <v>33.0</v>
      </c>
      <c r="F90" s="139" t="s">
        <v>1785</v>
      </c>
      <c r="G90" s="140">
        <v>30.0</v>
      </c>
    </row>
    <row r="91">
      <c r="A91" s="140">
        <v>2531.0</v>
      </c>
      <c r="B91" s="139" t="s">
        <v>1786</v>
      </c>
      <c r="C91" s="140">
        <v>341.0</v>
      </c>
      <c r="D91" s="140">
        <v>341.0</v>
      </c>
      <c r="E91" s="140">
        <v>341.0</v>
      </c>
      <c r="F91" s="139" t="s">
        <v>1787</v>
      </c>
      <c r="G91" s="140">
        <v>341.0</v>
      </c>
    </row>
    <row r="92">
      <c r="A92" s="140">
        <v>2531.0</v>
      </c>
      <c r="B92" s="139" t="s">
        <v>1786</v>
      </c>
      <c r="C92" s="140">
        <v>341.0</v>
      </c>
      <c r="D92" s="140">
        <v>341.0</v>
      </c>
      <c r="E92" s="140">
        <v>341.0</v>
      </c>
      <c r="F92" s="139" t="s">
        <v>1787</v>
      </c>
      <c r="G92" s="140">
        <v>341.0</v>
      </c>
    </row>
    <row r="93">
      <c r="A93" s="140">
        <v>2544.0</v>
      </c>
      <c r="B93" s="139" t="s">
        <v>1788</v>
      </c>
      <c r="D93" s="142"/>
      <c r="E93" s="142"/>
      <c r="F93" s="142"/>
      <c r="G93" s="266" t="s">
        <v>1672</v>
      </c>
    </row>
    <row r="94">
      <c r="A94" s="140">
        <v>2593.0</v>
      </c>
      <c r="B94" s="139" t="s">
        <v>1789</v>
      </c>
      <c r="C94" s="140">
        <v>32.0</v>
      </c>
      <c r="D94" s="140">
        <v>32.0</v>
      </c>
      <c r="E94" s="140">
        <v>32.0</v>
      </c>
      <c r="F94" s="139" t="s">
        <v>1790</v>
      </c>
      <c r="G94" s="140">
        <v>32.0</v>
      </c>
    </row>
    <row r="95">
      <c r="A95" s="140">
        <v>2640.0</v>
      </c>
      <c r="B95" s="139" t="s">
        <v>1791</v>
      </c>
      <c r="C95" s="140">
        <v>19.0</v>
      </c>
      <c r="D95" s="140">
        <v>19.0</v>
      </c>
      <c r="E95" s="140">
        <v>19.0</v>
      </c>
      <c r="F95" s="139" t="s">
        <v>1792</v>
      </c>
      <c r="G95" s="140">
        <v>19.0</v>
      </c>
    </row>
    <row r="96">
      <c r="A96" s="140">
        <v>2653.0</v>
      </c>
      <c r="B96" s="139" t="s">
        <v>1793</v>
      </c>
      <c r="C96" s="140">
        <v>12.0</v>
      </c>
      <c r="D96" s="140">
        <v>12.0</v>
      </c>
      <c r="E96" s="140">
        <v>12.0</v>
      </c>
      <c r="F96" s="139" t="s">
        <v>1670</v>
      </c>
      <c r="G96" s="140">
        <v>12.0</v>
      </c>
    </row>
    <row r="97">
      <c r="A97" s="140">
        <v>2722.0</v>
      </c>
      <c r="B97" s="139" t="s">
        <v>1794</v>
      </c>
      <c r="C97" s="140">
        <v>9.0</v>
      </c>
      <c r="D97" s="140">
        <v>9.0</v>
      </c>
      <c r="E97" s="140">
        <v>9.0</v>
      </c>
      <c r="F97" s="139" t="s">
        <v>1706</v>
      </c>
      <c r="G97" s="140">
        <v>9.0</v>
      </c>
    </row>
    <row r="98">
      <c r="A98" s="140">
        <v>2724.0</v>
      </c>
      <c r="B98" s="139" t="s">
        <v>1795</v>
      </c>
      <c r="C98" s="140">
        <v>44.0</v>
      </c>
      <c r="D98" s="140">
        <v>44.0</v>
      </c>
      <c r="E98" s="140">
        <v>44.0</v>
      </c>
      <c r="F98" s="139" t="s">
        <v>1796</v>
      </c>
      <c r="G98" s="140">
        <v>44.0</v>
      </c>
    </row>
    <row r="99">
      <c r="A99" s="140">
        <v>2724.0</v>
      </c>
      <c r="B99" s="139" t="s">
        <v>1795</v>
      </c>
      <c r="C99" s="140">
        <v>44.0</v>
      </c>
      <c r="D99" s="140">
        <v>44.0</v>
      </c>
      <c r="E99" s="140">
        <v>44.0</v>
      </c>
      <c r="F99" s="139" t="s">
        <v>1796</v>
      </c>
      <c r="G99" s="140">
        <v>44.0</v>
      </c>
    </row>
    <row r="100">
      <c r="A100" s="140">
        <v>2741.0</v>
      </c>
      <c r="B100" s="139" t="s">
        <v>1797</v>
      </c>
      <c r="D100" s="142"/>
      <c r="E100" s="142"/>
      <c r="F100" s="142"/>
      <c r="G100" s="266" t="s">
        <v>1672</v>
      </c>
    </row>
    <row r="101">
      <c r="A101" s="140">
        <v>2762.0</v>
      </c>
      <c r="B101" s="139" t="s">
        <v>1798</v>
      </c>
      <c r="D101" s="142"/>
      <c r="E101" s="142"/>
      <c r="F101" s="142"/>
      <c r="G101" s="266" t="s">
        <v>1672</v>
      </c>
    </row>
    <row r="102">
      <c r="A102" s="140">
        <v>2764.0</v>
      </c>
      <c r="B102" s="139" t="s">
        <v>1799</v>
      </c>
      <c r="C102" s="140">
        <v>380.0</v>
      </c>
      <c r="D102" s="140">
        <v>380.0</v>
      </c>
      <c r="E102" s="140">
        <v>380.0</v>
      </c>
      <c r="F102" s="139" t="s">
        <v>1800</v>
      </c>
      <c r="G102" s="140">
        <v>380.0</v>
      </c>
    </row>
    <row r="103">
      <c r="A103" s="140">
        <v>2765.0</v>
      </c>
      <c r="B103" s="139" t="s">
        <v>1801</v>
      </c>
      <c r="C103" s="140">
        <v>74.0</v>
      </c>
      <c r="D103" s="140">
        <v>74.0</v>
      </c>
      <c r="E103" s="140">
        <v>74.0</v>
      </c>
      <c r="F103" s="139" t="s">
        <v>1802</v>
      </c>
      <c r="G103" s="140">
        <v>74.0</v>
      </c>
    </row>
    <row r="104">
      <c r="A104" s="140">
        <v>2766.0</v>
      </c>
      <c r="B104" s="139" t="s">
        <v>1803</v>
      </c>
      <c r="D104" s="142"/>
      <c r="E104" s="142"/>
      <c r="F104" s="142"/>
      <c r="G104" s="266" t="s">
        <v>1672</v>
      </c>
    </row>
    <row r="105">
      <c r="A105" s="140">
        <v>2788.0</v>
      </c>
      <c r="B105" s="139" t="s">
        <v>1804</v>
      </c>
      <c r="C105" s="140">
        <v>44.0</v>
      </c>
      <c r="D105" s="140">
        <v>44.0</v>
      </c>
      <c r="E105" s="140">
        <v>44.0</v>
      </c>
      <c r="F105" s="139" t="s">
        <v>1796</v>
      </c>
      <c r="G105" s="140">
        <v>44.0</v>
      </c>
    </row>
    <row r="106">
      <c r="A106" s="140">
        <v>2814.0</v>
      </c>
      <c r="B106" s="139" t="s">
        <v>1805</v>
      </c>
      <c r="C106" s="140">
        <v>54.0</v>
      </c>
      <c r="D106" s="140">
        <v>54.0</v>
      </c>
      <c r="E106" s="140">
        <v>54.0</v>
      </c>
      <c r="F106" s="139" t="s">
        <v>1806</v>
      </c>
      <c r="G106" s="140">
        <v>54.0</v>
      </c>
    </row>
    <row r="107">
      <c r="A107" s="140">
        <v>2815.0</v>
      </c>
      <c r="B107" s="139" t="s">
        <v>1807</v>
      </c>
      <c r="C107" s="140">
        <v>1.0</v>
      </c>
      <c r="D107" s="140">
        <v>1.0</v>
      </c>
      <c r="E107" s="140">
        <v>1.0</v>
      </c>
      <c r="F107" s="139" t="s">
        <v>1662</v>
      </c>
      <c r="G107" s="140">
        <v>1.0</v>
      </c>
    </row>
    <row r="108">
      <c r="A108" s="140">
        <v>2816.0</v>
      </c>
      <c r="B108" s="139" t="s">
        <v>1808</v>
      </c>
      <c r="C108" s="140">
        <v>57.0</v>
      </c>
      <c r="D108" s="140">
        <v>57.0</v>
      </c>
      <c r="E108" s="140">
        <v>57.0</v>
      </c>
      <c r="F108" s="139" t="s">
        <v>1809</v>
      </c>
      <c r="G108" s="140">
        <v>57.0</v>
      </c>
    </row>
    <row r="109">
      <c r="A109" s="140">
        <v>2816.0</v>
      </c>
      <c r="B109" s="139" t="s">
        <v>1808</v>
      </c>
      <c r="C109" s="140">
        <v>57.0</v>
      </c>
      <c r="D109" s="140">
        <v>57.0</v>
      </c>
      <c r="E109" s="140">
        <v>57.0</v>
      </c>
      <c r="F109" s="139" t="s">
        <v>1809</v>
      </c>
      <c r="G109" s="140">
        <v>57.0</v>
      </c>
    </row>
    <row r="110">
      <c r="A110" s="140">
        <v>2841.0</v>
      </c>
      <c r="B110" s="139" t="s">
        <v>1810</v>
      </c>
      <c r="C110" s="140">
        <v>96.0</v>
      </c>
      <c r="D110" s="140">
        <v>96.0</v>
      </c>
      <c r="E110" s="140">
        <v>96.0</v>
      </c>
      <c r="F110" s="139" t="s">
        <v>1811</v>
      </c>
      <c r="G110" s="140">
        <v>96.0</v>
      </c>
    </row>
    <row r="111">
      <c r="A111" s="140">
        <v>2841.0</v>
      </c>
      <c r="B111" s="139" t="s">
        <v>1810</v>
      </c>
      <c r="C111" s="140">
        <v>96.0</v>
      </c>
      <c r="D111" s="140">
        <v>96.0</v>
      </c>
      <c r="E111" s="140">
        <v>96.0</v>
      </c>
      <c r="F111" s="139" t="s">
        <v>1811</v>
      </c>
      <c r="G111" s="140">
        <v>96.0</v>
      </c>
    </row>
    <row r="112">
      <c r="A112" s="140">
        <v>2841.0</v>
      </c>
      <c r="B112" s="139" t="s">
        <v>1810</v>
      </c>
      <c r="C112" s="140">
        <v>96.0</v>
      </c>
      <c r="D112" s="140">
        <v>96.0</v>
      </c>
      <c r="E112" s="140">
        <v>96.0</v>
      </c>
      <c r="F112" s="139" t="s">
        <v>1811</v>
      </c>
      <c r="G112" s="140">
        <v>96.0</v>
      </c>
    </row>
    <row r="113">
      <c r="A113" s="140">
        <v>2848.0</v>
      </c>
      <c r="B113" s="139" t="s">
        <v>1812</v>
      </c>
      <c r="C113" s="140">
        <v>49.0</v>
      </c>
      <c r="D113" s="140">
        <v>49.0</v>
      </c>
      <c r="E113" s="140">
        <v>54.0</v>
      </c>
      <c r="F113" s="139" t="s">
        <v>1813</v>
      </c>
      <c r="G113" s="140">
        <v>54.0</v>
      </c>
    </row>
    <row r="114">
      <c r="A114" s="140">
        <v>4177.0</v>
      </c>
      <c r="B114" s="139" t="s">
        <v>1814</v>
      </c>
      <c r="C114" s="140">
        <v>25.0</v>
      </c>
      <c r="D114" s="140">
        <v>25.0</v>
      </c>
      <c r="E114" s="140">
        <v>25.0</v>
      </c>
      <c r="F114" s="139" t="s">
        <v>1728</v>
      </c>
      <c r="G114" s="140">
        <v>25.0</v>
      </c>
    </row>
    <row r="115">
      <c r="A115" s="140">
        <v>4179.0</v>
      </c>
      <c r="B115" s="139" t="s">
        <v>1815</v>
      </c>
      <c r="C115" s="140">
        <v>37.0</v>
      </c>
      <c r="D115" s="140">
        <v>37.0</v>
      </c>
      <c r="E115" s="140">
        <v>38.0</v>
      </c>
      <c r="F115" s="139" t="s">
        <v>1816</v>
      </c>
      <c r="G115" s="140">
        <v>38.0</v>
      </c>
    </row>
    <row r="116">
      <c r="A116" s="140">
        <v>4186.0</v>
      </c>
      <c r="B116" s="139" t="s">
        <v>1817</v>
      </c>
      <c r="C116" s="140">
        <v>23.0</v>
      </c>
      <c r="D116" s="140">
        <v>23.0</v>
      </c>
      <c r="E116" s="140">
        <v>24.0</v>
      </c>
      <c r="F116" s="139" t="s">
        <v>1818</v>
      </c>
      <c r="G116" s="140">
        <v>24.0</v>
      </c>
    </row>
    <row r="117">
      <c r="A117" s="140">
        <v>4199.0</v>
      </c>
      <c r="B117" s="139" t="s">
        <v>1819</v>
      </c>
      <c r="C117" s="140">
        <v>16.0</v>
      </c>
      <c r="D117" s="140">
        <v>16.0</v>
      </c>
      <c r="E117" s="140">
        <v>16.0</v>
      </c>
      <c r="F117" s="139" t="s">
        <v>1783</v>
      </c>
      <c r="G117" s="140">
        <v>16.0</v>
      </c>
    </row>
    <row r="118">
      <c r="A118" s="140">
        <v>4199.0</v>
      </c>
      <c r="B118" s="139" t="s">
        <v>1819</v>
      </c>
      <c r="C118" s="140">
        <v>16.0</v>
      </c>
      <c r="D118" s="140">
        <v>16.0</v>
      </c>
      <c r="E118" s="140">
        <v>16.0</v>
      </c>
      <c r="F118" s="139" t="s">
        <v>1783</v>
      </c>
      <c r="G118" s="140">
        <v>16.0</v>
      </c>
    </row>
    <row r="119">
      <c r="A119" s="140">
        <v>4210.0</v>
      </c>
      <c r="B119" s="139" t="s">
        <v>1820</v>
      </c>
      <c r="C119" s="140">
        <v>21.0</v>
      </c>
      <c r="D119" s="140">
        <v>21.0</v>
      </c>
      <c r="E119" s="140">
        <v>21.0</v>
      </c>
      <c r="F119" s="139" t="s">
        <v>1821</v>
      </c>
      <c r="G119" s="140">
        <v>21.0</v>
      </c>
    </row>
    <row r="120">
      <c r="A120" s="140">
        <v>4220.0</v>
      </c>
      <c r="B120" s="139" t="s">
        <v>1822</v>
      </c>
      <c r="C120" s="140">
        <v>59.0</v>
      </c>
      <c r="D120" s="140">
        <v>59.0</v>
      </c>
      <c r="E120" s="140">
        <v>59.0</v>
      </c>
      <c r="F120" s="139" t="s">
        <v>1823</v>
      </c>
      <c r="G120" s="140">
        <v>59.0</v>
      </c>
    </row>
    <row r="121">
      <c r="A121" s="140">
        <v>4270.0</v>
      </c>
      <c r="B121" s="139" t="s">
        <v>867</v>
      </c>
      <c r="D121" s="142"/>
      <c r="E121" s="142"/>
      <c r="F121" s="142"/>
      <c r="G121" s="266" t="s">
        <v>1672</v>
      </c>
    </row>
    <row r="122">
      <c r="A122" s="140">
        <v>4284.0</v>
      </c>
      <c r="B122" s="139" t="s">
        <v>707</v>
      </c>
      <c r="C122" s="140">
        <v>9.0</v>
      </c>
      <c r="D122" s="140">
        <v>9.0</v>
      </c>
      <c r="E122" s="140">
        <v>9.0</v>
      </c>
      <c r="F122" s="139" t="s">
        <v>1706</v>
      </c>
      <c r="G122" s="140">
        <v>9.0</v>
      </c>
    </row>
    <row r="123">
      <c r="A123" s="140">
        <v>4287.0</v>
      </c>
      <c r="B123" s="139" t="s">
        <v>1824</v>
      </c>
      <c r="C123" s="140">
        <v>25.0</v>
      </c>
      <c r="D123" s="140">
        <v>25.0</v>
      </c>
      <c r="E123" s="140">
        <v>25.0</v>
      </c>
      <c r="F123" s="139" t="s">
        <v>1728</v>
      </c>
      <c r="G123" s="140">
        <v>25.0</v>
      </c>
    </row>
    <row r="124">
      <c r="A124" s="140">
        <v>4292.0</v>
      </c>
      <c r="B124" s="139" t="s">
        <v>1825</v>
      </c>
      <c r="D124" s="142"/>
      <c r="E124" s="142"/>
      <c r="F124" s="142"/>
      <c r="G124" s="266" t="s">
        <v>1672</v>
      </c>
    </row>
    <row r="125">
      <c r="A125" s="140">
        <v>4312.0</v>
      </c>
      <c r="B125" s="139" t="s">
        <v>1826</v>
      </c>
      <c r="C125" s="140">
        <v>81.0</v>
      </c>
      <c r="D125" s="140">
        <v>81.0</v>
      </c>
      <c r="E125" s="140">
        <v>81.0</v>
      </c>
      <c r="F125" s="139" t="s">
        <v>1760</v>
      </c>
      <c r="G125" s="140">
        <v>81.0</v>
      </c>
    </row>
    <row r="126">
      <c r="A126" s="140">
        <v>4317.0</v>
      </c>
      <c r="B126" s="139" t="s">
        <v>1827</v>
      </c>
      <c r="C126" s="140">
        <v>26.0</v>
      </c>
      <c r="D126" s="140">
        <v>26.0</v>
      </c>
      <c r="E126" s="140">
        <v>26.0</v>
      </c>
      <c r="F126" s="139" t="s">
        <v>1708</v>
      </c>
      <c r="G126" s="140">
        <v>26.0</v>
      </c>
    </row>
    <row r="127">
      <c r="A127" s="140">
        <v>4317.0</v>
      </c>
      <c r="B127" s="139" t="s">
        <v>1827</v>
      </c>
      <c r="C127" s="140">
        <v>26.0</v>
      </c>
      <c r="D127" s="140">
        <v>26.0</v>
      </c>
      <c r="E127" s="140">
        <v>26.0</v>
      </c>
      <c r="F127" s="139" t="s">
        <v>1708</v>
      </c>
      <c r="G127" s="140">
        <v>26.0</v>
      </c>
    </row>
    <row r="128">
      <c r="A128" s="140">
        <v>4342.0</v>
      </c>
      <c r="B128" s="139" t="s">
        <v>1828</v>
      </c>
      <c r="D128" s="142"/>
      <c r="E128" s="142"/>
      <c r="F128" s="142"/>
      <c r="G128" s="266" t="s">
        <v>1672</v>
      </c>
    </row>
    <row r="129">
      <c r="A129" s="140">
        <v>4349.0</v>
      </c>
      <c r="B129" s="139" t="s">
        <v>1829</v>
      </c>
      <c r="E129" s="142"/>
      <c r="F129" s="142"/>
      <c r="G129" s="266" t="s">
        <v>1672</v>
      </c>
    </row>
    <row r="130">
      <c r="A130" s="140">
        <v>4359.0</v>
      </c>
      <c r="B130" s="139" t="s">
        <v>1830</v>
      </c>
      <c r="C130" s="140">
        <v>87.0</v>
      </c>
      <c r="D130" s="140">
        <v>87.0</v>
      </c>
      <c r="E130" s="140">
        <v>87.0</v>
      </c>
      <c r="F130" s="139" t="s">
        <v>1831</v>
      </c>
      <c r="G130" s="140">
        <v>87.0</v>
      </c>
    </row>
    <row r="131">
      <c r="A131" s="140">
        <v>4360.0</v>
      </c>
      <c r="B131" s="139" t="s">
        <v>1832</v>
      </c>
      <c r="C131" s="140">
        <v>18.0</v>
      </c>
      <c r="D131" s="140">
        <v>18.0</v>
      </c>
      <c r="E131" s="140">
        <v>18.0</v>
      </c>
      <c r="F131" s="139" t="s">
        <v>1700</v>
      </c>
      <c r="G131" s="140">
        <v>18.0</v>
      </c>
    </row>
    <row r="132">
      <c r="A132" s="140">
        <v>4364.0</v>
      </c>
      <c r="B132" s="139" t="s">
        <v>1833</v>
      </c>
      <c r="C132" s="140">
        <v>12.0</v>
      </c>
      <c r="D132" s="140">
        <v>12.0</v>
      </c>
      <c r="E132" s="140">
        <v>13.0</v>
      </c>
      <c r="F132" s="139" t="s">
        <v>1834</v>
      </c>
      <c r="G132" s="140">
        <v>13.0</v>
      </c>
    </row>
    <row r="133">
      <c r="A133" s="140">
        <v>4371.0</v>
      </c>
      <c r="B133" s="139" t="s">
        <v>1835</v>
      </c>
      <c r="C133" s="140">
        <v>14.0</v>
      </c>
      <c r="D133" s="140">
        <v>14.0</v>
      </c>
      <c r="E133" s="140">
        <v>20.0</v>
      </c>
      <c r="F133" s="139" t="s">
        <v>1836</v>
      </c>
      <c r="G133" s="140">
        <v>20.0</v>
      </c>
    </row>
    <row r="134">
      <c r="A134" s="140">
        <v>4377.0</v>
      </c>
      <c r="B134" s="139" t="s">
        <v>1837</v>
      </c>
      <c r="D134" s="142"/>
      <c r="E134" s="142"/>
      <c r="F134" s="142"/>
      <c r="G134" s="266" t="s">
        <v>1672</v>
      </c>
    </row>
    <row r="135">
      <c r="A135" s="140">
        <v>4378.0</v>
      </c>
      <c r="B135" s="139" t="s">
        <v>1838</v>
      </c>
      <c r="C135" s="140">
        <v>17.0</v>
      </c>
      <c r="D135" s="140">
        <v>17.0</v>
      </c>
      <c r="E135" s="140">
        <v>17.0</v>
      </c>
      <c r="F135" s="139" t="s">
        <v>1734</v>
      </c>
      <c r="G135" s="140">
        <v>17.0</v>
      </c>
    </row>
    <row r="136">
      <c r="A136" s="140">
        <v>4385.0</v>
      </c>
      <c r="B136" s="139" t="s">
        <v>1839</v>
      </c>
      <c r="C136" s="140">
        <v>19.0</v>
      </c>
      <c r="D136" s="140">
        <v>19.0</v>
      </c>
      <c r="E136" s="140">
        <v>19.0</v>
      </c>
      <c r="F136" s="139" t="s">
        <v>1792</v>
      </c>
      <c r="G136" s="140">
        <v>19.0</v>
      </c>
    </row>
    <row r="137">
      <c r="A137" s="140">
        <v>4401.0</v>
      </c>
      <c r="B137" s="139" t="s">
        <v>1840</v>
      </c>
      <c r="C137" s="140">
        <v>16.0</v>
      </c>
      <c r="D137" s="140">
        <v>16.0</v>
      </c>
      <c r="E137" s="140">
        <v>16.0</v>
      </c>
      <c r="F137" s="139" t="s">
        <v>1783</v>
      </c>
      <c r="G137" s="140">
        <v>16.0</v>
      </c>
    </row>
    <row r="138">
      <c r="A138" s="140">
        <v>4409.0</v>
      </c>
      <c r="B138" s="139" t="s">
        <v>1841</v>
      </c>
      <c r="C138" s="140">
        <v>32.0</v>
      </c>
      <c r="D138" s="140">
        <v>32.0</v>
      </c>
      <c r="E138" s="140">
        <v>32.0</v>
      </c>
      <c r="F138" s="139" t="s">
        <v>1790</v>
      </c>
      <c r="G138" s="140">
        <v>32.0</v>
      </c>
    </row>
    <row r="139">
      <c r="A139" s="140">
        <v>4421.0</v>
      </c>
      <c r="B139" s="139" t="s">
        <v>1842</v>
      </c>
      <c r="D139" s="142"/>
      <c r="E139" s="142"/>
      <c r="F139" s="142"/>
      <c r="G139" s="266" t="s">
        <v>1672</v>
      </c>
    </row>
    <row r="140">
      <c r="A140" s="140">
        <v>4423.0</v>
      </c>
      <c r="B140" s="139" t="s">
        <v>699</v>
      </c>
      <c r="C140" s="140">
        <v>18.0</v>
      </c>
      <c r="D140" s="140">
        <v>18.0</v>
      </c>
      <c r="E140" s="140">
        <v>18.0</v>
      </c>
      <c r="F140" s="139" t="s">
        <v>1700</v>
      </c>
      <c r="G140" s="140">
        <v>18.0</v>
      </c>
    </row>
    <row r="141">
      <c r="A141" s="140">
        <v>4425.0</v>
      </c>
      <c r="B141" s="139" t="s">
        <v>1843</v>
      </c>
      <c r="D141" s="142"/>
      <c r="E141" s="142"/>
      <c r="F141" s="142"/>
      <c r="G141" s="266" t="s">
        <v>1672</v>
      </c>
    </row>
    <row r="142">
      <c r="A142" s="140">
        <v>4427.0</v>
      </c>
      <c r="B142" s="139" t="s">
        <v>1844</v>
      </c>
      <c r="C142" s="140">
        <v>25.0</v>
      </c>
      <c r="D142" s="140">
        <v>25.0</v>
      </c>
      <c r="E142" s="140">
        <v>25.0</v>
      </c>
      <c r="F142" s="139" t="s">
        <v>1728</v>
      </c>
      <c r="G142" s="140">
        <v>25.0</v>
      </c>
    </row>
    <row r="143">
      <c r="A143" s="140">
        <v>4431.0</v>
      </c>
      <c r="B143" s="139" t="s">
        <v>1845</v>
      </c>
      <c r="C143" s="140">
        <v>71.0</v>
      </c>
      <c r="D143" s="140">
        <v>71.0</v>
      </c>
      <c r="E143" s="140">
        <v>71.0</v>
      </c>
      <c r="F143" s="139" t="s">
        <v>1846</v>
      </c>
      <c r="G143" s="140">
        <v>71.0</v>
      </c>
    </row>
    <row r="144">
      <c r="A144" s="140">
        <v>4433.0</v>
      </c>
      <c r="B144" s="139" t="s">
        <v>1847</v>
      </c>
      <c r="C144" s="140">
        <v>64.0</v>
      </c>
      <c r="D144" s="140">
        <v>64.0</v>
      </c>
      <c r="E144" s="140">
        <v>64.0</v>
      </c>
      <c r="F144" s="139" t="s">
        <v>1848</v>
      </c>
      <c r="G144" s="140">
        <v>64.0</v>
      </c>
    </row>
    <row r="145">
      <c r="A145" s="140">
        <v>4459.0</v>
      </c>
      <c r="B145" s="139" t="s">
        <v>1849</v>
      </c>
      <c r="C145" s="140">
        <v>24.0</v>
      </c>
      <c r="D145" s="140">
        <v>24.0</v>
      </c>
      <c r="E145" s="140">
        <v>24.0</v>
      </c>
      <c r="F145" s="139" t="s">
        <v>1850</v>
      </c>
      <c r="G145" s="140">
        <v>24.0</v>
      </c>
    </row>
    <row r="146">
      <c r="A146" s="140">
        <v>4461.0</v>
      </c>
      <c r="B146" s="139" t="s">
        <v>1851</v>
      </c>
      <c r="C146" s="140">
        <v>16.0</v>
      </c>
      <c r="D146" s="140">
        <v>16.0</v>
      </c>
      <c r="E146" s="140">
        <v>16.0</v>
      </c>
      <c r="F146" s="139" t="s">
        <v>1783</v>
      </c>
      <c r="G146" s="140">
        <v>16.0</v>
      </c>
    </row>
    <row r="147">
      <c r="A147" s="140">
        <v>4463.0</v>
      </c>
      <c r="B147" s="139" t="s">
        <v>1852</v>
      </c>
      <c r="C147" s="140">
        <v>7.0</v>
      </c>
      <c r="D147" s="140">
        <v>3.0</v>
      </c>
      <c r="E147" s="140">
        <v>7.0</v>
      </c>
      <c r="F147" s="139" t="s">
        <v>1853</v>
      </c>
      <c r="G147" s="140">
        <v>3.0</v>
      </c>
    </row>
    <row r="148">
      <c r="A148" s="140">
        <v>4465.0</v>
      </c>
      <c r="B148" s="139" t="s">
        <v>1854</v>
      </c>
      <c r="C148" s="140">
        <v>24.0</v>
      </c>
      <c r="D148" s="140">
        <v>24.0</v>
      </c>
      <c r="E148" s="140">
        <v>24.0</v>
      </c>
      <c r="F148" s="139" t="s">
        <v>1850</v>
      </c>
      <c r="G148" s="140">
        <v>24.0</v>
      </c>
    </row>
    <row r="149">
      <c r="A149" s="140">
        <v>4479.0</v>
      </c>
      <c r="B149" s="139" t="s">
        <v>1855</v>
      </c>
      <c r="D149" s="142"/>
      <c r="E149" s="142"/>
      <c r="F149" s="142"/>
      <c r="G149" s="266" t="s">
        <v>1672</v>
      </c>
    </row>
    <row r="150">
      <c r="A150" s="140">
        <v>4486.0</v>
      </c>
      <c r="B150" s="139" t="s">
        <v>1856</v>
      </c>
      <c r="C150" s="140">
        <v>26.0</v>
      </c>
      <c r="D150" s="140">
        <v>26.0</v>
      </c>
      <c r="E150" s="140">
        <v>37.0</v>
      </c>
      <c r="F150" s="139" t="s">
        <v>1857</v>
      </c>
      <c r="G150" s="140">
        <v>37.0</v>
      </c>
    </row>
    <row r="151">
      <c r="A151" s="140">
        <v>4493.0</v>
      </c>
      <c r="B151" s="139" t="s">
        <v>1858</v>
      </c>
      <c r="D151" s="142"/>
      <c r="E151" s="142"/>
      <c r="F151" s="142"/>
      <c r="G151" s="266" t="s">
        <v>1672</v>
      </c>
    </row>
    <row r="152">
      <c r="A152" s="140">
        <v>4498.0</v>
      </c>
      <c r="B152" s="139" t="s">
        <v>1859</v>
      </c>
      <c r="D152" s="142"/>
      <c r="E152" s="142"/>
      <c r="F152" s="142"/>
      <c r="G152" s="266" t="s">
        <v>1672</v>
      </c>
    </row>
    <row r="153">
      <c r="A153" s="140">
        <v>4502.0</v>
      </c>
      <c r="B153" s="139" t="s">
        <v>1860</v>
      </c>
      <c r="C153" s="140">
        <v>15.0</v>
      </c>
      <c r="D153" s="140">
        <v>15.0</v>
      </c>
      <c r="E153" s="140">
        <v>15.0</v>
      </c>
      <c r="F153" s="139" t="s">
        <v>1674</v>
      </c>
      <c r="G153" s="140">
        <v>15.0</v>
      </c>
    </row>
    <row r="154">
      <c r="A154" s="140">
        <v>4510.0</v>
      </c>
      <c r="B154" s="139" t="s">
        <v>1861</v>
      </c>
      <c r="C154" s="140">
        <v>242.0</v>
      </c>
      <c r="D154" s="140">
        <v>242.0</v>
      </c>
      <c r="E154" s="140">
        <v>242.0</v>
      </c>
      <c r="F154" s="139" t="s">
        <v>1862</v>
      </c>
      <c r="G154" s="140">
        <v>242.0</v>
      </c>
    </row>
    <row r="155">
      <c r="A155" s="140">
        <v>4530.0</v>
      </c>
      <c r="B155" s="139" t="s">
        <v>1863</v>
      </c>
      <c r="E155" s="142"/>
      <c r="F155" s="142"/>
      <c r="G155" s="266" t="s">
        <v>1672</v>
      </c>
    </row>
    <row r="156">
      <c r="A156" s="140">
        <v>4662.0</v>
      </c>
      <c r="B156" s="139" t="s">
        <v>1864</v>
      </c>
      <c r="C156" s="140">
        <v>7.0</v>
      </c>
      <c r="D156" s="140">
        <v>7.0</v>
      </c>
      <c r="E156" s="140">
        <v>7.0</v>
      </c>
      <c r="F156" s="139" t="s">
        <v>1865</v>
      </c>
      <c r="G156" s="140">
        <v>7.0</v>
      </c>
    </row>
    <row r="157">
      <c r="A157" s="140">
        <v>4665.0</v>
      </c>
      <c r="B157" s="139" t="s">
        <v>1866</v>
      </c>
      <c r="C157" s="140">
        <v>13.0</v>
      </c>
      <c r="D157" s="140">
        <v>13.0</v>
      </c>
      <c r="E157" s="140">
        <v>13.0</v>
      </c>
      <c r="F157" s="139" t="s">
        <v>1726</v>
      </c>
      <c r="G157" s="140">
        <v>13.0</v>
      </c>
    </row>
    <row r="158">
      <c r="A158" s="140">
        <v>4686.0</v>
      </c>
      <c r="B158" s="139" t="s">
        <v>1867</v>
      </c>
      <c r="C158" s="140">
        <v>40.0</v>
      </c>
      <c r="D158" s="140">
        <v>40.0</v>
      </c>
      <c r="E158" s="140">
        <v>40.0</v>
      </c>
      <c r="F158" s="139" t="s">
        <v>1868</v>
      </c>
      <c r="G158" s="140">
        <v>40.0</v>
      </c>
    </row>
    <row r="159">
      <c r="A159" s="140">
        <v>4730.0</v>
      </c>
      <c r="B159" s="139" t="s">
        <v>1869</v>
      </c>
      <c r="C159" s="140">
        <v>176.0</v>
      </c>
      <c r="D159" s="140">
        <v>176.0</v>
      </c>
      <c r="E159" s="140">
        <v>305.0</v>
      </c>
      <c r="F159" s="139" t="s">
        <v>1870</v>
      </c>
      <c r="G159" s="140">
        <v>305.0</v>
      </c>
    </row>
    <row r="160">
      <c r="A160" s="140">
        <v>4734.0</v>
      </c>
      <c r="B160" s="139" t="s">
        <v>1871</v>
      </c>
      <c r="C160" s="140">
        <v>24.0</v>
      </c>
      <c r="D160" s="140">
        <v>24.0</v>
      </c>
      <c r="E160" s="140">
        <v>24.0</v>
      </c>
      <c r="F160" s="139" t="s">
        <v>1850</v>
      </c>
      <c r="G160" s="140">
        <v>24.0</v>
      </c>
    </row>
    <row r="161">
      <c r="A161" s="140">
        <v>4751.0</v>
      </c>
      <c r="B161" s="139" t="s">
        <v>1872</v>
      </c>
      <c r="C161" s="140">
        <v>25.0</v>
      </c>
      <c r="D161" s="140">
        <v>25.0</v>
      </c>
      <c r="E161" s="140">
        <v>25.0</v>
      </c>
      <c r="F161" s="139" t="s">
        <v>1728</v>
      </c>
      <c r="G161" s="140">
        <v>25.0</v>
      </c>
    </row>
    <row r="162">
      <c r="A162" s="140">
        <v>4772.0</v>
      </c>
      <c r="B162" s="139" t="s">
        <v>321</v>
      </c>
      <c r="C162" s="140">
        <v>55.0</v>
      </c>
      <c r="D162" s="140">
        <v>55.0</v>
      </c>
      <c r="E162" s="140">
        <v>55.0</v>
      </c>
      <c r="F162" s="139" t="s">
        <v>1873</v>
      </c>
      <c r="G162" s="140">
        <v>55.0</v>
      </c>
    </row>
    <row r="163">
      <c r="A163" s="140">
        <v>4777.0</v>
      </c>
      <c r="B163" s="139" t="s">
        <v>1874</v>
      </c>
      <c r="C163" s="140">
        <v>201.0</v>
      </c>
      <c r="D163" s="140">
        <v>201.0</v>
      </c>
      <c r="E163" s="140">
        <v>201.0</v>
      </c>
      <c r="F163" s="139" t="s">
        <v>1875</v>
      </c>
      <c r="G163" s="140">
        <v>201.0</v>
      </c>
    </row>
    <row r="164">
      <c r="A164" s="140">
        <v>4777.0</v>
      </c>
      <c r="B164" s="139" t="s">
        <v>1874</v>
      </c>
      <c r="C164" s="140">
        <v>201.0</v>
      </c>
      <c r="D164" s="140">
        <v>201.0</v>
      </c>
      <c r="E164" s="140">
        <v>201.0</v>
      </c>
      <c r="F164" s="139" t="s">
        <v>1875</v>
      </c>
      <c r="G164" s="140">
        <v>201.0</v>
      </c>
    </row>
    <row r="165">
      <c r="A165" s="140">
        <v>4811.0</v>
      </c>
      <c r="B165" s="139" t="s">
        <v>700</v>
      </c>
      <c r="D165" s="142"/>
      <c r="E165" s="142"/>
      <c r="F165" s="142"/>
      <c r="G165" s="266" t="s">
        <v>1672</v>
      </c>
    </row>
    <row r="166">
      <c r="A166" s="140">
        <v>4816.0</v>
      </c>
      <c r="B166" s="139" t="s">
        <v>688</v>
      </c>
      <c r="D166" s="142"/>
      <c r="E166" s="142"/>
      <c r="F166" s="142"/>
      <c r="G166" s="266" t="s">
        <v>1672</v>
      </c>
    </row>
    <row r="167">
      <c r="A167" s="140">
        <v>4816.0</v>
      </c>
      <c r="B167" s="139" t="s">
        <v>688</v>
      </c>
      <c r="D167" s="142"/>
      <c r="E167" s="142"/>
      <c r="F167" s="142"/>
      <c r="G167" s="266" t="s">
        <v>1672</v>
      </c>
    </row>
    <row r="168">
      <c r="A168" s="140">
        <v>4856.0</v>
      </c>
      <c r="B168" s="139" t="s">
        <v>1876</v>
      </c>
      <c r="C168" s="140">
        <v>9.0</v>
      </c>
      <c r="D168" s="140">
        <v>9.0</v>
      </c>
      <c r="E168" s="140">
        <v>9.0</v>
      </c>
      <c r="F168" s="139" t="s">
        <v>1706</v>
      </c>
      <c r="G168" s="140">
        <v>9.0</v>
      </c>
    </row>
    <row r="169">
      <c r="A169" s="140">
        <v>4867.0</v>
      </c>
      <c r="B169" s="139" t="s">
        <v>1877</v>
      </c>
      <c r="C169" s="140">
        <v>13.0</v>
      </c>
      <c r="D169" s="140">
        <v>13.0</v>
      </c>
      <c r="E169" s="140">
        <v>13.0</v>
      </c>
      <c r="F169" s="139" t="s">
        <v>1726</v>
      </c>
      <c r="G169" s="140">
        <v>13.0</v>
      </c>
    </row>
    <row r="170">
      <c r="A170" s="140">
        <v>4870.0</v>
      </c>
      <c r="B170" s="139" t="s">
        <v>1878</v>
      </c>
      <c r="C170" s="140">
        <v>15.0</v>
      </c>
      <c r="D170" s="140">
        <v>15.0</v>
      </c>
      <c r="E170" s="140">
        <v>15.0</v>
      </c>
      <c r="F170" s="139" t="s">
        <v>1674</v>
      </c>
      <c r="G170" s="140">
        <v>15.0</v>
      </c>
    </row>
    <row r="171">
      <c r="A171" s="140">
        <v>4871.0</v>
      </c>
      <c r="B171" s="139" t="s">
        <v>1879</v>
      </c>
      <c r="C171" s="140">
        <v>313.0</v>
      </c>
      <c r="D171" s="140">
        <v>313.0</v>
      </c>
      <c r="E171" s="140">
        <v>318.0</v>
      </c>
      <c r="F171" s="139" t="s">
        <v>1880</v>
      </c>
      <c r="G171" s="140">
        <v>318.0</v>
      </c>
    </row>
    <row r="172">
      <c r="A172" s="140">
        <v>4887.0</v>
      </c>
      <c r="B172" s="139" t="s">
        <v>1881</v>
      </c>
      <c r="C172" s="140">
        <v>52.0</v>
      </c>
      <c r="D172" s="140">
        <v>49.0</v>
      </c>
      <c r="E172" s="140">
        <v>52.0</v>
      </c>
      <c r="F172" s="139" t="s">
        <v>1882</v>
      </c>
      <c r="G172" s="140">
        <v>49.0</v>
      </c>
    </row>
    <row r="173">
      <c r="A173" s="140">
        <v>4890.0</v>
      </c>
      <c r="B173" s="139" t="s">
        <v>1883</v>
      </c>
      <c r="C173" s="140">
        <v>14.0</v>
      </c>
      <c r="D173" s="140">
        <v>14.0</v>
      </c>
      <c r="E173" s="140">
        <v>14.0</v>
      </c>
      <c r="F173" s="139" t="s">
        <v>1754</v>
      </c>
      <c r="G173" s="140">
        <v>14.0</v>
      </c>
    </row>
    <row r="174">
      <c r="A174" s="140">
        <v>4892.0</v>
      </c>
      <c r="B174" s="139" t="s">
        <v>1884</v>
      </c>
      <c r="C174" s="140">
        <v>40.0</v>
      </c>
      <c r="D174" s="140">
        <v>40.0</v>
      </c>
      <c r="E174" s="140">
        <v>46.0</v>
      </c>
      <c r="F174" s="139" t="s">
        <v>1885</v>
      </c>
      <c r="G174" s="140">
        <v>46.0</v>
      </c>
    </row>
    <row r="175">
      <c r="A175" s="140">
        <v>4896.0</v>
      </c>
      <c r="B175" s="139" t="s">
        <v>1886</v>
      </c>
      <c r="C175" s="140">
        <v>23.0</v>
      </c>
      <c r="D175" s="140">
        <v>23.0</v>
      </c>
      <c r="E175" s="140">
        <v>23.0</v>
      </c>
      <c r="F175" s="139" t="s">
        <v>1683</v>
      </c>
      <c r="G175" s="140">
        <v>23.0</v>
      </c>
    </row>
    <row r="176">
      <c r="A176" s="140">
        <v>4896.0</v>
      </c>
      <c r="B176" s="139" t="s">
        <v>1886</v>
      </c>
      <c r="C176" s="140">
        <v>23.0</v>
      </c>
      <c r="D176" s="140">
        <v>23.0</v>
      </c>
      <c r="E176" s="140">
        <v>23.0</v>
      </c>
      <c r="F176" s="139" t="s">
        <v>1683</v>
      </c>
      <c r="G176" s="140">
        <v>23.0</v>
      </c>
    </row>
    <row r="177">
      <c r="A177" s="140">
        <v>4911.0</v>
      </c>
      <c r="B177" s="139" t="s">
        <v>754</v>
      </c>
      <c r="C177" s="140">
        <v>6.0</v>
      </c>
      <c r="D177" s="140">
        <v>6.0</v>
      </c>
      <c r="E177" s="140">
        <v>6.0</v>
      </c>
      <c r="F177" s="139" t="s">
        <v>1887</v>
      </c>
      <c r="G177" s="140">
        <v>6.0</v>
      </c>
    </row>
    <row r="178">
      <c r="A178" s="140">
        <v>4923.0</v>
      </c>
      <c r="B178" s="139" t="s">
        <v>1888</v>
      </c>
      <c r="C178" s="140">
        <v>36.0</v>
      </c>
      <c r="D178" s="140">
        <v>36.0</v>
      </c>
      <c r="E178" s="140">
        <v>40.0</v>
      </c>
      <c r="F178" s="139" t="s">
        <v>1889</v>
      </c>
      <c r="G178" s="140">
        <v>40.0</v>
      </c>
    </row>
    <row r="179">
      <c r="A179" s="140">
        <v>4923.0</v>
      </c>
      <c r="B179" s="139" t="s">
        <v>1888</v>
      </c>
      <c r="C179" s="140">
        <v>36.0</v>
      </c>
      <c r="D179" s="140">
        <v>36.0</v>
      </c>
      <c r="E179" s="140">
        <v>40.0</v>
      </c>
      <c r="F179" s="139" t="s">
        <v>1889</v>
      </c>
      <c r="G179" s="140">
        <v>40.0</v>
      </c>
    </row>
    <row r="180">
      <c r="A180" s="140">
        <v>4925.0</v>
      </c>
      <c r="B180" s="139" t="s">
        <v>1890</v>
      </c>
      <c r="D180" s="142"/>
      <c r="E180" s="142"/>
      <c r="F180" s="142"/>
      <c r="G180" s="266" t="s">
        <v>1672</v>
      </c>
    </row>
    <row r="181">
      <c r="A181" s="140">
        <v>4947.0</v>
      </c>
      <c r="B181" s="139" t="s">
        <v>1891</v>
      </c>
      <c r="C181" s="140">
        <v>23.0</v>
      </c>
      <c r="D181" s="140">
        <v>23.0</v>
      </c>
      <c r="E181" s="140">
        <v>23.0</v>
      </c>
      <c r="F181" s="139" t="s">
        <v>1683</v>
      </c>
      <c r="G181" s="140">
        <v>23.0</v>
      </c>
    </row>
    <row r="182">
      <c r="A182" s="140">
        <v>4947.0</v>
      </c>
      <c r="B182" s="139" t="s">
        <v>1891</v>
      </c>
      <c r="C182" s="140">
        <v>23.0</v>
      </c>
      <c r="D182" s="140">
        <v>23.0</v>
      </c>
      <c r="E182" s="140">
        <v>23.0</v>
      </c>
      <c r="F182" s="139" t="s">
        <v>1683</v>
      </c>
      <c r="G182" s="140">
        <v>23.0</v>
      </c>
    </row>
    <row r="183">
      <c r="A183" s="140">
        <v>4957.0</v>
      </c>
      <c r="B183" s="139" t="s">
        <v>1892</v>
      </c>
      <c r="C183" s="140">
        <v>10.0</v>
      </c>
      <c r="D183" s="140">
        <v>10.0</v>
      </c>
      <c r="E183" s="140">
        <v>10.0</v>
      </c>
      <c r="F183" s="139" t="s">
        <v>1666</v>
      </c>
      <c r="G183" s="140">
        <v>10.0</v>
      </c>
    </row>
    <row r="184">
      <c r="A184" s="140">
        <v>4957.0</v>
      </c>
      <c r="B184" s="139" t="s">
        <v>1892</v>
      </c>
      <c r="C184" s="140">
        <v>10.0</v>
      </c>
      <c r="D184" s="140">
        <v>10.0</v>
      </c>
      <c r="E184" s="140">
        <v>10.0</v>
      </c>
      <c r="F184" s="139" t="s">
        <v>1666</v>
      </c>
      <c r="G184" s="140">
        <v>10.0</v>
      </c>
    </row>
    <row r="185">
      <c r="A185" s="140">
        <v>4965.0</v>
      </c>
      <c r="B185" s="139" t="s">
        <v>1893</v>
      </c>
      <c r="D185" s="142"/>
      <c r="E185" s="142"/>
      <c r="F185" s="142"/>
      <c r="G185" s="266" t="s">
        <v>1672</v>
      </c>
    </row>
    <row r="186">
      <c r="A186" s="140">
        <v>4970.0</v>
      </c>
      <c r="B186" s="139" t="s">
        <v>1894</v>
      </c>
      <c r="C186" s="140">
        <v>18.0</v>
      </c>
      <c r="D186" s="140">
        <v>18.0</v>
      </c>
      <c r="E186" s="140">
        <v>18.0</v>
      </c>
      <c r="F186" s="139" t="s">
        <v>1700</v>
      </c>
      <c r="G186" s="140">
        <v>18.0</v>
      </c>
    </row>
    <row r="187">
      <c r="A187" s="140">
        <v>4973.0</v>
      </c>
      <c r="B187" s="139" t="s">
        <v>1895</v>
      </c>
      <c r="C187" s="140">
        <v>25.0</v>
      </c>
      <c r="D187" s="140">
        <v>25.0</v>
      </c>
      <c r="E187" s="140">
        <v>26.0</v>
      </c>
      <c r="F187" s="139" t="s">
        <v>1896</v>
      </c>
      <c r="G187" s="140">
        <v>26.0</v>
      </c>
    </row>
    <row r="188">
      <c r="A188" s="140">
        <v>4973.0</v>
      </c>
      <c r="B188" s="139" t="s">
        <v>1895</v>
      </c>
      <c r="C188" s="140">
        <v>25.0</v>
      </c>
      <c r="D188" s="140">
        <v>25.0</v>
      </c>
      <c r="E188" s="140">
        <v>26.0</v>
      </c>
      <c r="F188" s="139" t="s">
        <v>1896</v>
      </c>
      <c r="G188" s="140">
        <v>26.0</v>
      </c>
    </row>
    <row r="189">
      <c r="A189" s="140">
        <v>4976.0</v>
      </c>
      <c r="B189" s="139" t="s">
        <v>1897</v>
      </c>
      <c r="C189" s="140">
        <v>26.0</v>
      </c>
      <c r="D189" s="140">
        <v>26.0</v>
      </c>
      <c r="E189" s="140">
        <v>26.0</v>
      </c>
      <c r="F189" s="139" t="s">
        <v>1708</v>
      </c>
      <c r="G189" s="140">
        <v>26.0</v>
      </c>
    </row>
    <row r="190">
      <c r="A190" s="140">
        <v>4982.0</v>
      </c>
      <c r="B190" s="139" t="s">
        <v>1898</v>
      </c>
      <c r="C190" s="140">
        <v>7.0</v>
      </c>
      <c r="D190" s="140">
        <v>7.0</v>
      </c>
      <c r="E190" s="140">
        <v>7.0</v>
      </c>
      <c r="F190" s="139" t="s">
        <v>1865</v>
      </c>
      <c r="G190" s="140">
        <v>7.0</v>
      </c>
    </row>
    <row r="191">
      <c r="A191" s="140">
        <v>4994.0</v>
      </c>
      <c r="B191" s="139" t="s">
        <v>1899</v>
      </c>
      <c r="C191" s="140">
        <v>10.0</v>
      </c>
      <c r="D191" s="140">
        <v>10.0</v>
      </c>
      <c r="E191" s="140">
        <v>10.0</v>
      </c>
      <c r="F191" s="139" t="s">
        <v>1666</v>
      </c>
      <c r="G191" s="140">
        <v>10.0</v>
      </c>
    </row>
    <row r="192">
      <c r="A192" s="140">
        <v>5007.0</v>
      </c>
      <c r="B192" s="139" t="s">
        <v>1900</v>
      </c>
      <c r="C192" s="140">
        <v>12.0</v>
      </c>
      <c r="D192" s="140">
        <v>12.0</v>
      </c>
      <c r="E192" s="140">
        <v>12.0</v>
      </c>
      <c r="F192" s="139" t="s">
        <v>1670</v>
      </c>
      <c r="G192" s="140">
        <v>12.0</v>
      </c>
    </row>
    <row r="193">
      <c r="A193" s="140">
        <v>5010.0</v>
      </c>
      <c r="B193" s="139" t="s">
        <v>1901</v>
      </c>
      <c r="C193" s="140">
        <v>17.0</v>
      </c>
      <c r="D193" s="140">
        <v>16.0</v>
      </c>
      <c r="E193" s="140">
        <v>17.0</v>
      </c>
      <c r="F193" s="139" t="s">
        <v>1902</v>
      </c>
      <c r="G193" s="140">
        <v>16.0</v>
      </c>
    </row>
    <row r="194">
      <c r="A194" s="140">
        <v>5022.0</v>
      </c>
      <c r="B194" s="139" t="s">
        <v>1903</v>
      </c>
      <c r="C194" s="140">
        <v>21.0</v>
      </c>
      <c r="D194" s="140">
        <v>21.0</v>
      </c>
      <c r="E194" s="140">
        <v>21.0</v>
      </c>
      <c r="F194" s="139" t="s">
        <v>1821</v>
      </c>
      <c r="G194" s="140">
        <v>21.0</v>
      </c>
    </row>
    <row r="195">
      <c r="A195" s="140">
        <v>5036.0</v>
      </c>
      <c r="B195" s="139" t="s">
        <v>1904</v>
      </c>
      <c r="C195" s="140">
        <v>24.0</v>
      </c>
      <c r="D195" s="140">
        <v>24.0</v>
      </c>
      <c r="E195" s="140">
        <v>27.0</v>
      </c>
      <c r="F195" s="139" t="s">
        <v>1905</v>
      </c>
      <c r="G195" s="140">
        <v>27.0</v>
      </c>
    </row>
    <row r="196">
      <c r="A196" s="140">
        <v>5079.0</v>
      </c>
      <c r="B196" s="139" t="s">
        <v>1906</v>
      </c>
      <c r="D196" s="142"/>
      <c r="E196" s="142"/>
      <c r="F196" s="142"/>
      <c r="G196" s="266" t="s">
        <v>1672</v>
      </c>
    </row>
    <row r="197">
      <c r="A197" s="140">
        <v>5116.0</v>
      </c>
      <c r="B197" s="139" t="s">
        <v>1907</v>
      </c>
      <c r="C197" s="140">
        <v>5.0</v>
      </c>
      <c r="D197" s="140">
        <v>5.0</v>
      </c>
      <c r="E197" s="140">
        <v>5.0</v>
      </c>
      <c r="F197" s="139" t="s">
        <v>1686</v>
      </c>
      <c r="G197" s="140">
        <v>5.0</v>
      </c>
    </row>
    <row r="198">
      <c r="A198" s="140">
        <v>5119.0</v>
      </c>
      <c r="B198" s="139" t="s">
        <v>1908</v>
      </c>
      <c r="C198" s="140">
        <v>31.0</v>
      </c>
      <c r="D198" s="140">
        <v>31.0</v>
      </c>
      <c r="E198" s="140">
        <v>31.0</v>
      </c>
      <c r="F198" s="139" t="s">
        <v>1909</v>
      </c>
      <c r="G198" s="140">
        <v>31.0</v>
      </c>
    </row>
    <row r="199">
      <c r="A199" s="140">
        <v>5119.0</v>
      </c>
      <c r="B199" s="139" t="s">
        <v>1908</v>
      </c>
      <c r="C199" s="140">
        <v>31.0</v>
      </c>
      <c r="D199" s="140">
        <v>31.0</v>
      </c>
      <c r="E199" s="140">
        <v>31.0</v>
      </c>
      <c r="F199" s="139" t="s">
        <v>1909</v>
      </c>
      <c r="G199" s="140">
        <v>31.0</v>
      </c>
    </row>
    <row r="200">
      <c r="A200" s="140">
        <v>5119.0</v>
      </c>
      <c r="B200" s="139" t="s">
        <v>1908</v>
      </c>
      <c r="C200" s="140">
        <v>31.0</v>
      </c>
      <c r="D200" s="140">
        <v>31.0</v>
      </c>
      <c r="E200" s="140">
        <v>31.0</v>
      </c>
      <c r="F200" s="139" t="s">
        <v>1909</v>
      </c>
      <c r="G200" s="140">
        <v>31.0</v>
      </c>
    </row>
    <row r="201">
      <c r="A201" s="140">
        <v>5131.0</v>
      </c>
      <c r="B201" s="139" t="s">
        <v>1910</v>
      </c>
      <c r="C201" s="140">
        <v>12.0</v>
      </c>
      <c r="D201" s="140">
        <v>12.0</v>
      </c>
      <c r="E201" s="140">
        <v>12.0</v>
      </c>
      <c r="F201" s="139" t="s">
        <v>1670</v>
      </c>
      <c r="G201" s="140">
        <v>12.0</v>
      </c>
    </row>
    <row r="202">
      <c r="A202" s="140">
        <v>5131.0</v>
      </c>
      <c r="B202" s="139" t="s">
        <v>1910</v>
      </c>
      <c r="C202" s="140">
        <v>12.0</v>
      </c>
      <c r="D202" s="140">
        <v>12.0</v>
      </c>
      <c r="E202" s="140">
        <v>12.0</v>
      </c>
      <c r="F202" s="139" t="s">
        <v>1670</v>
      </c>
      <c r="G202" s="140">
        <v>12.0</v>
      </c>
    </row>
    <row r="203">
      <c r="A203" s="140">
        <v>5290.0</v>
      </c>
      <c r="B203" s="139" t="s">
        <v>1911</v>
      </c>
      <c r="C203" s="140">
        <v>3.0</v>
      </c>
      <c r="D203" s="140">
        <v>3.0</v>
      </c>
      <c r="E203" s="140">
        <v>3.0</v>
      </c>
      <c r="F203" s="139" t="s">
        <v>1912</v>
      </c>
      <c r="G203" s="140">
        <v>3.0</v>
      </c>
    </row>
    <row r="204">
      <c r="A204" s="140">
        <v>5290.0</v>
      </c>
      <c r="B204" s="139" t="s">
        <v>1911</v>
      </c>
      <c r="C204" s="140">
        <v>3.0</v>
      </c>
      <c r="D204" s="140">
        <v>3.0</v>
      </c>
      <c r="E204" s="140">
        <v>3.0</v>
      </c>
      <c r="F204" s="139" t="s">
        <v>1912</v>
      </c>
      <c r="G204" s="140">
        <v>3.0</v>
      </c>
    </row>
    <row r="205">
      <c r="A205" s="140">
        <v>5297.0</v>
      </c>
      <c r="B205" s="139" t="s">
        <v>1913</v>
      </c>
      <c r="C205" s="140">
        <v>22.0</v>
      </c>
      <c r="D205" s="140">
        <v>22.0</v>
      </c>
      <c r="E205" s="140">
        <v>22.0</v>
      </c>
      <c r="F205" s="139" t="s">
        <v>1703</v>
      </c>
      <c r="G205" s="140">
        <v>22.0</v>
      </c>
    </row>
    <row r="206">
      <c r="A206" s="140">
        <v>5298.0</v>
      </c>
      <c r="B206" s="139" t="s">
        <v>1914</v>
      </c>
      <c r="C206" s="140">
        <v>24.0</v>
      </c>
      <c r="D206" s="140">
        <v>24.0</v>
      </c>
      <c r="E206" s="140">
        <v>24.0</v>
      </c>
      <c r="F206" s="139" t="s">
        <v>1850</v>
      </c>
      <c r="G206" s="140">
        <v>24.0</v>
      </c>
    </row>
    <row r="207">
      <c r="A207" s="140">
        <v>5307.0</v>
      </c>
      <c r="B207" s="139" t="s">
        <v>1915</v>
      </c>
      <c r="C207" s="140">
        <v>9.0</v>
      </c>
      <c r="D207" s="140">
        <v>9.0</v>
      </c>
      <c r="E207" s="140">
        <v>9.0</v>
      </c>
      <c r="F207" s="139" t="s">
        <v>1706</v>
      </c>
      <c r="G207" s="140">
        <v>9.0</v>
      </c>
    </row>
    <row r="208">
      <c r="A208" s="140">
        <v>5319.0</v>
      </c>
      <c r="B208" s="139" t="s">
        <v>1916</v>
      </c>
      <c r="C208" s="140">
        <v>33.0</v>
      </c>
      <c r="D208" s="140">
        <v>33.0</v>
      </c>
      <c r="E208" s="140">
        <v>33.0</v>
      </c>
      <c r="F208" s="139" t="s">
        <v>1917</v>
      </c>
      <c r="G208" s="140">
        <v>33.0</v>
      </c>
    </row>
    <row r="209">
      <c r="A209" s="140">
        <v>5322.0</v>
      </c>
      <c r="B209" s="139" t="s">
        <v>1918</v>
      </c>
      <c r="D209" s="142"/>
      <c r="E209" s="142"/>
      <c r="F209" s="142"/>
      <c r="G209" s="266" t="s">
        <v>1672</v>
      </c>
    </row>
    <row r="210">
      <c r="A210" s="140">
        <v>5322.0</v>
      </c>
      <c r="B210" s="139" t="s">
        <v>1918</v>
      </c>
      <c r="D210" s="142"/>
      <c r="E210" s="142"/>
      <c r="F210" s="142"/>
      <c r="G210" s="266" t="s">
        <v>1672</v>
      </c>
    </row>
    <row r="211">
      <c r="A211" s="140">
        <v>5353.0</v>
      </c>
      <c r="B211" s="139" t="s">
        <v>1919</v>
      </c>
      <c r="C211" s="140">
        <v>7.0</v>
      </c>
      <c r="D211" s="140">
        <v>7.0</v>
      </c>
      <c r="E211" s="140">
        <v>7.0</v>
      </c>
      <c r="F211" s="139" t="s">
        <v>1865</v>
      </c>
      <c r="G211" s="140">
        <v>7.0</v>
      </c>
    </row>
    <row r="212">
      <c r="A212" s="140">
        <v>5354.0</v>
      </c>
      <c r="B212" s="139" t="s">
        <v>1920</v>
      </c>
      <c r="D212" s="142"/>
      <c r="E212" s="142"/>
      <c r="F212" s="142"/>
      <c r="G212" s="266" t="s">
        <v>1672</v>
      </c>
    </row>
    <row r="213">
      <c r="A213" s="140">
        <v>5393.0</v>
      </c>
      <c r="B213" s="139" t="s">
        <v>1921</v>
      </c>
      <c r="C213" s="140">
        <v>15.0</v>
      </c>
      <c r="D213" s="140">
        <v>15.0</v>
      </c>
      <c r="E213" s="140">
        <v>30.0</v>
      </c>
      <c r="F213" s="139" t="s">
        <v>1922</v>
      </c>
      <c r="G213" s="140">
        <v>30.0</v>
      </c>
    </row>
    <row r="214">
      <c r="A214" s="140">
        <v>5422.0</v>
      </c>
      <c r="B214" s="139" t="s">
        <v>1923</v>
      </c>
      <c r="C214" s="140">
        <v>11.0</v>
      </c>
      <c r="D214" s="140">
        <v>11.0</v>
      </c>
      <c r="E214" s="140">
        <v>11.0</v>
      </c>
      <c r="F214" s="139" t="s">
        <v>1764</v>
      </c>
      <c r="G214" s="140">
        <v>11.0</v>
      </c>
    </row>
    <row r="215">
      <c r="A215" s="140">
        <v>5423.0</v>
      </c>
      <c r="B215" s="139" t="s">
        <v>1924</v>
      </c>
      <c r="D215" s="142"/>
      <c r="E215" s="142"/>
      <c r="F215" s="142"/>
      <c r="G215" s="266" t="s">
        <v>1672</v>
      </c>
    </row>
    <row r="216">
      <c r="A216" s="140">
        <v>5425.0</v>
      </c>
      <c r="B216" s="139" t="s">
        <v>1925</v>
      </c>
      <c r="D216" s="142"/>
      <c r="E216" s="142"/>
      <c r="F216" s="142"/>
      <c r="G216" s="266" t="s">
        <v>1672</v>
      </c>
    </row>
    <row r="217">
      <c r="A217" s="140">
        <v>5435.0</v>
      </c>
      <c r="B217" s="139" t="s">
        <v>1926</v>
      </c>
      <c r="C217" s="140">
        <v>7.0</v>
      </c>
      <c r="D217" s="140">
        <v>7.0</v>
      </c>
      <c r="E217" s="140">
        <v>7.0</v>
      </c>
      <c r="F217" s="139" t="s">
        <v>1865</v>
      </c>
      <c r="G217" s="140">
        <v>7.0</v>
      </c>
    </row>
    <row r="218">
      <c r="A218" s="140">
        <v>5449.0</v>
      </c>
      <c r="B218" s="139" t="s">
        <v>1927</v>
      </c>
      <c r="C218" s="140">
        <v>10.0</v>
      </c>
      <c r="D218" s="140">
        <v>10.0</v>
      </c>
      <c r="E218" s="140">
        <v>10.0</v>
      </c>
      <c r="F218" s="139" t="s">
        <v>1666</v>
      </c>
      <c r="G218" s="140">
        <v>10.0</v>
      </c>
    </row>
    <row r="219">
      <c r="A219" s="140">
        <v>5453.0</v>
      </c>
      <c r="B219" s="139" t="s">
        <v>1928</v>
      </c>
      <c r="C219" s="140">
        <v>29.0</v>
      </c>
      <c r="D219" s="140">
        <v>29.0</v>
      </c>
      <c r="E219" s="140">
        <v>29.0</v>
      </c>
      <c r="F219" s="139" t="s">
        <v>1929</v>
      </c>
      <c r="G219" s="140">
        <v>29.0</v>
      </c>
    </row>
    <row r="220">
      <c r="A220" s="140">
        <v>5471.0</v>
      </c>
      <c r="B220" s="139" t="s">
        <v>1930</v>
      </c>
      <c r="C220" s="140">
        <v>19.0</v>
      </c>
      <c r="D220" s="140">
        <v>19.0</v>
      </c>
      <c r="E220" s="140">
        <v>19.0</v>
      </c>
      <c r="F220" s="139" t="s">
        <v>1792</v>
      </c>
      <c r="G220" s="140">
        <v>19.0</v>
      </c>
    </row>
    <row r="221">
      <c r="A221" s="140">
        <v>5481.0</v>
      </c>
      <c r="B221" s="139" t="s">
        <v>1931</v>
      </c>
      <c r="C221" s="140">
        <v>6.0</v>
      </c>
      <c r="D221" s="140">
        <v>6.0</v>
      </c>
      <c r="E221" s="140">
        <v>6.0</v>
      </c>
      <c r="F221" s="139" t="s">
        <v>1887</v>
      </c>
      <c r="G221" s="140">
        <v>6.0</v>
      </c>
    </row>
    <row r="222">
      <c r="A222" s="140">
        <v>5498.0</v>
      </c>
      <c r="B222" s="139" t="s">
        <v>1932</v>
      </c>
      <c r="C222" s="140">
        <v>8.0</v>
      </c>
      <c r="D222" s="140">
        <v>8.0</v>
      </c>
      <c r="E222" s="140">
        <v>8.0</v>
      </c>
      <c r="F222" s="139" t="s">
        <v>1693</v>
      </c>
      <c r="G222" s="140">
        <v>8.0</v>
      </c>
    </row>
    <row r="223">
      <c r="A223" s="140">
        <v>5500.0</v>
      </c>
      <c r="B223" s="139" t="s">
        <v>1933</v>
      </c>
      <c r="C223" s="140">
        <v>6.0</v>
      </c>
      <c r="D223" s="140">
        <v>6.0</v>
      </c>
      <c r="E223" s="140">
        <v>6.0</v>
      </c>
      <c r="F223" s="139" t="s">
        <v>1887</v>
      </c>
      <c r="G223" s="140">
        <v>6.0</v>
      </c>
    </row>
    <row r="224">
      <c r="A224" s="140">
        <v>5513.0</v>
      </c>
      <c r="B224" s="139" t="s">
        <v>1934</v>
      </c>
      <c r="C224" s="140">
        <v>94.0</v>
      </c>
      <c r="D224" s="140">
        <v>94.0</v>
      </c>
      <c r="E224" s="140">
        <v>94.0</v>
      </c>
      <c r="F224" s="139" t="s">
        <v>1935</v>
      </c>
      <c r="G224" s="140">
        <v>94.0</v>
      </c>
    </row>
    <row r="225">
      <c r="A225" s="140">
        <v>5514.0</v>
      </c>
      <c r="B225" s="139" t="s">
        <v>1936</v>
      </c>
      <c r="C225" s="140">
        <v>23.0</v>
      </c>
      <c r="D225" s="140">
        <v>23.0</v>
      </c>
      <c r="E225" s="140">
        <v>23.0</v>
      </c>
      <c r="F225" s="139" t="s">
        <v>1683</v>
      </c>
      <c r="G225" s="140">
        <v>23.0</v>
      </c>
    </row>
    <row r="226">
      <c r="A226" s="140">
        <v>5520.0</v>
      </c>
      <c r="B226" s="139" t="s">
        <v>1937</v>
      </c>
      <c r="C226" s="140">
        <v>60.0</v>
      </c>
      <c r="D226" s="140">
        <v>60.0</v>
      </c>
      <c r="E226" s="140">
        <v>60.0</v>
      </c>
      <c r="F226" s="139" t="s">
        <v>1938</v>
      </c>
      <c r="G226" s="140">
        <v>60.0</v>
      </c>
    </row>
    <row r="227">
      <c r="A227" s="140">
        <v>5526.0</v>
      </c>
      <c r="B227" s="139" t="s">
        <v>1939</v>
      </c>
      <c r="C227" s="140">
        <v>24.0</v>
      </c>
      <c r="D227" s="140">
        <v>24.0</v>
      </c>
      <c r="E227" s="140">
        <v>24.0</v>
      </c>
      <c r="F227" s="139" t="s">
        <v>1850</v>
      </c>
      <c r="G227" s="140">
        <v>24.0</v>
      </c>
    </row>
    <row r="228">
      <c r="A228" s="140">
        <v>5527.0</v>
      </c>
      <c r="B228" s="139" t="s">
        <v>1940</v>
      </c>
      <c r="C228" s="140">
        <v>8.0</v>
      </c>
      <c r="D228" s="140">
        <v>8.0</v>
      </c>
      <c r="E228" s="140">
        <v>8.0</v>
      </c>
      <c r="F228" s="139" t="s">
        <v>1693</v>
      </c>
      <c r="G228" s="140">
        <v>8.0</v>
      </c>
    </row>
    <row r="229">
      <c r="A229" s="140">
        <v>5555.0</v>
      </c>
      <c r="B229" s="139" t="s">
        <v>1941</v>
      </c>
      <c r="C229" s="140">
        <v>19.0</v>
      </c>
      <c r="D229" s="140">
        <v>19.0</v>
      </c>
      <c r="E229" s="140">
        <v>19.0</v>
      </c>
      <c r="F229" s="139" t="s">
        <v>1792</v>
      </c>
      <c r="G229" s="140">
        <v>19.0</v>
      </c>
    </row>
    <row r="230">
      <c r="A230" s="140">
        <v>5559.0</v>
      </c>
      <c r="B230" s="139" t="s">
        <v>1942</v>
      </c>
      <c r="C230" s="140">
        <v>36.0</v>
      </c>
      <c r="D230" s="140">
        <v>36.0</v>
      </c>
      <c r="E230" s="140">
        <v>36.0</v>
      </c>
      <c r="F230" s="139" t="s">
        <v>1943</v>
      </c>
      <c r="G230" s="140">
        <v>36.0</v>
      </c>
    </row>
    <row r="231">
      <c r="A231" s="140">
        <v>5562.0</v>
      </c>
      <c r="B231" s="139" t="s">
        <v>1944</v>
      </c>
      <c r="C231" s="140">
        <v>73.0</v>
      </c>
      <c r="D231" s="140">
        <v>73.0</v>
      </c>
      <c r="E231" s="140">
        <v>73.0</v>
      </c>
      <c r="F231" s="139" t="s">
        <v>1945</v>
      </c>
      <c r="G231" s="140">
        <v>73.0</v>
      </c>
    </row>
    <row r="232">
      <c r="A232" s="140">
        <v>5564.0</v>
      </c>
      <c r="B232" s="139" t="s">
        <v>1946</v>
      </c>
      <c r="C232" s="140">
        <v>60.0</v>
      </c>
      <c r="D232" s="140">
        <v>60.0</v>
      </c>
      <c r="E232" s="140">
        <v>91.0</v>
      </c>
      <c r="F232" s="139" t="s">
        <v>1947</v>
      </c>
      <c r="G232" s="140">
        <v>91.0</v>
      </c>
    </row>
    <row r="233">
      <c r="A233" s="140">
        <v>5564.0</v>
      </c>
      <c r="B233" s="139" t="s">
        <v>1946</v>
      </c>
      <c r="C233" s="140">
        <v>60.0</v>
      </c>
      <c r="D233" s="140">
        <v>60.0</v>
      </c>
      <c r="E233" s="140">
        <v>91.0</v>
      </c>
      <c r="F233" s="139" t="s">
        <v>1947</v>
      </c>
      <c r="G233" s="140">
        <v>91.0</v>
      </c>
    </row>
    <row r="234">
      <c r="A234" s="140">
        <v>5578.0</v>
      </c>
      <c r="B234" s="139" t="s">
        <v>1948</v>
      </c>
      <c r="C234" s="140">
        <v>24.0</v>
      </c>
      <c r="D234" s="140">
        <v>24.0</v>
      </c>
      <c r="E234" s="140">
        <v>24.0</v>
      </c>
      <c r="F234" s="139" t="s">
        <v>1850</v>
      </c>
      <c r="G234" s="140">
        <v>24.0</v>
      </c>
    </row>
    <row r="235">
      <c r="A235" s="140">
        <v>5578.0</v>
      </c>
      <c r="B235" s="139" t="s">
        <v>1948</v>
      </c>
      <c r="C235" s="140">
        <v>24.0</v>
      </c>
      <c r="D235" s="140">
        <v>24.0</v>
      </c>
      <c r="E235" s="140">
        <v>24.0</v>
      </c>
      <c r="F235" s="139" t="s">
        <v>1850</v>
      </c>
      <c r="G235" s="140">
        <v>24.0</v>
      </c>
    </row>
    <row r="236">
      <c r="A236" s="140">
        <v>5589.0</v>
      </c>
      <c r="B236" s="139" t="s">
        <v>1949</v>
      </c>
      <c r="C236" s="140">
        <v>45.0</v>
      </c>
      <c r="D236" s="140">
        <v>45.0</v>
      </c>
      <c r="E236" s="140">
        <v>45.0</v>
      </c>
      <c r="F236" s="139" t="s">
        <v>1950</v>
      </c>
      <c r="G236" s="140">
        <v>45.0</v>
      </c>
    </row>
    <row r="237">
      <c r="A237" s="140">
        <v>5589.0</v>
      </c>
      <c r="B237" s="139" t="s">
        <v>1949</v>
      </c>
      <c r="C237" s="140">
        <v>45.0</v>
      </c>
      <c r="D237" s="140">
        <v>45.0</v>
      </c>
      <c r="E237" s="140">
        <v>45.0</v>
      </c>
      <c r="F237" s="139" t="s">
        <v>1950</v>
      </c>
      <c r="G237" s="140">
        <v>45.0</v>
      </c>
    </row>
    <row r="238">
      <c r="A238" s="140">
        <v>5603.0</v>
      </c>
      <c r="B238" s="139" t="s">
        <v>1951</v>
      </c>
      <c r="C238" s="140">
        <v>11.0</v>
      </c>
      <c r="D238" s="140">
        <v>11.0</v>
      </c>
      <c r="E238" s="140">
        <v>11.0</v>
      </c>
      <c r="F238" s="139" t="s">
        <v>1764</v>
      </c>
      <c r="G238" s="140">
        <v>11.0</v>
      </c>
    </row>
    <row r="239">
      <c r="A239" s="140">
        <v>5620.0</v>
      </c>
      <c r="B239" s="139" t="s">
        <v>1952</v>
      </c>
      <c r="C239" s="140">
        <v>49.0</v>
      </c>
      <c r="D239" s="140">
        <v>49.0</v>
      </c>
      <c r="E239" s="140">
        <v>49.0</v>
      </c>
      <c r="F239" s="139" t="s">
        <v>1668</v>
      </c>
      <c r="G239" s="140">
        <v>49.0</v>
      </c>
    </row>
    <row r="240">
      <c r="A240" s="140">
        <v>5620.0</v>
      </c>
      <c r="B240" s="139" t="s">
        <v>1952</v>
      </c>
      <c r="C240" s="140">
        <v>49.0</v>
      </c>
      <c r="D240" s="140">
        <v>49.0</v>
      </c>
      <c r="E240" s="140">
        <v>49.0</v>
      </c>
      <c r="F240" s="139" t="s">
        <v>1668</v>
      </c>
      <c r="G240" s="140">
        <v>49.0</v>
      </c>
    </row>
    <row r="241">
      <c r="A241" s="140">
        <v>5626.0</v>
      </c>
      <c r="B241" s="139" t="s">
        <v>1953</v>
      </c>
      <c r="D241" s="142"/>
      <c r="E241" s="142"/>
      <c r="F241" s="142"/>
      <c r="G241" s="266" t="s">
        <v>1672</v>
      </c>
    </row>
    <row r="242">
      <c r="A242" s="140">
        <v>5672.0</v>
      </c>
      <c r="B242" s="139" t="s">
        <v>1954</v>
      </c>
      <c r="C242" s="140">
        <v>141.0</v>
      </c>
      <c r="D242" s="140">
        <v>141.0</v>
      </c>
      <c r="E242" s="140">
        <v>144.0</v>
      </c>
      <c r="F242" s="139" t="s">
        <v>1955</v>
      </c>
      <c r="G242" s="140">
        <v>144.0</v>
      </c>
    </row>
    <row r="243">
      <c r="A243" s="140">
        <v>5678.0</v>
      </c>
      <c r="B243" s="139" t="s">
        <v>1956</v>
      </c>
      <c r="C243" s="140">
        <v>21.0</v>
      </c>
      <c r="D243" s="140">
        <v>21.0</v>
      </c>
      <c r="E243" s="140">
        <v>21.0</v>
      </c>
      <c r="F243" s="139" t="s">
        <v>1821</v>
      </c>
      <c r="G243" s="140">
        <v>21.0</v>
      </c>
    </row>
    <row r="244">
      <c r="A244" s="140">
        <v>5678.0</v>
      </c>
      <c r="B244" s="139" t="s">
        <v>1956</v>
      </c>
      <c r="C244" s="140">
        <v>21.0</v>
      </c>
      <c r="D244" s="140">
        <v>21.0</v>
      </c>
      <c r="E244" s="140">
        <v>21.0</v>
      </c>
      <c r="F244" s="139" t="s">
        <v>1821</v>
      </c>
      <c r="G244" s="140">
        <v>21.0</v>
      </c>
    </row>
    <row r="245">
      <c r="A245" s="140">
        <v>5685.0</v>
      </c>
      <c r="B245" s="139" t="s">
        <v>1957</v>
      </c>
      <c r="C245" s="140">
        <v>39.0</v>
      </c>
      <c r="D245" s="140">
        <v>39.0</v>
      </c>
      <c r="E245" s="140">
        <v>40.0</v>
      </c>
      <c r="F245" s="139" t="s">
        <v>1958</v>
      </c>
      <c r="G245" s="140">
        <v>40.0</v>
      </c>
    </row>
    <row r="246">
      <c r="A246" s="140">
        <v>5687.0</v>
      </c>
      <c r="B246" s="139" t="s">
        <v>1959</v>
      </c>
      <c r="C246" s="140">
        <v>42.0</v>
      </c>
      <c r="D246" s="140">
        <v>42.0</v>
      </c>
      <c r="E246" s="140">
        <v>42.0</v>
      </c>
      <c r="F246" s="139" t="s">
        <v>1960</v>
      </c>
      <c r="G246" s="140">
        <v>42.0</v>
      </c>
    </row>
    <row r="247">
      <c r="A247" s="140">
        <v>5688.0</v>
      </c>
      <c r="B247" s="139" t="s">
        <v>1961</v>
      </c>
      <c r="C247" s="140">
        <v>14.0</v>
      </c>
      <c r="D247" s="140">
        <v>14.0</v>
      </c>
      <c r="E247" s="140">
        <v>14.0</v>
      </c>
      <c r="F247" s="139" t="s">
        <v>1754</v>
      </c>
      <c r="G247" s="140">
        <v>14.0</v>
      </c>
    </row>
    <row r="248">
      <c r="A248" s="140">
        <v>5718.0</v>
      </c>
      <c r="B248" s="139" t="s">
        <v>1962</v>
      </c>
      <c r="C248" s="140">
        <v>9.0</v>
      </c>
      <c r="D248" s="140">
        <v>9.0</v>
      </c>
      <c r="E248" s="140">
        <v>9.0</v>
      </c>
      <c r="F248" s="139" t="s">
        <v>1706</v>
      </c>
      <c r="G248" s="140">
        <v>9.0</v>
      </c>
    </row>
    <row r="249">
      <c r="A249" s="140">
        <v>5719.0</v>
      </c>
      <c r="B249" s="139" t="s">
        <v>1963</v>
      </c>
      <c r="C249" s="140">
        <v>9.0</v>
      </c>
      <c r="D249" s="140">
        <v>9.0</v>
      </c>
      <c r="E249" s="140">
        <v>9.0</v>
      </c>
      <c r="F249" s="139" t="s">
        <v>1706</v>
      </c>
      <c r="G249" s="140">
        <v>9.0</v>
      </c>
    </row>
    <row r="250">
      <c r="A250" s="140">
        <v>5734.0</v>
      </c>
      <c r="B250" s="139" t="s">
        <v>1964</v>
      </c>
      <c r="C250" s="140">
        <v>125.0</v>
      </c>
      <c r="D250" s="140">
        <v>125.0</v>
      </c>
      <c r="E250" s="140">
        <v>130.0</v>
      </c>
      <c r="F250" s="139" t="s">
        <v>1965</v>
      </c>
      <c r="G250" s="140">
        <v>130.0</v>
      </c>
    </row>
    <row r="251">
      <c r="A251" s="140">
        <v>5739.0</v>
      </c>
      <c r="B251" s="139" t="s">
        <v>1966</v>
      </c>
      <c r="C251" s="140">
        <v>19.0</v>
      </c>
      <c r="D251" s="140">
        <v>19.0</v>
      </c>
      <c r="E251" s="140">
        <v>19.0</v>
      </c>
      <c r="F251" s="139" t="s">
        <v>1792</v>
      </c>
      <c r="G251" s="140">
        <v>19.0</v>
      </c>
    </row>
    <row r="252">
      <c r="A252" s="140">
        <v>5764.0</v>
      </c>
      <c r="B252" s="139" t="s">
        <v>1967</v>
      </c>
      <c r="D252" s="142"/>
      <c r="E252" s="142"/>
      <c r="F252" s="142"/>
      <c r="G252" s="266" t="s">
        <v>1672</v>
      </c>
    </row>
    <row r="253">
      <c r="A253" s="140">
        <v>5784.0</v>
      </c>
      <c r="B253" s="139" t="s">
        <v>1968</v>
      </c>
      <c r="C253" s="140">
        <v>14.0</v>
      </c>
      <c r="D253" s="140">
        <v>9.0</v>
      </c>
      <c r="E253" s="140">
        <v>14.0</v>
      </c>
      <c r="F253" s="139" t="s">
        <v>1969</v>
      </c>
      <c r="G253" s="140">
        <v>9.0</v>
      </c>
    </row>
    <row r="254">
      <c r="A254" s="140">
        <v>5791.0</v>
      </c>
      <c r="B254" s="139" t="s">
        <v>1970</v>
      </c>
      <c r="C254" s="140">
        <v>24.0</v>
      </c>
      <c r="D254" s="140">
        <v>24.0</v>
      </c>
      <c r="E254" s="140">
        <v>24.0</v>
      </c>
      <c r="F254" s="139" t="s">
        <v>1850</v>
      </c>
      <c r="G254" s="140">
        <v>24.0</v>
      </c>
    </row>
    <row r="255">
      <c r="A255" s="140">
        <v>5791.0</v>
      </c>
      <c r="B255" s="139" t="s">
        <v>1970</v>
      </c>
      <c r="C255" s="140">
        <v>24.0</v>
      </c>
      <c r="D255" s="140">
        <v>24.0</v>
      </c>
      <c r="E255" s="140">
        <v>24.0</v>
      </c>
      <c r="F255" s="139" t="s">
        <v>1850</v>
      </c>
      <c r="G255" s="140">
        <v>24.0</v>
      </c>
    </row>
    <row r="256">
      <c r="A256" s="140">
        <v>5792.0</v>
      </c>
      <c r="B256" s="139" t="s">
        <v>1971</v>
      </c>
      <c r="C256" s="140">
        <v>64.0</v>
      </c>
      <c r="D256" s="140">
        <v>64.0</v>
      </c>
      <c r="E256" s="140">
        <v>64.0</v>
      </c>
      <c r="F256" s="139" t="s">
        <v>1848</v>
      </c>
      <c r="G256" s="140">
        <v>64.0</v>
      </c>
    </row>
    <row r="257">
      <c r="A257" s="140">
        <v>5800.0</v>
      </c>
      <c r="B257" s="139" t="s">
        <v>1972</v>
      </c>
      <c r="C257" s="140">
        <v>172.0</v>
      </c>
      <c r="D257" s="140">
        <v>172.0</v>
      </c>
      <c r="E257" s="140">
        <v>172.0</v>
      </c>
      <c r="F257" s="139" t="s">
        <v>1973</v>
      </c>
      <c r="G257" s="140">
        <v>172.0</v>
      </c>
    </row>
    <row r="258">
      <c r="A258" s="140">
        <v>5804.0</v>
      </c>
      <c r="B258" s="139" t="s">
        <v>1974</v>
      </c>
      <c r="D258" s="142"/>
      <c r="E258" s="142"/>
      <c r="F258" s="142"/>
      <c r="G258" s="266" t="s">
        <v>1672</v>
      </c>
    </row>
    <row r="259">
      <c r="A259" s="140">
        <v>5812.0</v>
      </c>
      <c r="B259" s="139" t="s">
        <v>1975</v>
      </c>
      <c r="C259" s="140">
        <v>4.0</v>
      </c>
      <c r="D259" s="140">
        <v>4.0</v>
      </c>
      <c r="E259" s="140">
        <v>4.0</v>
      </c>
      <c r="F259" s="139" t="s">
        <v>1976</v>
      </c>
      <c r="G259" s="140">
        <v>4.0</v>
      </c>
    </row>
    <row r="260">
      <c r="A260" s="140">
        <v>5813.0</v>
      </c>
      <c r="B260" s="139" t="s">
        <v>1977</v>
      </c>
      <c r="C260" s="140">
        <v>9.0</v>
      </c>
      <c r="D260" s="140">
        <v>9.0</v>
      </c>
      <c r="E260" s="140">
        <v>9.0</v>
      </c>
      <c r="F260" s="139" t="s">
        <v>1706</v>
      </c>
      <c r="G260" s="140">
        <v>9.0</v>
      </c>
    </row>
    <row r="261">
      <c r="A261" s="140">
        <v>5822.0</v>
      </c>
      <c r="B261" s="139" t="s">
        <v>1978</v>
      </c>
      <c r="D261" s="142"/>
      <c r="E261" s="142"/>
      <c r="F261" s="142"/>
      <c r="G261" s="266" t="s">
        <v>1672</v>
      </c>
    </row>
    <row r="262">
      <c r="A262" s="140">
        <v>5831.0</v>
      </c>
      <c r="B262" s="139" t="s">
        <v>1979</v>
      </c>
      <c r="C262" s="140">
        <v>13.0</v>
      </c>
      <c r="D262" s="140">
        <v>13.0</v>
      </c>
      <c r="E262" s="140">
        <v>13.0</v>
      </c>
      <c r="F262" s="139" t="s">
        <v>1726</v>
      </c>
      <c r="G262" s="140">
        <v>13.0</v>
      </c>
    </row>
    <row r="263">
      <c r="A263" s="140">
        <v>5833.0</v>
      </c>
      <c r="B263" s="139" t="s">
        <v>1980</v>
      </c>
      <c r="C263" s="140">
        <v>20.0</v>
      </c>
      <c r="D263" s="140">
        <v>20.0</v>
      </c>
      <c r="E263" s="140">
        <v>20.0</v>
      </c>
      <c r="F263" s="139" t="s">
        <v>1691</v>
      </c>
      <c r="G263" s="140">
        <v>20.0</v>
      </c>
    </row>
    <row r="264">
      <c r="A264" s="140">
        <v>5835.0</v>
      </c>
      <c r="B264" s="139" t="s">
        <v>1981</v>
      </c>
      <c r="C264" s="140">
        <v>18.0</v>
      </c>
      <c r="D264" s="140">
        <v>18.0</v>
      </c>
      <c r="E264" s="140">
        <v>18.0</v>
      </c>
      <c r="F264" s="139" t="s">
        <v>1700</v>
      </c>
      <c r="G264" s="140">
        <v>18.0</v>
      </c>
    </row>
    <row r="265">
      <c r="A265" s="140">
        <v>5838.0</v>
      </c>
      <c r="B265" s="139" t="s">
        <v>1982</v>
      </c>
      <c r="D265" s="142"/>
      <c r="E265" s="142"/>
      <c r="F265" s="142"/>
      <c r="G265" s="266" t="s">
        <v>1672</v>
      </c>
    </row>
    <row r="266">
      <c r="A266" s="140">
        <v>5840.0</v>
      </c>
      <c r="B266" s="139" t="s">
        <v>1983</v>
      </c>
      <c r="C266" s="140">
        <v>26.0</v>
      </c>
      <c r="D266" s="140">
        <v>26.0</v>
      </c>
      <c r="E266" s="140">
        <v>26.0</v>
      </c>
      <c r="F266" s="139" t="s">
        <v>1708</v>
      </c>
      <c r="G266" s="140">
        <v>26.0</v>
      </c>
    </row>
    <row r="267">
      <c r="A267" s="140">
        <v>5841.0</v>
      </c>
      <c r="B267" s="139" t="s">
        <v>1984</v>
      </c>
      <c r="C267" s="140">
        <v>82.0</v>
      </c>
      <c r="D267" s="140">
        <v>82.0</v>
      </c>
      <c r="E267" s="140">
        <v>82.0</v>
      </c>
      <c r="F267" s="139" t="s">
        <v>1985</v>
      </c>
      <c r="G267" s="140">
        <v>82.0</v>
      </c>
    </row>
    <row r="268">
      <c r="A268" s="140">
        <v>5847.0</v>
      </c>
      <c r="B268" s="139" t="s">
        <v>1986</v>
      </c>
      <c r="C268" s="142"/>
      <c r="D268" s="142"/>
      <c r="E268" s="142"/>
      <c r="F268" s="142"/>
      <c r="G268" s="266" t="s">
        <v>1672</v>
      </c>
    </row>
    <row r="269">
      <c r="A269" s="140">
        <v>5850.0</v>
      </c>
      <c r="B269" s="139" t="s">
        <v>1987</v>
      </c>
      <c r="C269" s="140">
        <v>24.0</v>
      </c>
      <c r="D269" s="140">
        <v>24.0</v>
      </c>
      <c r="E269" s="140">
        <v>24.0</v>
      </c>
      <c r="F269" s="139" t="s">
        <v>1850</v>
      </c>
      <c r="G269" s="140">
        <v>24.0</v>
      </c>
    </row>
    <row r="270">
      <c r="A270" s="140">
        <v>5858.0</v>
      </c>
      <c r="B270" s="139" t="s">
        <v>1988</v>
      </c>
      <c r="C270" s="140">
        <v>27.0</v>
      </c>
      <c r="D270" s="140">
        <v>27.0</v>
      </c>
      <c r="E270" s="140">
        <v>31.0</v>
      </c>
      <c r="F270" s="139" t="s">
        <v>1989</v>
      </c>
      <c r="G270" s="140">
        <v>31.0</v>
      </c>
    </row>
    <row r="271">
      <c r="A271" s="140">
        <v>5858.0</v>
      </c>
      <c r="B271" s="139" t="s">
        <v>1988</v>
      </c>
      <c r="C271" s="140">
        <v>27.0</v>
      </c>
      <c r="D271" s="140">
        <v>27.0</v>
      </c>
      <c r="E271" s="140">
        <v>31.0</v>
      </c>
      <c r="F271" s="139" t="s">
        <v>1989</v>
      </c>
      <c r="G271" s="140">
        <v>31.0</v>
      </c>
    </row>
    <row r="272">
      <c r="A272" s="140">
        <v>5862.0</v>
      </c>
      <c r="B272" s="139" t="s">
        <v>1990</v>
      </c>
      <c r="C272" s="140">
        <v>27.0</v>
      </c>
      <c r="D272" s="140">
        <v>27.0</v>
      </c>
      <c r="E272" s="140">
        <v>27.0</v>
      </c>
      <c r="F272" s="139" t="s">
        <v>1991</v>
      </c>
      <c r="G272" s="140">
        <v>27.0</v>
      </c>
    </row>
    <row r="273">
      <c r="A273" s="140">
        <v>5872.0</v>
      </c>
      <c r="B273" s="139" t="s">
        <v>1992</v>
      </c>
      <c r="C273" s="140">
        <v>24.0</v>
      </c>
      <c r="D273" s="140">
        <v>24.0</v>
      </c>
      <c r="E273" s="140">
        <v>24.0</v>
      </c>
      <c r="F273" s="139" t="s">
        <v>1850</v>
      </c>
      <c r="G273" s="140">
        <v>24.0</v>
      </c>
    </row>
    <row r="274">
      <c r="A274" s="140">
        <v>5875.0</v>
      </c>
      <c r="B274" s="139" t="s">
        <v>1993</v>
      </c>
      <c r="D274" s="142"/>
      <c r="E274" s="142"/>
      <c r="F274" s="142"/>
      <c r="G274" s="266" t="s">
        <v>1672</v>
      </c>
    </row>
    <row r="275">
      <c r="A275" s="140">
        <v>5875.0</v>
      </c>
      <c r="B275" s="139" t="s">
        <v>1993</v>
      </c>
      <c r="D275" s="142"/>
      <c r="E275" s="142"/>
      <c r="F275" s="142"/>
      <c r="G275" s="266" t="s">
        <v>1672</v>
      </c>
    </row>
    <row r="276">
      <c r="A276" s="140">
        <v>5876.0</v>
      </c>
      <c r="B276" s="139" t="s">
        <v>1994</v>
      </c>
      <c r="C276" s="140">
        <v>83.0</v>
      </c>
      <c r="D276" s="140">
        <v>83.0</v>
      </c>
      <c r="E276" s="140">
        <v>83.0</v>
      </c>
      <c r="F276" s="139" t="s">
        <v>1995</v>
      </c>
      <c r="G276" s="140">
        <v>83.0</v>
      </c>
    </row>
    <row r="277">
      <c r="A277" s="140">
        <v>5877.0</v>
      </c>
      <c r="B277" s="139" t="s">
        <v>330</v>
      </c>
      <c r="C277" s="140">
        <v>35.0</v>
      </c>
      <c r="D277" s="140">
        <v>35.0</v>
      </c>
      <c r="E277" s="140">
        <v>35.0</v>
      </c>
      <c r="F277" s="139" t="s">
        <v>1996</v>
      </c>
      <c r="G277" s="140">
        <v>35.0</v>
      </c>
    </row>
    <row r="278">
      <c r="A278" s="140">
        <v>5877.0</v>
      </c>
      <c r="B278" s="139" t="s">
        <v>330</v>
      </c>
      <c r="C278" s="140">
        <v>35.0</v>
      </c>
      <c r="D278" s="140">
        <v>35.0</v>
      </c>
      <c r="E278" s="140">
        <v>35.0</v>
      </c>
      <c r="F278" s="139" t="s">
        <v>1996</v>
      </c>
      <c r="G278" s="140">
        <v>35.0</v>
      </c>
    </row>
    <row r="279">
      <c r="A279" s="140">
        <v>5878.0</v>
      </c>
      <c r="B279" s="139" t="s">
        <v>1997</v>
      </c>
      <c r="D279" s="142"/>
      <c r="E279" s="142"/>
      <c r="F279" s="142"/>
      <c r="G279" s="266" t="s">
        <v>1672</v>
      </c>
    </row>
    <row r="280">
      <c r="A280" s="140">
        <v>5878.0</v>
      </c>
      <c r="B280" s="139" t="s">
        <v>1997</v>
      </c>
      <c r="D280" s="142"/>
      <c r="E280" s="142"/>
      <c r="F280" s="142"/>
      <c r="G280" s="266" t="s">
        <v>1672</v>
      </c>
    </row>
    <row r="281">
      <c r="A281" s="140">
        <v>5882.0</v>
      </c>
      <c r="B281" s="139" t="s">
        <v>1998</v>
      </c>
      <c r="D281" s="142"/>
      <c r="E281" s="142"/>
      <c r="F281" s="142"/>
      <c r="G281" s="266" t="s">
        <v>1672</v>
      </c>
    </row>
    <row r="282">
      <c r="A282" s="140">
        <v>5885.0</v>
      </c>
      <c r="B282" s="139" t="s">
        <v>1048</v>
      </c>
      <c r="C282" s="140">
        <v>40.0</v>
      </c>
      <c r="D282" s="140">
        <v>40.0</v>
      </c>
      <c r="E282" s="140">
        <v>40.0</v>
      </c>
      <c r="F282" s="139" t="s">
        <v>1868</v>
      </c>
      <c r="G282" s="140">
        <v>40.0</v>
      </c>
    </row>
    <row r="283">
      <c r="A283" s="140">
        <v>5885.0</v>
      </c>
      <c r="B283" s="139" t="s">
        <v>1048</v>
      </c>
      <c r="C283" s="140">
        <v>40.0</v>
      </c>
      <c r="D283" s="140">
        <v>40.0</v>
      </c>
      <c r="E283" s="140">
        <v>40.0</v>
      </c>
      <c r="F283" s="139" t="s">
        <v>1868</v>
      </c>
      <c r="G283" s="140">
        <v>40.0</v>
      </c>
    </row>
    <row r="284">
      <c r="A284" s="140">
        <v>5888.0</v>
      </c>
      <c r="B284" s="139" t="s">
        <v>1999</v>
      </c>
      <c r="C284" s="140">
        <v>30.0</v>
      </c>
      <c r="D284" s="140">
        <v>30.0</v>
      </c>
      <c r="E284" s="140">
        <v>30.0</v>
      </c>
      <c r="F284" s="139" t="s">
        <v>1731</v>
      </c>
      <c r="G284" s="140">
        <v>30.0</v>
      </c>
    </row>
    <row r="285">
      <c r="A285" s="140">
        <v>5899.0</v>
      </c>
      <c r="B285" s="139" t="s">
        <v>2000</v>
      </c>
      <c r="C285" s="140">
        <v>7.0</v>
      </c>
      <c r="D285" s="140">
        <v>7.0</v>
      </c>
      <c r="E285" s="140">
        <v>8.0</v>
      </c>
      <c r="F285" s="139" t="s">
        <v>2001</v>
      </c>
      <c r="G285" s="140">
        <v>8.0</v>
      </c>
    </row>
    <row r="286">
      <c r="A286" s="140">
        <v>5899.0</v>
      </c>
      <c r="B286" s="139" t="s">
        <v>2000</v>
      </c>
      <c r="C286" s="140">
        <v>7.0</v>
      </c>
      <c r="D286" s="140">
        <v>7.0</v>
      </c>
      <c r="E286" s="140">
        <v>8.0</v>
      </c>
      <c r="F286" s="139" t="s">
        <v>2001</v>
      </c>
      <c r="G286" s="140">
        <v>8.0</v>
      </c>
    </row>
    <row r="287">
      <c r="A287" s="140">
        <v>5919.0</v>
      </c>
      <c r="B287" s="139" t="s">
        <v>2002</v>
      </c>
      <c r="D287" s="142"/>
      <c r="E287" s="142"/>
      <c r="F287" s="142"/>
      <c r="G287" s="266" t="s">
        <v>1672</v>
      </c>
    </row>
    <row r="288">
      <c r="A288" s="140">
        <v>5919.0</v>
      </c>
      <c r="B288" s="139" t="s">
        <v>2002</v>
      </c>
      <c r="D288" s="142"/>
      <c r="E288" s="142"/>
      <c r="F288" s="142"/>
      <c r="G288" s="266" t="s">
        <v>1672</v>
      </c>
    </row>
    <row r="289">
      <c r="A289" s="140">
        <v>5951.0</v>
      </c>
      <c r="B289" s="139" t="s">
        <v>2003</v>
      </c>
      <c r="D289" s="142"/>
      <c r="E289" s="142"/>
      <c r="F289" s="142"/>
      <c r="G289" s="266" t="s">
        <v>1672</v>
      </c>
    </row>
    <row r="290">
      <c r="A290" s="140">
        <v>5995.0</v>
      </c>
      <c r="B290" s="139" t="s">
        <v>2004</v>
      </c>
      <c r="C290" s="140">
        <v>178.0</v>
      </c>
      <c r="D290" s="140">
        <v>178.0</v>
      </c>
      <c r="E290" s="140">
        <v>178.0</v>
      </c>
      <c r="F290" s="139" t="s">
        <v>2005</v>
      </c>
      <c r="G290" s="140">
        <v>178.0</v>
      </c>
    </row>
    <row r="291">
      <c r="A291" s="140">
        <v>5998.0</v>
      </c>
      <c r="B291" s="139" t="s">
        <v>2006</v>
      </c>
      <c r="C291" s="140">
        <v>3.0</v>
      </c>
      <c r="D291" s="140">
        <v>3.0</v>
      </c>
      <c r="E291" s="140">
        <v>3.0</v>
      </c>
      <c r="F291" s="139" t="s">
        <v>1912</v>
      </c>
      <c r="G291" s="140">
        <v>3.0</v>
      </c>
    </row>
    <row r="292">
      <c r="A292" s="140">
        <v>6010.0</v>
      </c>
      <c r="B292" s="139" t="s">
        <v>2007</v>
      </c>
      <c r="C292" s="140">
        <v>36.0</v>
      </c>
      <c r="D292" s="140">
        <v>36.0</v>
      </c>
      <c r="E292" s="140">
        <v>36.0</v>
      </c>
      <c r="F292" s="139" t="s">
        <v>1943</v>
      </c>
      <c r="G292" s="140">
        <v>36.0</v>
      </c>
    </row>
    <row r="293">
      <c r="A293" s="140">
        <v>6020.0</v>
      </c>
      <c r="B293" s="139" t="s">
        <v>2008</v>
      </c>
      <c r="C293" s="140">
        <v>15.0</v>
      </c>
      <c r="D293" s="140">
        <v>15.0</v>
      </c>
      <c r="E293" s="140">
        <v>15.0</v>
      </c>
      <c r="F293" s="139" t="s">
        <v>1674</v>
      </c>
      <c r="G293" s="140">
        <v>15.0</v>
      </c>
    </row>
    <row r="294">
      <c r="A294" s="140">
        <v>6039.0</v>
      </c>
      <c r="B294" s="139" t="s">
        <v>2009</v>
      </c>
      <c r="C294" s="140">
        <v>11.0</v>
      </c>
      <c r="D294" s="140">
        <v>11.0</v>
      </c>
      <c r="E294" s="140">
        <v>11.0</v>
      </c>
      <c r="F294" s="139" t="s">
        <v>1764</v>
      </c>
      <c r="G294" s="140">
        <v>11.0</v>
      </c>
    </row>
    <row r="295">
      <c r="A295" s="140">
        <v>6042.0</v>
      </c>
      <c r="B295" s="139" t="s">
        <v>2010</v>
      </c>
      <c r="C295" s="140">
        <v>21.0</v>
      </c>
      <c r="D295" s="140">
        <v>21.0</v>
      </c>
      <c r="E295" s="140">
        <v>21.0</v>
      </c>
      <c r="F295" s="139" t="s">
        <v>1821</v>
      </c>
      <c r="G295" s="140">
        <v>21.0</v>
      </c>
    </row>
    <row r="296">
      <c r="A296" s="140">
        <v>6042.0</v>
      </c>
      <c r="B296" s="139" t="s">
        <v>2010</v>
      </c>
      <c r="C296" s="140">
        <v>21.0</v>
      </c>
      <c r="D296" s="140">
        <v>21.0</v>
      </c>
      <c r="E296" s="140">
        <v>21.0</v>
      </c>
      <c r="F296" s="139" t="s">
        <v>1821</v>
      </c>
      <c r="G296" s="140">
        <v>21.0</v>
      </c>
    </row>
    <row r="297">
      <c r="A297" s="140">
        <v>6046.0</v>
      </c>
      <c r="B297" s="139" t="s">
        <v>2011</v>
      </c>
      <c r="C297" s="140">
        <v>40.0</v>
      </c>
      <c r="D297" s="140">
        <v>40.0</v>
      </c>
      <c r="E297" s="140">
        <v>40.0</v>
      </c>
      <c r="F297" s="139" t="s">
        <v>1868</v>
      </c>
      <c r="G297" s="140">
        <v>40.0</v>
      </c>
    </row>
    <row r="298">
      <c r="A298" s="140">
        <v>6054.0</v>
      </c>
      <c r="B298" s="139" t="s">
        <v>2012</v>
      </c>
      <c r="C298" s="140">
        <v>7.0</v>
      </c>
      <c r="D298" s="140">
        <v>7.0</v>
      </c>
      <c r="E298" s="140">
        <v>7.0</v>
      </c>
      <c r="F298" s="139" t="s">
        <v>1865</v>
      </c>
      <c r="G298" s="140">
        <v>7.0</v>
      </c>
    </row>
    <row r="299">
      <c r="A299" s="140">
        <v>6066.0</v>
      </c>
      <c r="B299" s="139" t="s">
        <v>2013</v>
      </c>
      <c r="C299" s="140">
        <v>14.0</v>
      </c>
      <c r="D299" s="140">
        <v>14.0</v>
      </c>
      <c r="E299" s="140">
        <v>14.0</v>
      </c>
      <c r="F299" s="139" t="s">
        <v>1754</v>
      </c>
      <c r="G299" s="140">
        <v>14.0</v>
      </c>
    </row>
    <row r="300">
      <c r="A300" s="140">
        <v>6112.0</v>
      </c>
      <c r="B300" s="139" t="s">
        <v>2014</v>
      </c>
      <c r="D300" s="142"/>
      <c r="E300" s="142"/>
      <c r="F300" s="142"/>
      <c r="G300" s="266" t="s">
        <v>1672</v>
      </c>
    </row>
    <row r="301">
      <c r="A301" s="140">
        <v>6159.0</v>
      </c>
      <c r="B301" s="139" t="s">
        <v>2015</v>
      </c>
      <c r="C301" s="140">
        <v>24.0</v>
      </c>
      <c r="D301" s="140">
        <v>24.0</v>
      </c>
      <c r="E301" s="140">
        <v>24.0</v>
      </c>
      <c r="F301" s="139" t="s">
        <v>1850</v>
      </c>
      <c r="G301" s="140">
        <v>24.0</v>
      </c>
    </row>
    <row r="302">
      <c r="A302" s="140">
        <v>6164.0</v>
      </c>
      <c r="B302" s="139" t="s">
        <v>2016</v>
      </c>
      <c r="C302" s="140">
        <v>32.0</v>
      </c>
      <c r="D302" s="140">
        <v>28.0</v>
      </c>
      <c r="E302" s="140">
        <v>32.0</v>
      </c>
      <c r="F302" s="139" t="s">
        <v>2017</v>
      </c>
      <c r="G302" s="140">
        <v>28.0</v>
      </c>
    </row>
    <row r="303">
      <c r="A303" s="140">
        <v>6170.0</v>
      </c>
      <c r="B303" s="139" t="s">
        <v>2018</v>
      </c>
      <c r="C303" s="140">
        <v>11.0</v>
      </c>
      <c r="D303" s="140">
        <v>10.0</v>
      </c>
      <c r="E303" s="140">
        <v>11.0</v>
      </c>
      <c r="F303" s="139" t="s">
        <v>2019</v>
      </c>
      <c r="G303" s="140">
        <v>10.0</v>
      </c>
    </row>
    <row r="304">
      <c r="A304" s="140">
        <v>6184.0</v>
      </c>
      <c r="B304" s="139" t="s">
        <v>2020</v>
      </c>
      <c r="C304" s="140">
        <v>1.0</v>
      </c>
      <c r="D304" s="140">
        <v>1.0</v>
      </c>
      <c r="E304" s="140">
        <v>1.0</v>
      </c>
      <c r="F304" s="139" t="s">
        <v>1662</v>
      </c>
      <c r="G304" s="140">
        <v>1.0</v>
      </c>
    </row>
    <row r="305">
      <c r="A305" s="140">
        <v>6190.0</v>
      </c>
      <c r="B305" s="139" t="s">
        <v>2021</v>
      </c>
      <c r="C305" s="140">
        <v>15.0</v>
      </c>
      <c r="D305" s="140">
        <v>15.0</v>
      </c>
      <c r="E305" s="140">
        <v>15.0</v>
      </c>
      <c r="F305" s="139" t="s">
        <v>1674</v>
      </c>
      <c r="G305" s="140">
        <v>15.0</v>
      </c>
    </row>
    <row r="306">
      <c r="A306" s="140">
        <v>6191.0</v>
      </c>
      <c r="B306" s="139" t="s">
        <v>2022</v>
      </c>
      <c r="C306" s="140">
        <v>6.0</v>
      </c>
      <c r="D306" s="140">
        <v>6.0</v>
      </c>
      <c r="E306" s="140">
        <v>6.0</v>
      </c>
      <c r="F306" s="139" t="s">
        <v>1887</v>
      </c>
      <c r="G306" s="140">
        <v>6.0</v>
      </c>
    </row>
    <row r="307">
      <c r="A307" s="140">
        <v>6202.0</v>
      </c>
      <c r="B307" s="139" t="s">
        <v>2023</v>
      </c>
      <c r="C307" s="140">
        <v>25.0</v>
      </c>
      <c r="D307" s="140">
        <v>25.0</v>
      </c>
      <c r="E307" s="140">
        <v>25.0</v>
      </c>
      <c r="F307" s="139" t="s">
        <v>1728</v>
      </c>
      <c r="G307" s="140">
        <v>25.0</v>
      </c>
    </row>
    <row r="308">
      <c r="A308" s="140">
        <v>6206.0</v>
      </c>
      <c r="B308" s="139" t="s">
        <v>2024</v>
      </c>
      <c r="C308" s="140">
        <v>17.0</v>
      </c>
      <c r="D308" s="140">
        <v>17.0</v>
      </c>
      <c r="E308" s="140">
        <v>17.0</v>
      </c>
      <c r="F308" s="139" t="s">
        <v>1734</v>
      </c>
      <c r="G308" s="140">
        <v>17.0</v>
      </c>
    </row>
    <row r="309">
      <c r="A309" s="140">
        <v>6211.0</v>
      </c>
      <c r="B309" s="139" t="s">
        <v>2025</v>
      </c>
      <c r="C309" s="140">
        <v>8.0</v>
      </c>
      <c r="D309" s="140">
        <v>8.0</v>
      </c>
      <c r="E309" s="140">
        <v>8.0</v>
      </c>
      <c r="F309" s="139" t="s">
        <v>1693</v>
      </c>
      <c r="G309" s="140">
        <v>8.0</v>
      </c>
    </row>
    <row r="310">
      <c r="A310" s="140">
        <v>6213.0</v>
      </c>
      <c r="B310" s="139" t="s">
        <v>859</v>
      </c>
      <c r="C310" s="140">
        <v>8.0</v>
      </c>
      <c r="D310" s="140">
        <v>8.0</v>
      </c>
      <c r="E310" s="140">
        <v>8.0</v>
      </c>
      <c r="F310" s="139" t="s">
        <v>1693</v>
      </c>
      <c r="G310" s="140">
        <v>8.0</v>
      </c>
    </row>
    <row r="311">
      <c r="A311" s="140">
        <v>6215.0</v>
      </c>
      <c r="B311" s="139" t="s">
        <v>2026</v>
      </c>
      <c r="C311" s="140">
        <v>58.0</v>
      </c>
      <c r="D311" s="140">
        <v>56.0</v>
      </c>
      <c r="E311" s="140">
        <v>58.0</v>
      </c>
      <c r="F311" s="139" t="s">
        <v>2027</v>
      </c>
      <c r="G311" s="140">
        <v>56.0</v>
      </c>
    </row>
    <row r="312">
      <c r="A312" s="140">
        <v>6217.0</v>
      </c>
      <c r="B312" s="139" t="s">
        <v>2028</v>
      </c>
      <c r="C312" s="140">
        <v>21.0</v>
      </c>
      <c r="D312" s="140">
        <v>21.0</v>
      </c>
      <c r="E312" s="140">
        <v>24.0</v>
      </c>
      <c r="F312" s="139" t="s">
        <v>2029</v>
      </c>
      <c r="G312" s="140">
        <v>24.0</v>
      </c>
    </row>
    <row r="313">
      <c r="A313" s="140">
        <v>6218.0</v>
      </c>
      <c r="B313" s="139" t="s">
        <v>2030</v>
      </c>
      <c r="D313" s="142"/>
      <c r="E313" s="142"/>
      <c r="F313" s="142"/>
      <c r="G313" s="266" t="s">
        <v>1672</v>
      </c>
    </row>
    <row r="314">
      <c r="A314" s="140">
        <v>6224.0</v>
      </c>
      <c r="B314" s="139" t="s">
        <v>2031</v>
      </c>
      <c r="D314" s="142"/>
      <c r="E314" s="142"/>
      <c r="F314" s="142"/>
      <c r="G314" s="266" t="s">
        <v>1672</v>
      </c>
    </row>
    <row r="315">
      <c r="A315" s="140">
        <v>6225.0</v>
      </c>
      <c r="B315" s="139" t="s">
        <v>2032</v>
      </c>
      <c r="C315" s="140">
        <v>7.0</v>
      </c>
      <c r="D315" s="140">
        <v>7.0</v>
      </c>
      <c r="E315" s="140">
        <v>7.0</v>
      </c>
      <c r="F315" s="139" t="s">
        <v>1865</v>
      </c>
      <c r="G315" s="140">
        <v>7.0</v>
      </c>
    </row>
    <row r="316">
      <c r="A316" s="140">
        <v>6226.0</v>
      </c>
      <c r="B316" s="139" t="s">
        <v>2033</v>
      </c>
      <c r="C316" s="140">
        <v>152.0</v>
      </c>
      <c r="D316" s="140">
        <v>152.0</v>
      </c>
      <c r="E316" s="140">
        <v>152.0</v>
      </c>
      <c r="F316" s="139" t="s">
        <v>2034</v>
      </c>
      <c r="G316" s="140">
        <v>152.0</v>
      </c>
    </row>
    <row r="317">
      <c r="A317" s="140">
        <v>6227.0</v>
      </c>
      <c r="B317" s="139" t="s">
        <v>2035</v>
      </c>
      <c r="C317" s="140">
        <v>5.0</v>
      </c>
      <c r="D317" s="140">
        <v>5.0</v>
      </c>
      <c r="E317" s="140">
        <v>5.0</v>
      </c>
      <c r="F317" s="139" t="s">
        <v>1686</v>
      </c>
      <c r="G317" s="140">
        <v>5.0</v>
      </c>
    </row>
    <row r="318">
      <c r="A318" s="140">
        <v>6228.0</v>
      </c>
      <c r="B318" s="139" t="s">
        <v>2036</v>
      </c>
      <c r="D318" s="142"/>
      <c r="E318" s="142"/>
      <c r="F318" s="142"/>
      <c r="G318" s="266" t="s">
        <v>1672</v>
      </c>
    </row>
    <row r="319">
      <c r="A319" s="140">
        <v>6230.0</v>
      </c>
      <c r="B319" s="139" t="s">
        <v>2037</v>
      </c>
      <c r="C319" s="140">
        <v>11.0</v>
      </c>
      <c r="D319" s="140">
        <v>11.0</v>
      </c>
      <c r="E319" s="140">
        <v>11.0</v>
      </c>
      <c r="F319" s="139" t="s">
        <v>1764</v>
      </c>
      <c r="G319" s="140">
        <v>11.0</v>
      </c>
    </row>
    <row r="320">
      <c r="A320" s="140">
        <v>6232.0</v>
      </c>
      <c r="B320" s="139" t="s">
        <v>2038</v>
      </c>
      <c r="E320" s="142"/>
      <c r="F320" s="142"/>
      <c r="G320" s="266" t="s">
        <v>1672</v>
      </c>
    </row>
    <row r="321">
      <c r="A321" s="140">
        <v>6244.0</v>
      </c>
      <c r="B321" s="139" t="s">
        <v>2039</v>
      </c>
      <c r="D321" s="142"/>
      <c r="E321" s="142"/>
      <c r="F321" s="142"/>
      <c r="G321" s="266" t="s">
        <v>1672</v>
      </c>
    </row>
    <row r="322">
      <c r="A322" s="140">
        <v>6245.0</v>
      </c>
      <c r="B322" s="139" t="s">
        <v>2040</v>
      </c>
      <c r="C322" s="140">
        <v>6.0</v>
      </c>
      <c r="D322" s="140">
        <v>6.0</v>
      </c>
      <c r="E322" s="140">
        <v>6.0</v>
      </c>
      <c r="F322" s="139" t="s">
        <v>1887</v>
      </c>
      <c r="G322" s="140">
        <v>6.0</v>
      </c>
    </row>
    <row r="323">
      <c r="A323" s="140">
        <v>6252.0</v>
      </c>
      <c r="B323" s="139" t="s">
        <v>2041</v>
      </c>
      <c r="C323" s="140">
        <v>27.0</v>
      </c>
      <c r="D323" s="140">
        <v>27.0</v>
      </c>
      <c r="E323" s="140">
        <v>27.0</v>
      </c>
      <c r="F323" s="139" t="s">
        <v>1991</v>
      </c>
      <c r="G323" s="140">
        <v>27.0</v>
      </c>
    </row>
    <row r="324">
      <c r="A324" s="140">
        <v>6394.0</v>
      </c>
      <c r="B324" s="139" t="s">
        <v>2042</v>
      </c>
      <c r="C324" s="140">
        <v>12.0</v>
      </c>
      <c r="D324" s="140">
        <v>12.0</v>
      </c>
      <c r="E324" s="140">
        <v>12.0</v>
      </c>
      <c r="F324" s="139" t="s">
        <v>1670</v>
      </c>
      <c r="G324" s="140">
        <v>12.0</v>
      </c>
    </row>
    <row r="325">
      <c r="A325" s="140">
        <v>6398.0</v>
      </c>
      <c r="B325" s="139" t="s">
        <v>2043</v>
      </c>
      <c r="C325" s="140">
        <v>48.0</v>
      </c>
      <c r="D325" s="140">
        <v>43.0</v>
      </c>
      <c r="E325" s="140">
        <v>48.0</v>
      </c>
      <c r="F325" s="139" t="s">
        <v>2044</v>
      </c>
      <c r="G325" s="140">
        <v>43.0</v>
      </c>
    </row>
    <row r="326">
      <c r="A326" s="140">
        <v>6409.0</v>
      </c>
      <c r="B326" s="139" t="s">
        <v>2045</v>
      </c>
      <c r="C326" s="140">
        <v>13.0</v>
      </c>
      <c r="D326" s="140">
        <v>13.0</v>
      </c>
      <c r="E326" s="140">
        <v>13.0</v>
      </c>
      <c r="F326" s="139" t="s">
        <v>1726</v>
      </c>
      <c r="G326" s="140">
        <v>13.0</v>
      </c>
    </row>
    <row r="327">
      <c r="A327" s="140">
        <v>6418.0</v>
      </c>
      <c r="B327" s="139" t="s">
        <v>2046</v>
      </c>
      <c r="D327" s="142"/>
      <c r="E327" s="142"/>
      <c r="F327" s="142"/>
      <c r="G327" s="266" t="s">
        <v>1672</v>
      </c>
    </row>
    <row r="328">
      <c r="A328" s="140">
        <v>6424.0</v>
      </c>
      <c r="B328" s="139" t="s">
        <v>2047</v>
      </c>
      <c r="C328" s="140">
        <v>9.0</v>
      </c>
      <c r="D328" s="140">
        <v>9.0</v>
      </c>
      <c r="E328" s="140">
        <v>9.0</v>
      </c>
      <c r="F328" s="139" t="s">
        <v>1706</v>
      </c>
      <c r="G328" s="140">
        <v>9.0</v>
      </c>
    </row>
    <row r="329">
      <c r="A329" s="140">
        <v>6424.0</v>
      </c>
      <c r="B329" s="139" t="s">
        <v>2047</v>
      </c>
      <c r="C329" s="140">
        <v>9.0</v>
      </c>
      <c r="D329" s="140">
        <v>9.0</v>
      </c>
      <c r="E329" s="140">
        <v>9.0</v>
      </c>
      <c r="F329" s="139" t="s">
        <v>1706</v>
      </c>
      <c r="G329" s="140">
        <v>9.0</v>
      </c>
    </row>
    <row r="330">
      <c r="A330" s="140">
        <v>6434.0</v>
      </c>
      <c r="B330" s="139" t="s">
        <v>2048</v>
      </c>
      <c r="C330" s="140">
        <v>238.0</v>
      </c>
      <c r="D330" s="140">
        <v>238.0</v>
      </c>
      <c r="E330" s="140">
        <v>242.0</v>
      </c>
      <c r="F330" s="139" t="s">
        <v>2049</v>
      </c>
      <c r="G330" s="140">
        <v>242.0</v>
      </c>
    </row>
    <row r="331">
      <c r="A331" s="140">
        <v>6434.0</v>
      </c>
      <c r="B331" s="139" t="s">
        <v>2048</v>
      </c>
      <c r="C331" s="140">
        <v>238.0</v>
      </c>
      <c r="D331" s="140">
        <v>238.0</v>
      </c>
      <c r="E331" s="140">
        <v>242.0</v>
      </c>
      <c r="F331" s="139" t="s">
        <v>2049</v>
      </c>
      <c r="G331" s="140">
        <v>242.0</v>
      </c>
    </row>
    <row r="332">
      <c r="A332" s="140">
        <v>6435.0</v>
      </c>
      <c r="B332" s="139" t="s">
        <v>2050</v>
      </c>
      <c r="C332" s="140">
        <v>135.0</v>
      </c>
      <c r="D332" s="140">
        <v>135.0</v>
      </c>
      <c r="E332" s="140">
        <v>135.0</v>
      </c>
      <c r="F332" s="139" t="s">
        <v>2051</v>
      </c>
      <c r="G332" s="140">
        <v>135.0</v>
      </c>
    </row>
    <row r="333">
      <c r="A333" s="140">
        <v>6435.0</v>
      </c>
      <c r="B333" s="139" t="s">
        <v>2050</v>
      </c>
      <c r="C333" s="140">
        <v>135.0</v>
      </c>
      <c r="D333" s="140">
        <v>135.0</v>
      </c>
      <c r="E333" s="140">
        <v>135.0</v>
      </c>
      <c r="F333" s="139" t="s">
        <v>2051</v>
      </c>
      <c r="G333" s="140">
        <v>135.0</v>
      </c>
    </row>
    <row r="334">
      <c r="A334" s="140">
        <v>6458.0</v>
      </c>
      <c r="B334" s="139" t="s">
        <v>2052</v>
      </c>
      <c r="C334" s="140">
        <v>12.0</v>
      </c>
      <c r="D334" s="140">
        <v>12.0</v>
      </c>
      <c r="E334" s="140">
        <v>12.0</v>
      </c>
      <c r="F334" s="139" t="s">
        <v>1670</v>
      </c>
      <c r="G334" s="140">
        <v>12.0</v>
      </c>
    </row>
    <row r="335">
      <c r="A335" s="140">
        <v>6459.0</v>
      </c>
      <c r="B335" s="139" t="s">
        <v>2053</v>
      </c>
      <c r="C335" s="140">
        <v>7.0</v>
      </c>
      <c r="D335" s="140">
        <v>7.0</v>
      </c>
      <c r="E335" s="140">
        <v>7.0</v>
      </c>
      <c r="F335" s="139" t="s">
        <v>1865</v>
      </c>
      <c r="G335" s="140">
        <v>7.0</v>
      </c>
    </row>
    <row r="336">
      <c r="A336" s="140">
        <v>6459.0</v>
      </c>
      <c r="B336" s="139" t="s">
        <v>2053</v>
      </c>
      <c r="C336" s="140">
        <v>7.0</v>
      </c>
      <c r="D336" s="140">
        <v>7.0</v>
      </c>
      <c r="E336" s="140">
        <v>7.0</v>
      </c>
      <c r="F336" s="139" t="s">
        <v>1865</v>
      </c>
      <c r="G336" s="140">
        <v>7.0</v>
      </c>
    </row>
    <row r="337">
      <c r="A337" s="140">
        <v>6462.0</v>
      </c>
      <c r="B337" s="139" t="s">
        <v>2054</v>
      </c>
      <c r="C337" s="140">
        <v>17.0</v>
      </c>
      <c r="D337" s="140">
        <v>17.0</v>
      </c>
      <c r="E337" s="140">
        <v>17.0</v>
      </c>
      <c r="F337" s="139" t="s">
        <v>1734</v>
      </c>
      <c r="G337" s="140">
        <v>17.0</v>
      </c>
    </row>
    <row r="338">
      <c r="A338" s="140">
        <v>6480.0</v>
      </c>
      <c r="B338" s="139" t="s">
        <v>2055</v>
      </c>
      <c r="C338" s="140">
        <v>17.0</v>
      </c>
      <c r="D338" s="140">
        <v>17.0</v>
      </c>
      <c r="E338" s="140">
        <v>17.0</v>
      </c>
      <c r="F338" s="139" t="s">
        <v>1734</v>
      </c>
      <c r="G338" s="140">
        <v>17.0</v>
      </c>
    </row>
    <row r="339">
      <c r="A339" s="140">
        <v>6481.0</v>
      </c>
      <c r="B339" s="139" t="s">
        <v>2056</v>
      </c>
      <c r="C339" s="140">
        <v>10.0</v>
      </c>
      <c r="D339" s="140">
        <v>10.0</v>
      </c>
      <c r="E339" s="140">
        <v>10.0</v>
      </c>
      <c r="F339" s="139" t="s">
        <v>1666</v>
      </c>
      <c r="G339" s="140">
        <v>10.0</v>
      </c>
    </row>
    <row r="340">
      <c r="A340" s="140">
        <v>6482.0</v>
      </c>
      <c r="B340" s="139" t="s">
        <v>2057</v>
      </c>
      <c r="C340" s="140">
        <v>12.0</v>
      </c>
      <c r="D340" s="140">
        <v>12.0</v>
      </c>
      <c r="E340" s="140">
        <v>12.0</v>
      </c>
      <c r="F340" s="139" t="s">
        <v>1670</v>
      </c>
      <c r="G340" s="140">
        <v>12.0</v>
      </c>
    </row>
    <row r="341">
      <c r="A341" s="140">
        <v>6486.0</v>
      </c>
      <c r="B341" s="139" t="s">
        <v>2058</v>
      </c>
      <c r="C341" s="140">
        <v>23.0</v>
      </c>
      <c r="D341" s="140">
        <v>23.0</v>
      </c>
      <c r="E341" s="140">
        <v>23.0</v>
      </c>
      <c r="F341" s="139" t="s">
        <v>1683</v>
      </c>
      <c r="G341" s="140">
        <v>23.0</v>
      </c>
    </row>
    <row r="342">
      <c r="A342" s="140">
        <v>6486.0</v>
      </c>
      <c r="B342" s="139" t="s">
        <v>2058</v>
      </c>
      <c r="C342" s="140">
        <v>23.0</v>
      </c>
      <c r="D342" s="140">
        <v>23.0</v>
      </c>
      <c r="E342" s="140">
        <v>23.0</v>
      </c>
      <c r="F342" s="139" t="s">
        <v>1683</v>
      </c>
      <c r="G342" s="140">
        <v>23.0</v>
      </c>
    </row>
    <row r="343">
      <c r="A343" s="140">
        <v>6495.0</v>
      </c>
      <c r="B343" s="139" t="s">
        <v>2059</v>
      </c>
      <c r="C343" s="140">
        <v>17.0</v>
      </c>
      <c r="D343" s="140">
        <v>17.0</v>
      </c>
      <c r="E343" s="140">
        <v>17.0</v>
      </c>
      <c r="F343" s="139" t="s">
        <v>1734</v>
      </c>
      <c r="G343" s="140">
        <v>17.0</v>
      </c>
    </row>
    <row r="344">
      <c r="A344" s="140">
        <v>6519.0</v>
      </c>
      <c r="B344" s="139" t="s">
        <v>2060</v>
      </c>
      <c r="C344" s="140">
        <v>22.0</v>
      </c>
      <c r="D344" s="140">
        <v>22.0</v>
      </c>
      <c r="E344" s="140">
        <v>22.0</v>
      </c>
      <c r="F344" s="139" t="s">
        <v>1703</v>
      </c>
      <c r="G344" s="140">
        <v>22.0</v>
      </c>
    </row>
    <row r="345">
      <c r="A345" s="140">
        <v>6523.0</v>
      </c>
      <c r="B345" s="139" t="s">
        <v>2061</v>
      </c>
      <c r="C345" s="140">
        <v>1.0</v>
      </c>
      <c r="D345" s="140">
        <v>1.0</v>
      </c>
      <c r="E345" s="140">
        <v>1.0</v>
      </c>
      <c r="F345" s="139" t="s">
        <v>1662</v>
      </c>
      <c r="G345" s="140">
        <v>1.0</v>
      </c>
    </row>
    <row r="346">
      <c r="A346" s="140">
        <v>6524.0</v>
      </c>
      <c r="B346" s="139" t="s">
        <v>2062</v>
      </c>
      <c r="D346" s="142"/>
      <c r="E346" s="142"/>
      <c r="F346" s="142"/>
      <c r="G346" s="266" t="s">
        <v>1672</v>
      </c>
    </row>
    <row r="347">
      <c r="A347" s="140">
        <v>6531.0</v>
      </c>
      <c r="B347" s="139" t="s">
        <v>2063</v>
      </c>
      <c r="C347" s="140">
        <v>19.0</v>
      </c>
      <c r="D347" s="140">
        <v>19.0</v>
      </c>
      <c r="E347" s="140">
        <v>19.0</v>
      </c>
      <c r="F347" s="139" t="s">
        <v>1792</v>
      </c>
      <c r="G347" s="140">
        <v>19.0</v>
      </c>
    </row>
    <row r="348">
      <c r="A348" s="140">
        <v>6533.0</v>
      </c>
      <c r="B348" s="139" t="s">
        <v>2064</v>
      </c>
      <c r="C348" s="140">
        <v>7.0</v>
      </c>
      <c r="D348" s="140">
        <v>7.0</v>
      </c>
      <c r="E348" s="140">
        <v>7.0</v>
      </c>
      <c r="F348" s="139" t="s">
        <v>1865</v>
      </c>
      <c r="G348" s="140">
        <v>7.0</v>
      </c>
    </row>
    <row r="349">
      <c r="A349" s="140">
        <v>6537.0</v>
      </c>
      <c r="B349" s="139" t="s">
        <v>2065</v>
      </c>
      <c r="C349" s="140">
        <v>11.0</v>
      </c>
      <c r="D349" s="140">
        <v>11.0</v>
      </c>
      <c r="E349" s="140">
        <v>11.0</v>
      </c>
      <c r="F349" s="139" t="s">
        <v>1764</v>
      </c>
      <c r="G349" s="140">
        <v>11.0</v>
      </c>
    </row>
    <row r="350">
      <c r="A350" s="140">
        <v>6549.0</v>
      </c>
      <c r="B350" s="139" t="s">
        <v>2066</v>
      </c>
      <c r="C350" s="140">
        <v>18.0</v>
      </c>
      <c r="D350" s="140">
        <v>18.0</v>
      </c>
      <c r="E350" s="140">
        <v>18.0</v>
      </c>
      <c r="F350" s="139" t="s">
        <v>1700</v>
      </c>
      <c r="G350" s="140">
        <v>18.0</v>
      </c>
    </row>
    <row r="351">
      <c r="A351" s="140">
        <v>6556.0</v>
      </c>
      <c r="B351" s="139" t="s">
        <v>2067</v>
      </c>
      <c r="C351" s="140">
        <v>9.0</v>
      </c>
      <c r="D351" s="140">
        <v>9.0</v>
      </c>
      <c r="E351" s="140">
        <v>9.0</v>
      </c>
      <c r="F351" s="139" t="s">
        <v>1706</v>
      </c>
      <c r="G351" s="140">
        <v>9.0</v>
      </c>
    </row>
    <row r="352">
      <c r="A352" s="140">
        <v>6572.0</v>
      </c>
      <c r="B352" s="139" t="s">
        <v>2068</v>
      </c>
      <c r="C352" s="140">
        <v>136.0</v>
      </c>
      <c r="D352" s="140">
        <v>136.0</v>
      </c>
      <c r="E352" s="140">
        <v>140.0</v>
      </c>
      <c r="F352" s="139" t="s">
        <v>2069</v>
      </c>
      <c r="G352" s="140">
        <v>140.0</v>
      </c>
    </row>
    <row r="353">
      <c r="A353" s="140">
        <v>6572.0</v>
      </c>
      <c r="B353" s="139" t="s">
        <v>2068</v>
      </c>
      <c r="C353" s="140">
        <v>136.0</v>
      </c>
      <c r="D353" s="140">
        <v>136.0</v>
      </c>
      <c r="E353" s="140">
        <v>140.0</v>
      </c>
      <c r="F353" s="139" t="s">
        <v>2069</v>
      </c>
      <c r="G353" s="140">
        <v>140.0</v>
      </c>
    </row>
    <row r="354">
      <c r="A354" s="140">
        <v>6628.0</v>
      </c>
      <c r="B354" s="139" t="s">
        <v>2070</v>
      </c>
      <c r="C354" s="140">
        <v>4.0</v>
      </c>
      <c r="D354" s="140">
        <v>4.0</v>
      </c>
      <c r="E354" s="140">
        <v>4.0</v>
      </c>
      <c r="F354" s="139" t="s">
        <v>1976</v>
      </c>
      <c r="G354" s="140">
        <v>4.0</v>
      </c>
    </row>
    <row r="355">
      <c r="A355" s="140">
        <v>6629.0</v>
      </c>
      <c r="B355" s="139" t="s">
        <v>2071</v>
      </c>
      <c r="C355" s="140">
        <v>33.0</v>
      </c>
      <c r="D355" s="140">
        <v>33.0</v>
      </c>
      <c r="E355" s="140">
        <v>33.0</v>
      </c>
      <c r="F355" s="139" t="s">
        <v>1917</v>
      </c>
      <c r="G355" s="140">
        <v>33.0</v>
      </c>
    </row>
    <row r="356">
      <c r="A356" s="140">
        <v>6630.0</v>
      </c>
      <c r="B356" s="139" t="s">
        <v>2072</v>
      </c>
      <c r="C356" s="140">
        <v>14.0</v>
      </c>
      <c r="D356" s="140">
        <v>14.0</v>
      </c>
      <c r="E356" s="140">
        <v>14.0</v>
      </c>
      <c r="F356" s="139" t="s">
        <v>1754</v>
      </c>
      <c r="G356" s="140">
        <v>14.0</v>
      </c>
    </row>
    <row r="357">
      <c r="A357" s="140">
        <v>6631.0</v>
      </c>
      <c r="B357" s="139" t="s">
        <v>2073</v>
      </c>
      <c r="C357" s="140">
        <v>10.0</v>
      </c>
      <c r="D357" s="140">
        <v>10.0</v>
      </c>
      <c r="E357" s="140">
        <v>10.0</v>
      </c>
      <c r="F357" s="139" t="s">
        <v>1666</v>
      </c>
      <c r="G357" s="140">
        <v>10.0</v>
      </c>
    </row>
    <row r="358">
      <c r="A358" s="140">
        <v>6631.0</v>
      </c>
      <c r="B358" s="139" t="s">
        <v>2073</v>
      </c>
      <c r="C358" s="140">
        <v>10.0</v>
      </c>
      <c r="D358" s="140">
        <v>10.0</v>
      </c>
      <c r="E358" s="140">
        <v>10.0</v>
      </c>
      <c r="F358" s="139" t="s">
        <v>1666</v>
      </c>
      <c r="G358" s="140">
        <v>10.0</v>
      </c>
    </row>
    <row r="359">
      <c r="A359" s="140">
        <v>6632.0</v>
      </c>
      <c r="B359" s="139" t="s">
        <v>2074</v>
      </c>
      <c r="C359" s="140">
        <v>19.0</v>
      </c>
      <c r="D359" s="140">
        <v>19.0</v>
      </c>
      <c r="E359" s="140">
        <v>19.0</v>
      </c>
      <c r="F359" s="139" t="s">
        <v>1792</v>
      </c>
      <c r="G359" s="140">
        <v>19.0</v>
      </c>
    </row>
    <row r="360">
      <c r="A360" s="140">
        <v>6633.0</v>
      </c>
      <c r="B360" s="139" t="s">
        <v>2075</v>
      </c>
      <c r="C360" s="140">
        <v>13.0</v>
      </c>
      <c r="D360" s="140">
        <v>13.0</v>
      </c>
      <c r="E360" s="140">
        <v>13.0</v>
      </c>
      <c r="F360" s="139" t="s">
        <v>1726</v>
      </c>
      <c r="G360" s="140">
        <v>13.0</v>
      </c>
    </row>
    <row r="361">
      <c r="A361" s="140">
        <v>6638.0</v>
      </c>
      <c r="B361" s="139" t="s">
        <v>2076</v>
      </c>
      <c r="D361" s="142"/>
      <c r="E361" s="142"/>
      <c r="F361" s="142"/>
      <c r="G361" s="266" t="s">
        <v>1672</v>
      </c>
    </row>
    <row r="362">
      <c r="A362" s="140">
        <v>6639.0</v>
      </c>
      <c r="B362" s="139" t="s">
        <v>2077</v>
      </c>
      <c r="C362" s="140">
        <v>9.0</v>
      </c>
      <c r="D362" s="140">
        <v>9.0</v>
      </c>
      <c r="E362" s="140">
        <v>9.0</v>
      </c>
      <c r="F362" s="139" t="s">
        <v>1706</v>
      </c>
      <c r="G362" s="140">
        <v>9.0</v>
      </c>
    </row>
    <row r="363">
      <c r="A363" s="140">
        <v>6640.0</v>
      </c>
      <c r="B363" s="139" t="s">
        <v>2078</v>
      </c>
      <c r="C363" s="140">
        <v>10.0</v>
      </c>
      <c r="D363" s="140">
        <v>10.0</v>
      </c>
      <c r="E363" s="140">
        <v>10.0</v>
      </c>
      <c r="F363" s="139" t="s">
        <v>1666</v>
      </c>
      <c r="G363" s="140">
        <v>10.0</v>
      </c>
    </row>
    <row r="364">
      <c r="A364" s="140">
        <v>6641.0</v>
      </c>
      <c r="B364" s="139" t="s">
        <v>2079</v>
      </c>
      <c r="C364" s="140">
        <v>15.0</v>
      </c>
      <c r="D364" s="140">
        <v>15.0</v>
      </c>
      <c r="E364" s="140">
        <v>15.0</v>
      </c>
      <c r="F364" s="139" t="s">
        <v>1674</v>
      </c>
      <c r="G364" s="140">
        <v>15.0</v>
      </c>
    </row>
    <row r="365">
      <c r="A365" s="140">
        <v>6642.0</v>
      </c>
      <c r="B365" s="139" t="s">
        <v>2080</v>
      </c>
      <c r="C365" s="140">
        <v>14.0</v>
      </c>
      <c r="D365" s="140">
        <v>14.0</v>
      </c>
      <c r="E365" s="140">
        <v>16.0</v>
      </c>
      <c r="F365" s="139" t="s">
        <v>2081</v>
      </c>
      <c r="G365" s="140">
        <v>16.0</v>
      </c>
    </row>
    <row r="366">
      <c r="A366" s="140">
        <v>6643.0</v>
      </c>
      <c r="B366" s="139" t="s">
        <v>2082</v>
      </c>
      <c r="C366" s="140">
        <v>13.0</v>
      </c>
      <c r="D366" s="140">
        <v>13.0</v>
      </c>
      <c r="E366" s="140">
        <v>18.0</v>
      </c>
      <c r="F366" s="139" t="s">
        <v>2083</v>
      </c>
      <c r="G366" s="140">
        <v>18.0</v>
      </c>
    </row>
    <row r="367">
      <c r="A367" s="140">
        <v>6644.0</v>
      </c>
      <c r="B367" s="139" t="s">
        <v>2084</v>
      </c>
      <c r="C367" s="140">
        <v>6.0</v>
      </c>
      <c r="D367" s="140">
        <v>6.0</v>
      </c>
      <c r="E367" s="140">
        <v>6.0</v>
      </c>
      <c r="F367" s="139" t="s">
        <v>1887</v>
      </c>
      <c r="G367" s="140">
        <v>6.0</v>
      </c>
    </row>
    <row r="368">
      <c r="A368" s="140">
        <v>6645.0</v>
      </c>
      <c r="B368" s="139" t="s">
        <v>2085</v>
      </c>
      <c r="C368" s="140">
        <v>2.0</v>
      </c>
      <c r="D368" s="140">
        <v>2.0</v>
      </c>
      <c r="E368" s="140">
        <v>2.0</v>
      </c>
      <c r="F368" s="139" t="s">
        <v>1679</v>
      </c>
      <c r="G368" s="140">
        <v>2.0</v>
      </c>
    </row>
    <row r="369">
      <c r="A369" s="140">
        <v>6646.0</v>
      </c>
      <c r="B369" s="139" t="s">
        <v>2086</v>
      </c>
      <c r="C369" s="140">
        <v>58.0</v>
      </c>
      <c r="D369" s="140">
        <v>58.0</v>
      </c>
      <c r="E369" s="140">
        <v>58.0</v>
      </c>
      <c r="F369" s="139" t="s">
        <v>1739</v>
      </c>
      <c r="G369" s="140">
        <v>58.0</v>
      </c>
    </row>
    <row r="370">
      <c r="A370" s="140">
        <v>6646.0</v>
      </c>
      <c r="B370" s="139" t="s">
        <v>2086</v>
      </c>
      <c r="C370" s="140">
        <v>58.0</v>
      </c>
      <c r="D370" s="140">
        <v>58.0</v>
      </c>
      <c r="E370" s="140">
        <v>58.0</v>
      </c>
      <c r="F370" s="139" t="s">
        <v>1739</v>
      </c>
      <c r="G370" s="140">
        <v>58.0</v>
      </c>
    </row>
    <row r="371">
      <c r="A371" s="140">
        <v>6649.0</v>
      </c>
      <c r="B371" s="139" t="s">
        <v>2087</v>
      </c>
      <c r="D371" s="142"/>
      <c r="E371" s="142"/>
      <c r="F371" s="142"/>
      <c r="G371" s="266" t="s">
        <v>1672</v>
      </c>
    </row>
    <row r="372">
      <c r="A372" s="140">
        <v>6653.0</v>
      </c>
      <c r="B372" s="139" t="s">
        <v>2088</v>
      </c>
      <c r="C372" s="140">
        <v>21.0</v>
      </c>
      <c r="D372" s="140">
        <v>12.0</v>
      </c>
      <c r="E372" s="140">
        <v>21.0</v>
      </c>
      <c r="F372" s="139" t="s">
        <v>2089</v>
      </c>
      <c r="G372" s="140">
        <v>12.0</v>
      </c>
    </row>
    <row r="373">
      <c r="A373" s="140">
        <v>6656.0</v>
      </c>
      <c r="B373" s="139" t="s">
        <v>2090</v>
      </c>
      <c r="C373" s="140">
        <v>1.0</v>
      </c>
      <c r="D373" s="140">
        <v>1.0</v>
      </c>
      <c r="E373" s="140">
        <v>1.0</v>
      </c>
      <c r="F373" s="139" t="s">
        <v>1662</v>
      </c>
      <c r="G373" s="140">
        <v>1.0</v>
      </c>
    </row>
    <row r="374">
      <c r="A374" s="140">
        <v>6663.0</v>
      </c>
      <c r="B374" s="139" t="s">
        <v>2091</v>
      </c>
      <c r="C374" s="140">
        <v>11.0</v>
      </c>
      <c r="D374" s="140">
        <v>11.0</v>
      </c>
      <c r="E374" s="140">
        <v>11.0</v>
      </c>
      <c r="F374" s="139" t="s">
        <v>1764</v>
      </c>
      <c r="G374" s="140">
        <v>11.0</v>
      </c>
    </row>
    <row r="375">
      <c r="A375" s="140">
        <v>6664.0</v>
      </c>
      <c r="B375" s="139" t="s">
        <v>2092</v>
      </c>
      <c r="C375" s="140">
        <v>24.0</v>
      </c>
      <c r="D375" s="140">
        <v>24.0</v>
      </c>
      <c r="E375" s="140">
        <v>24.0</v>
      </c>
      <c r="F375" s="139" t="s">
        <v>1850</v>
      </c>
      <c r="G375" s="140">
        <v>24.0</v>
      </c>
    </row>
    <row r="376">
      <c r="A376" s="140">
        <v>6664.0</v>
      </c>
      <c r="B376" s="139" t="s">
        <v>2092</v>
      </c>
      <c r="C376" s="140">
        <v>24.0</v>
      </c>
      <c r="D376" s="140">
        <v>24.0</v>
      </c>
      <c r="E376" s="140">
        <v>24.0</v>
      </c>
      <c r="F376" s="139" t="s">
        <v>1850</v>
      </c>
      <c r="G376" s="140">
        <v>24.0</v>
      </c>
    </row>
    <row r="377">
      <c r="A377" s="140">
        <v>6666.0</v>
      </c>
      <c r="B377" s="139" t="s">
        <v>2093</v>
      </c>
      <c r="C377" s="140">
        <v>35.0</v>
      </c>
      <c r="D377" s="140">
        <v>35.0</v>
      </c>
      <c r="E377" s="140">
        <v>35.0</v>
      </c>
      <c r="F377" s="139" t="s">
        <v>1996</v>
      </c>
      <c r="G377" s="140">
        <v>35.0</v>
      </c>
    </row>
    <row r="378">
      <c r="A378" s="140">
        <v>6669.0</v>
      </c>
      <c r="B378" s="139" t="s">
        <v>2094</v>
      </c>
      <c r="C378" s="140">
        <v>24.0</v>
      </c>
      <c r="D378" s="140">
        <v>13.0</v>
      </c>
      <c r="E378" s="140">
        <v>24.0</v>
      </c>
      <c r="F378" s="139" t="s">
        <v>2095</v>
      </c>
      <c r="G378" s="140">
        <v>13.0</v>
      </c>
    </row>
    <row r="379">
      <c r="A379" s="140">
        <v>6672.0</v>
      </c>
      <c r="B379" s="139" t="s">
        <v>2096</v>
      </c>
      <c r="C379" s="140">
        <v>17.0</v>
      </c>
      <c r="D379" s="140">
        <v>17.0</v>
      </c>
      <c r="E379" s="140">
        <v>17.0</v>
      </c>
      <c r="F379" s="139" t="s">
        <v>1734</v>
      </c>
      <c r="G379" s="140">
        <v>17.0</v>
      </c>
    </row>
    <row r="380">
      <c r="A380" s="140">
        <v>6675.0</v>
      </c>
      <c r="B380" s="139" t="s">
        <v>2097</v>
      </c>
      <c r="C380" s="140">
        <v>152.0</v>
      </c>
      <c r="D380" s="140">
        <v>140.0</v>
      </c>
      <c r="E380" s="140">
        <v>198.0</v>
      </c>
      <c r="F380" s="139" t="s">
        <v>2098</v>
      </c>
      <c r="G380" s="140">
        <v>198.0</v>
      </c>
    </row>
    <row r="381">
      <c r="A381" s="140">
        <v>6677.0</v>
      </c>
      <c r="B381" s="139" t="s">
        <v>2099</v>
      </c>
      <c r="D381" s="142"/>
      <c r="E381" s="142"/>
      <c r="F381" s="142"/>
      <c r="G381" s="266" t="s">
        <v>1672</v>
      </c>
    </row>
    <row r="382">
      <c r="A382" s="140">
        <v>6678.0</v>
      </c>
      <c r="B382" s="139" t="s">
        <v>2100</v>
      </c>
      <c r="C382" s="140">
        <v>1.0</v>
      </c>
      <c r="D382" s="140">
        <v>1.0</v>
      </c>
      <c r="E382" s="140">
        <v>3.0</v>
      </c>
      <c r="F382" s="139" t="s">
        <v>2101</v>
      </c>
      <c r="G382" s="140">
        <v>3.0</v>
      </c>
    </row>
    <row r="383">
      <c r="A383" s="140">
        <v>6680.0</v>
      </c>
      <c r="B383" s="139" t="s">
        <v>2102</v>
      </c>
      <c r="C383" s="140">
        <v>15.0</v>
      </c>
      <c r="D383" s="140">
        <v>15.0</v>
      </c>
      <c r="E383" s="140">
        <v>15.0</v>
      </c>
      <c r="F383" s="139" t="s">
        <v>1674</v>
      </c>
      <c r="G383" s="140">
        <v>15.0</v>
      </c>
    </row>
    <row r="384">
      <c r="A384" s="140">
        <v>6682.0</v>
      </c>
      <c r="B384" s="139" t="s">
        <v>2103</v>
      </c>
      <c r="D384" s="142"/>
      <c r="E384" s="142"/>
      <c r="F384" s="142"/>
      <c r="G384" s="266" t="s">
        <v>1672</v>
      </c>
    </row>
    <row r="385">
      <c r="A385" s="140">
        <v>6684.0</v>
      </c>
      <c r="B385" s="139" t="s">
        <v>2104</v>
      </c>
      <c r="C385" s="140">
        <v>22.0</v>
      </c>
      <c r="D385" s="140">
        <v>22.0</v>
      </c>
      <c r="E385" s="140">
        <v>22.0</v>
      </c>
      <c r="F385" s="139" t="s">
        <v>1703</v>
      </c>
      <c r="G385" s="140">
        <v>22.0</v>
      </c>
    </row>
    <row r="386">
      <c r="A386" s="140">
        <v>6761.0</v>
      </c>
      <c r="B386" s="139" t="s">
        <v>2105</v>
      </c>
      <c r="D386" s="142"/>
      <c r="E386" s="142"/>
      <c r="F386" s="142"/>
      <c r="G386" s="266" t="s">
        <v>1672</v>
      </c>
    </row>
    <row r="387">
      <c r="A387" s="140">
        <v>6766.0</v>
      </c>
      <c r="B387" s="139" t="s">
        <v>2106</v>
      </c>
      <c r="C387" s="140">
        <v>17.0</v>
      </c>
      <c r="D387" s="140">
        <v>17.0</v>
      </c>
      <c r="E387" s="140">
        <v>19.0</v>
      </c>
      <c r="F387" s="139" t="s">
        <v>2107</v>
      </c>
      <c r="G387" s="140">
        <v>19.0</v>
      </c>
    </row>
    <row r="388">
      <c r="A388" s="140">
        <v>6801.0</v>
      </c>
      <c r="B388" s="139" t="s">
        <v>2108</v>
      </c>
      <c r="D388" s="142"/>
      <c r="E388" s="142"/>
      <c r="F388" s="142"/>
      <c r="G388" s="266" t="s">
        <v>1672</v>
      </c>
    </row>
    <row r="389">
      <c r="A389" s="140">
        <v>6801.0</v>
      </c>
      <c r="B389" s="139" t="s">
        <v>2108</v>
      </c>
      <c r="D389" s="142"/>
      <c r="E389" s="142"/>
      <c r="F389" s="142"/>
      <c r="G389" s="266" t="s">
        <v>1672</v>
      </c>
    </row>
    <row r="390">
      <c r="A390" s="140">
        <v>6802.0</v>
      </c>
      <c r="B390" s="139" t="s">
        <v>2109</v>
      </c>
      <c r="C390" s="140">
        <v>11.0</v>
      </c>
      <c r="D390" s="140">
        <v>11.0</v>
      </c>
      <c r="E390" s="140">
        <v>11.0</v>
      </c>
      <c r="F390" s="139" t="s">
        <v>1764</v>
      </c>
      <c r="G390" s="140">
        <v>11.0</v>
      </c>
    </row>
    <row r="391">
      <c r="A391" s="140">
        <v>6803.0</v>
      </c>
      <c r="B391" s="139" t="s">
        <v>2110</v>
      </c>
      <c r="C391" s="140">
        <v>4.0</v>
      </c>
      <c r="D391" s="140">
        <v>4.0</v>
      </c>
      <c r="E391" s="140">
        <v>4.0</v>
      </c>
      <c r="F391" s="139" t="s">
        <v>1976</v>
      </c>
      <c r="G391" s="140">
        <v>4.0</v>
      </c>
    </row>
    <row r="392">
      <c r="A392" s="140">
        <v>6804.0</v>
      </c>
      <c r="B392" s="139" t="s">
        <v>2111</v>
      </c>
      <c r="C392" s="140">
        <v>9.0</v>
      </c>
      <c r="D392" s="140">
        <v>9.0</v>
      </c>
      <c r="E392" s="140">
        <v>9.0</v>
      </c>
      <c r="F392" s="139" t="s">
        <v>1706</v>
      </c>
      <c r="G392" s="140">
        <v>9.0</v>
      </c>
    </row>
    <row r="393">
      <c r="A393" s="140">
        <v>6809.0</v>
      </c>
      <c r="B393" s="139" t="s">
        <v>2112</v>
      </c>
      <c r="C393" s="140">
        <v>9.0</v>
      </c>
      <c r="D393" s="140">
        <v>9.0</v>
      </c>
      <c r="E393" s="140">
        <v>9.0</v>
      </c>
      <c r="F393" s="139" t="s">
        <v>1706</v>
      </c>
      <c r="G393" s="140">
        <v>9.0</v>
      </c>
    </row>
    <row r="394">
      <c r="A394" s="140">
        <v>6813.0</v>
      </c>
      <c r="B394" s="139" t="s">
        <v>2113</v>
      </c>
      <c r="C394" s="140">
        <v>1.0</v>
      </c>
      <c r="D394" s="140">
        <v>1.0</v>
      </c>
      <c r="E394" s="140">
        <v>1.0</v>
      </c>
      <c r="F394" s="139" t="s">
        <v>1662</v>
      </c>
      <c r="G394" s="140">
        <v>1.0</v>
      </c>
    </row>
    <row r="395">
      <c r="A395" s="140">
        <v>6815.0</v>
      </c>
      <c r="B395" s="139" t="s">
        <v>2114</v>
      </c>
      <c r="C395" s="140">
        <v>14.0</v>
      </c>
      <c r="D395" s="140">
        <v>14.0</v>
      </c>
      <c r="E395" s="140">
        <v>14.0</v>
      </c>
      <c r="F395" s="139" t="s">
        <v>1754</v>
      </c>
      <c r="G395" s="140">
        <v>14.0</v>
      </c>
    </row>
    <row r="396">
      <c r="A396" s="140">
        <v>6820.0</v>
      </c>
      <c r="B396" s="139" t="s">
        <v>2115</v>
      </c>
      <c r="D396" s="142"/>
      <c r="E396" s="142"/>
      <c r="F396" s="142"/>
      <c r="G396" s="266" t="s">
        <v>1672</v>
      </c>
    </row>
    <row r="397">
      <c r="A397" s="140">
        <v>6822.0</v>
      </c>
      <c r="B397" s="139" t="s">
        <v>2116</v>
      </c>
      <c r="C397" s="140">
        <v>3.0</v>
      </c>
      <c r="D397" s="140">
        <v>3.0</v>
      </c>
      <c r="E397" s="140">
        <v>3.0</v>
      </c>
      <c r="F397" s="139" t="s">
        <v>1912</v>
      </c>
      <c r="G397" s="140">
        <v>3.0</v>
      </c>
    </row>
    <row r="398">
      <c r="A398" s="140">
        <v>6824.0</v>
      </c>
      <c r="B398" s="139" t="s">
        <v>2117</v>
      </c>
      <c r="D398" s="142"/>
      <c r="E398" s="142"/>
      <c r="F398" s="142"/>
      <c r="G398" s="266" t="s">
        <v>1672</v>
      </c>
    </row>
    <row r="399">
      <c r="A399" s="140">
        <v>6831.0</v>
      </c>
      <c r="B399" s="139" t="s">
        <v>2118</v>
      </c>
      <c r="C399" s="140">
        <v>41.0</v>
      </c>
      <c r="D399" s="140">
        <v>41.0</v>
      </c>
      <c r="E399" s="140">
        <v>41.0</v>
      </c>
      <c r="F399" s="139" t="s">
        <v>2119</v>
      </c>
      <c r="G399" s="140">
        <v>41.0</v>
      </c>
    </row>
    <row r="400">
      <c r="A400" s="140">
        <v>6833.0</v>
      </c>
      <c r="B400" s="139" t="s">
        <v>2120</v>
      </c>
      <c r="D400" s="142"/>
      <c r="E400" s="142"/>
      <c r="F400" s="142"/>
      <c r="G400" s="266" t="s">
        <v>1672</v>
      </c>
    </row>
    <row r="401">
      <c r="A401" s="140">
        <v>6839.0</v>
      </c>
      <c r="B401" s="139" t="s">
        <v>2121</v>
      </c>
      <c r="D401" s="142"/>
      <c r="E401" s="142"/>
      <c r="F401" s="142"/>
      <c r="G401" s="266" t="s">
        <v>1672</v>
      </c>
    </row>
    <row r="402">
      <c r="A402" s="140">
        <v>6867.0</v>
      </c>
      <c r="B402" s="139" t="s">
        <v>2122</v>
      </c>
      <c r="C402" s="140">
        <v>13.0</v>
      </c>
      <c r="D402" s="140">
        <v>13.0</v>
      </c>
      <c r="E402" s="140">
        <v>13.0</v>
      </c>
      <c r="F402" s="139" t="s">
        <v>1726</v>
      </c>
      <c r="G402" s="140">
        <v>13.0</v>
      </c>
    </row>
    <row r="403">
      <c r="A403" s="140">
        <v>6874.0</v>
      </c>
      <c r="B403" s="139" t="s">
        <v>2123</v>
      </c>
      <c r="D403" s="142"/>
      <c r="E403" s="142"/>
      <c r="F403" s="142"/>
      <c r="G403" s="266" t="s">
        <v>1672</v>
      </c>
    </row>
    <row r="404">
      <c r="A404" s="140">
        <v>6875.0</v>
      </c>
      <c r="B404" s="139" t="s">
        <v>2124</v>
      </c>
      <c r="C404" s="140">
        <v>119.0</v>
      </c>
      <c r="D404" s="140">
        <v>119.0</v>
      </c>
      <c r="E404" s="140">
        <v>119.0</v>
      </c>
      <c r="F404" s="139" t="s">
        <v>2125</v>
      </c>
      <c r="G404" s="140">
        <v>119.0</v>
      </c>
    </row>
    <row r="405">
      <c r="A405" s="140">
        <v>6875.0</v>
      </c>
      <c r="B405" s="139" t="s">
        <v>2124</v>
      </c>
      <c r="C405" s="140">
        <v>119.0</v>
      </c>
      <c r="D405" s="140">
        <v>119.0</v>
      </c>
      <c r="E405" s="140">
        <v>119.0</v>
      </c>
      <c r="F405" s="139" t="s">
        <v>2125</v>
      </c>
      <c r="G405" s="140">
        <v>119.0</v>
      </c>
    </row>
    <row r="406">
      <c r="A406" s="140">
        <v>6883.0</v>
      </c>
      <c r="B406" s="139" t="s">
        <v>2126</v>
      </c>
      <c r="C406" s="140">
        <v>3.0</v>
      </c>
      <c r="D406" s="140">
        <v>3.0</v>
      </c>
      <c r="E406" s="140">
        <v>3.0</v>
      </c>
      <c r="F406" s="139" t="s">
        <v>1912</v>
      </c>
      <c r="G406" s="140">
        <v>3.0</v>
      </c>
    </row>
    <row r="407">
      <c r="A407" s="140">
        <v>6883.0</v>
      </c>
      <c r="B407" s="139" t="s">
        <v>2126</v>
      </c>
      <c r="C407" s="140">
        <v>3.0</v>
      </c>
      <c r="D407" s="140">
        <v>3.0</v>
      </c>
      <c r="E407" s="140">
        <v>3.0</v>
      </c>
      <c r="F407" s="139" t="s">
        <v>1912</v>
      </c>
      <c r="G407" s="140">
        <v>3.0</v>
      </c>
    </row>
    <row r="408">
      <c r="A408" s="140">
        <v>6884.0</v>
      </c>
      <c r="B408" s="139" t="s">
        <v>2127</v>
      </c>
      <c r="C408" s="140">
        <v>85.0</v>
      </c>
      <c r="D408" s="140">
        <v>85.0</v>
      </c>
      <c r="E408" s="140">
        <v>85.0</v>
      </c>
      <c r="F408" s="139" t="s">
        <v>2128</v>
      </c>
      <c r="G408" s="140">
        <v>85.0</v>
      </c>
    </row>
    <row r="409">
      <c r="A409" s="140">
        <v>6884.0</v>
      </c>
      <c r="B409" s="139" t="s">
        <v>2127</v>
      </c>
      <c r="C409" s="140">
        <v>85.0</v>
      </c>
      <c r="D409" s="140">
        <v>85.0</v>
      </c>
      <c r="E409" s="140">
        <v>85.0</v>
      </c>
      <c r="F409" s="139" t="s">
        <v>2128</v>
      </c>
      <c r="G409" s="140">
        <v>85.0</v>
      </c>
    </row>
    <row r="410">
      <c r="A410" s="140">
        <v>6885.0</v>
      </c>
      <c r="B410" s="139" t="s">
        <v>2129</v>
      </c>
      <c r="C410" s="140">
        <v>1.0</v>
      </c>
      <c r="D410" s="140">
        <v>1.0</v>
      </c>
      <c r="E410" s="140">
        <v>1.0</v>
      </c>
      <c r="F410" s="139" t="s">
        <v>1662</v>
      </c>
      <c r="G410" s="140">
        <v>1.0</v>
      </c>
    </row>
    <row r="411">
      <c r="A411" s="140">
        <v>6889.0</v>
      </c>
      <c r="B411" s="139" t="s">
        <v>2130</v>
      </c>
      <c r="C411" s="140">
        <v>23.0</v>
      </c>
      <c r="D411" s="140">
        <v>23.0</v>
      </c>
      <c r="E411" s="140">
        <v>23.0</v>
      </c>
      <c r="F411" s="139" t="s">
        <v>1683</v>
      </c>
      <c r="G411" s="140">
        <v>23.0</v>
      </c>
    </row>
    <row r="412">
      <c r="A412" s="140">
        <v>6890.0</v>
      </c>
      <c r="B412" s="139" t="s">
        <v>2131</v>
      </c>
      <c r="D412" s="142"/>
      <c r="E412" s="142"/>
      <c r="F412" s="142"/>
      <c r="G412" s="266" t="s">
        <v>1672</v>
      </c>
    </row>
    <row r="413">
      <c r="A413" s="140">
        <v>6895.0</v>
      </c>
      <c r="B413" s="139" t="s">
        <v>2132</v>
      </c>
      <c r="C413" s="140">
        <v>25.0</v>
      </c>
      <c r="D413" s="140">
        <v>25.0</v>
      </c>
      <c r="E413" s="140">
        <v>25.0</v>
      </c>
      <c r="F413" s="139" t="s">
        <v>1728</v>
      </c>
      <c r="G413" s="140">
        <v>25.0</v>
      </c>
    </row>
    <row r="414">
      <c r="A414" s="140">
        <v>6895.0</v>
      </c>
      <c r="B414" s="139" t="s">
        <v>2132</v>
      </c>
      <c r="C414" s="140">
        <v>25.0</v>
      </c>
      <c r="D414" s="140">
        <v>25.0</v>
      </c>
      <c r="E414" s="140">
        <v>25.0</v>
      </c>
      <c r="F414" s="139" t="s">
        <v>1728</v>
      </c>
      <c r="G414" s="140">
        <v>25.0</v>
      </c>
    </row>
    <row r="415">
      <c r="A415" s="140">
        <v>6904.0</v>
      </c>
      <c r="B415" s="139" t="s">
        <v>2133</v>
      </c>
      <c r="D415" s="142"/>
      <c r="E415" s="142"/>
      <c r="F415" s="142"/>
      <c r="G415" s="266" t="s">
        <v>1672</v>
      </c>
    </row>
    <row r="416">
      <c r="A416" s="140">
        <v>6917.0</v>
      </c>
      <c r="B416" s="139" t="s">
        <v>2134</v>
      </c>
      <c r="C416" s="140">
        <v>11.0</v>
      </c>
      <c r="D416" s="140">
        <v>11.0</v>
      </c>
      <c r="E416" s="140">
        <v>11.0</v>
      </c>
      <c r="F416" s="139" t="s">
        <v>1764</v>
      </c>
      <c r="G416" s="140">
        <v>11.0</v>
      </c>
    </row>
    <row r="417">
      <c r="A417" s="140">
        <v>6956.0</v>
      </c>
      <c r="B417" s="139" t="s">
        <v>2135</v>
      </c>
      <c r="C417" s="140">
        <v>30.0</v>
      </c>
      <c r="D417" s="140">
        <v>30.0</v>
      </c>
      <c r="E417" s="140">
        <v>37.0</v>
      </c>
      <c r="F417" s="139" t="s">
        <v>2136</v>
      </c>
      <c r="G417" s="140">
        <v>37.0</v>
      </c>
    </row>
    <row r="418">
      <c r="A418" s="140">
        <v>6956.0</v>
      </c>
      <c r="B418" s="139" t="s">
        <v>2135</v>
      </c>
      <c r="C418" s="140">
        <v>30.0</v>
      </c>
      <c r="D418" s="140">
        <v>30.0</v>
      </c>
      <c r="E418" s="140">
        <v>37.0</v>
      </c>
      <c r="F418" s="139" t="s">
        <v>2136</v>
      </c>
      <c r="G418" s="140">
        <v>37.0</v>
      </c>
    </row>
    <row r="419">
      <c r="A419" s="140">
        <v>6966.0</v>
      </c>
      <c r="B419" s="139" t="s">
        <v>2137</v>
      </c>
      <c r="C419" s="140">
        <v>32.0</v>
      </c>
      <c r="D419" s="140">
        <v>32.0</v>
      </c>
      <c r="E419" s="140">
        <v>32.0</v>
      </c>
      <c r="F419" s="139" t="s">
        <v>1790</v>
      </c>
      <c r="G419" s="140">
        <v>32.0</v>
      </c>
    </row>
    <row r="420">
      <c r="A420" s="140">
        <v>6967.0</v>
      </c>
      <c r="B420" s="139" t="s">
        <v>2138</v>
      </c>
      <c r="C420" s="140">
        <v>99.0</v>
      </c>
      <c r="D420" s="140">
        <v>99.0</v>
      </c>
      <c r="E420" s="140">
        <v>99.0</v>
      </c>
      <c r="F420" s="139" t="s">
        <v>2139</v>
      </c>
      <c r="G420" s="140">
        <v>99.0</v>
      </c>
    </row>
    <row r="421">
      <c r="A421" s="140">
        <v>6975.0</v>
      </c>
      <c r="B421" s="139" t="s">
        <v>698</v>
      </c>
      <c r="D421" s="142"/>
      <c r="E421" s="142"/>
      <c r="F421" s="142"/>
      <c r="G421" s="266" t="s">
        <v>1672</v>
      </c>
    </row>
    <row r="422">
      <c r="A422" s="140">
        <v>6986.0</v>
      </c>
      <c r="B422" s="139" t="s">
        <v>2140</v>
      </c>
      <c r="C422" s="140">
        <v>17.0</v>
      </c>
      <c r="D422" s="140">
        <v>17.0</v>
      </c>
      <c r="E422" s="140">
        <v>17.0</v>
      </c>
      <c r="F422" s="139" t="s">
        <v>1734</v>
      </c>
      <c r="G422" s="140">
        <v>17.0</v>
      </c>
    </row>
    <row r="423">
      <c r="A423" s="140">
        <v>7008.0</v>
      </c>
      <c r="B423" s="139" t="s">
        <v>2141</v>
      </c>
      <c r="C423" s="140">
        <v>257.0</v>
      </c>
      <c r="D423" s="140">
        <v>257.0</v>
      </c>
      <c r="E423" s="140">
        <v>261.0</v>
      </c>
      <c r="F423" s="139" t="s">
        <v>2142</v>
      </c>
      <c r="G423" s="140">
        <v>261.0</v>
      </c>
    </row>
    <row r="424">
      <c r="A424" s="140">
        <v>7017.0</v>
      </c>
      <c r="B424" s="139" t="s">
        <v>2143</v>
      </c>
      <c r="C424" s="140">
        <v>17.0</v>
      </c>
      <c r="D424" s="140">
        <v>14.0</v>
      </c>
      <c r="E424" s="140">
        <v>17.0</v>
      </c>
      <c r="F424" s="139" t="s">
        <v>2144</v>
      </c>
      <c r="G424" s="140">
        <v>14.0</v>
      </c>
    </row>
  </sheetData>
  <mergeCells count="83">
    <mergeCell ref="B258:C258"/>
    <mergeCell ref="B261:C261"/>
    <mergeCell ref="B265:C265"/>
    <mergeCell ref="B274:C274"/>
    <mergeCell ref="B275:C275"/>
    <mergeCell ref="B279:C279"/>
    <mergeCell ref="B280:C280"/>
    <mergeCell ref="B281:C281"/>
    <mergeCell ref="B287:C287"/>
    <mergeCell ref="B288:C288"/>
    <mergeCell ref="B289:C289"/>
    <mergeCell ref="B300:C300"/>
    <mergeCell ref="B313:C313"/>
    <mergeCell ref="B314:C314"/>
    <mergeCell ref="B318:C318"/>
    <mergeCell ref="B320:D320"/>
    <mergeCell ref="B321:C321"/>
    <mergeCell ref="B327:C327"/>
    <mergeCell ref="B346:C346"/>
    <mergeCell ref="B361:C361"/>
    <mergeCell ref="B371:C371"/>
    <mergeCell ref="B400:C400"/>
    <mergeCell ref="B401:C401"/>
    <mergeCell ref="B403:C403"/>
    <mergeCell ref="B412:C412"/>
    <mergeCell ref="B415:C415"/>
    <mergeCell ref="B421:C421"/>
    <mergeCell ref="B381:C381"/>
    <mergeCell ref="B384:C384"/>
    <mergeCell ref="B386:C386"/>
    <mergeCell ref="B388:C388"/>
    <mergeCell ref="B389:C389"/>
    <mergeCell ref="B396:C396"/>
    <mergeCell ref="B398:C398"/>
    <mergeCell ref="B7:C7"/>
    <mergeCell ref="B9:C9"/>
    <mergeCell ref="B10:C10"/>
    <mergeCell ref="B13:C13"/>
    <mergeCell ref="B14:C14"/>
    <mergeCell ref="B20:C20"/>
    <mergeCell ref="B21:C21"/>
    <mergeCell ref="B25:C25"/>
    <mergeCell ref="B26:C26"/>
    <mergeCell ref="B27:C27"/>
    <mergeCell ref="B28:C28"/>
    <mergeCell ref="B30:C30"/>
    <mergeCell ref="B32:C32"/>
    <mergeCell ref="B39:C39"/>
    <mergeCell ref="B48:C48"/>
    <mergeCell ref="B63:D63"/>
    <mergeCell ref="B75:C75"/>
    <mergeCell ref="B79:C79"/>
    <mergeCell ref="B82:C82"/>
    <mergeCell ref="B86:C86"/>
    <mergeCell ref="B87:C87"/>
    <mergeCell ref="B93:C93"/>
    <mergeCell ref="B100:C100"/>
    <mergeCell ref="B101:C101"/>
    <mergeCell ref="B104:C104"/>
    <mergeCell ref="B121:C121"/>
    <mergeCell ref="B124:C124"/>
    <mergeCell ref="B129:D129"/>
    <mergeCell ref="B128:C128"/>
    <mergeCell ref="B134:C134"/>
    <mergeCell ref="B139:C139"/>
    <mergeCell ref="B141:C141"/>
    <mergeCell ref="B149:C149"/>
    <mergeCell ref="B151:C151"/>
    <mergeCell ref="B155:D155"/>
    <mergeCell ref="B152:C152"/>
    <mergeCell ref="B165:C165"/>
    <mergeCell ref="B166:C166"/>
    <mergeCell ref="B167:C167"/>
    <mergeCell ref="B180:C180"/>
    <mergeCell ref="B185:C185"/>
    <mergeCell ref="B196:C196"/>
    <mergeCell ref="B209:C209"/>
    <mergeCell ref="B210:C210"/>
    <mergeCell ref="B212:C212"/>
    <mergeCell ref="B215:C215"/>
    <mergeCell ref="B216:C216"/>
    <mergeCell ref="B241:C241"/>
    <mergeCell ref="B252:C252"/>
  </mergeCells>
  <drawing r:id="rId1"/>
</worksheet>
</file>