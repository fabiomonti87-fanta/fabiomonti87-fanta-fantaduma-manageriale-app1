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de9ebb3ce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21bd09d60344ee"/>
    <x:sheet xmlns:r="http://schemas.openxmlformats.org/officeDocument/2006/relationships" name="Backlog" sheetId="2" r:id="Ra71db6c6dc50430f"/>
    <x:sheet xmlns:r="http://schemas.openxmlformats.org/officeDocument/2006/relationships" name="Acceptance_Criteria" sheetId="3" r:id="R47a7153fbb5e4d9e"/>
    <x:sheet xmlns:r="http://schemas.openxmlformats.org/officeDocument/2006/relationships" name="Milestones" sheetId="4" r:id="Rc24f24bfb0f0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16ce3e61e4ab1" /><Relationship Type="http://schemas.openxmlformats.org/officeDocument/2006/relationships/theme" Target="/xl/theme/theme1.xml" Id="R70705a7986494e1f" /><Relationship Type="http://schemas.openxmlformats.org/officeDocument/2006/relationships/sharedStrings" Target="/xl/sharedStrings.xml" Id="R7a0cff2ce96b4ca5" /><Relationship Type="http://schemas.openxmlformats.org/officeDocument/2006/relationships/worksheet" Target="/xl/worksheets/sheet1.xml" Id="R4821bd09d60344ee" /><Relationship Type="http://schemas.openxmlformats.org/officeDocument/2006/relationships/worksheet" Target="/xl/worksheets/sheet2.xml" Id="Ra71db6c6dc50430f" /><Relationship Type="http://schemas.openxmlformats.org/officeDocument/2006/relationships/worksheet" Target="/xl/worksheets/sheet3.xml" Id="R47a7153fbb5e4d9e" /><Relationship Type="http://schemas.openxmlformats.org/officeDocument/2006/relationships/worksheet" Target="/xl/worksheets/sheet4.xml" Id="Rc24f24bfb0f04d2f" /></Relationships>
</file>

<file path=xl/tables/table1.xml><?xml version="1.0" encoding="utf-8"?>
<x:table xmlns:x="http://schemas.openxmlformats.org/spreadsheetml/2006/main" id="1" name="BacklogTable" displayName="BacklogTable" ref="A1:K26" headerRowCount="1">
  <x:tableColumns count="11">
    <x:tableColumn id="1" name="ID"/>
    <x:tableColumn id="2" name="Epic"/>
    <x:tableColumn id="3" name="User Story"/>
    <x:tableColumn id="4" name="Priority"/>
    <x:tableColumn id="5" name="Role"/>
    <x:tableColumn id="6" name="Acceptance Criteria Ref"/>
    <x:tableColumn id="7" name="Status"/>
    <x:tableColumn id="8" name="Effort"/>
    <x:tableColumn id="9" name="Sprint"/>
    <x:tableColumn id="10" name="Dependency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cceptanceCriteriaTable" displayName="AcceptanceCriteriaTable" ref="A1:E26" headerRowCount="1">
  <x:tableColumns count="5">
    <x:tableColumn id="1" name="Ref"/>
    <x:tableColumn id="2" name="Acceptance Criteria"/>
    <x:tableColumn id="3" name="Validation Method"/>
    <x:tableColumn id="4" name="Owner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ilestonesTable" displayName="MilestonesTable" ref="A1:E7" headerRowCount="1">
  <x:tableColumns count="5">
    <x:tableColumn id="1" name="Milestone"/>
    <x:tableColumn id="2" name="Obiettivo"/>
    <x:tableColumn id="3" name="Output"/>
    <x:tableColumn id="4" name="Exit Criteria"/>
    <x:tableColumn id="5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4990848e04e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b011fb9975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2076074bd7484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" t="str">
        <x:v>Backlog MVP — Fantaduma Manageriale</x:v>
      </x:c>
      <x:c r="B1" s="5"/>
      <x:c r="C1" s="5"/>
      <x:c r="D1" s="5"/>
      <x:c r="E1" s="5"/>
    </x:row>
    <x:row r="3">
      <x:c r="A3" s="14" t="str">
        <x:v>Metric</x:v>
      </x:c>
      <x:c r="B3" s="14" t="str">
        <x:v>Value</x:v>
      </x:c>
    </x:row>
    <x:row r="4">
      <x:c r="A4" t="str">
        <x:v>Totale story</x:v>
      </x:c>
      <x:c r="B4" t="n">
        <x:f>COUNTA(Backlog!A2:A200)</x:f>
        <x:v>25</x:v>
      </x:c>
    </x:row>
    <x:row r="5">
      <x:c r="A5" t="str">
        <x:v>Must</x:v>
      </x:c>
      <x:c r="B5" t="n">
        <x:f>COUNTIF(Backlog!D2:D200,"Must")</x:f>
        <x:v>20</x:v>
      </x:c>
    </x:row>
    <x:row r="6">
      <x:c r="A6" t="str">
        <x:v>Should</x:v>
      </x:c>
      <x:c r="B6" t="n">
        <x:f>COUNTIF(Backlog!D2:D200,"Should")</x:f>
        <x:v>4</x:v>
      </x:c>
    </x:row>
    <x:row r="7">
      <x:c r="A7" t="str">
        <x:v>Could</x:v>
      </x:c>
      <x:c r="B7" t="n">
        <x:f>COUNTIF(Backlog!D2:D200,"Could")</x:f>
        <x:v>1</x:v>
      </x:c>
    </x:row>
    <x:row r="8">
      <x:c r="A8" t="str">
        <x:v>Done</x:v>
      </x:c>
      <x:c r="B8" t="n">
        <x:f>COUNTIF(Backlog!G2:G200,"Done")</x:f>
        <x:v>0</x:v>
      </x:c>
    </x:row>
    <x:row r="9">
      <x:c r="A9" t="str">
        <x:v>In progress</x:v>
      </x:c>
      <x:c r="B9" t="n">
        <x:f>COUNTIF(Backlog!G2:G200,"In progress")</x:f>
        <x:v>0</x:v>
      </x:c>
    </x:row>
    <x:row r="10">
      <x:c r="A10" t="str">
        <x:v>Todo</x:v>
      </x:c>
      <x:c r="B10" t="n">
        <x:f>COUNTIF(Backlog!G2:G200,"Todo")</x:f>
        <x:v>25</x:v>
      </x:c>
    </x:row>
    <x:row r="12">
      <x:c r="A12" s="22" t="str">
        <x:v>Uso</x:v>
      </x:c>
      <x:c r="B12" s="27" t="str">
        <x:v>Compilare Owner, Effort, Status e Sprint. Lo sviluppatore deve confermare o modificare acceptance criteria e dipendenze.</x:v>
      </x:c>
      <x:c r="C12" s="27" t="str"/>
      <x:c r="D12" s="27" t="str"/>
      <x:c r="E12" s="27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12" hidden="0" customWidth="1"/>
    <x:col min="5" max="5" width="14" hidden="0" customWidth="1"/>
    <x:col min="6" max="6" width="20" hidden="0" customWidth="1"/>
    <x:col min="7" max="7" width="16" hidden="0" customWidth="1"/>
    <x:col min="8" max="8" width="10" hidden="0" customWidth="1"/>
    <x:col min="9" max="9" width="14" hidden="0" customWidth="1"/>
    <x:col min="10" max="10" width="24" hidden="0" customWidth="1"/>
    <x:col min="11" max="11" width="36" hidden="0" customWidth="1"/>
  </x:cols>
  <x:sheetData>
    <x:row r="1">
      <x:c r="A1" s="14" t="str">
        <x:v>ID</x:v>
      </x:c>
      <x:c r="B1" s="14" t="str">
        <x:v>Epic</x:v>
      </x:c>
      <x:c r="C1" s="14" t="str">
        <x:v>User Story</x:v>
      </x:c>
      <x:c r="D1" s="14" t="str">
        <x:v>Priority</x:v>
      </x:c>
      <x:c r="E1" s="14" t="str">
        <x:v>Role</x:v>
      </x:c>
      <x:c r="F1" s="14" t="str">
        <x:v>Acceptance Criteria Ref</x:v>
      </x:c>
      <x:c r="G1" s="14" t="str">
        <x:v>Status</x:v>
      </x:c>
      <x:c r="H1" s="14" t="str">
        <x:v>Effort</x:v>
      </x:c>
      <x:c r="I1" s="14" t="str">
        <x:v>Sprint</x:v>
      </x:c>
      <x:c r="J1" s="14" t="str">
        <x:v>Dependency</x:v>
      </x:c>
      <x:c r="K1" s="14" t="str">
        <x:v>Notes</x:v>
      </x:c>
    </x:row>
    <x:row r="2">
      <x:c r="A2" s="27" t="str">
        <x:v>BL-001</x:v>
      </x:c>
      <x:c r="B2" s="27" t="str">
        <x:v>Setup tecnico</x:v>
      </x:c>
      <x:c r="C2" s="27" t="str">
        <x:v>Come developer voglio creare il progetto Next.js e repository GitHub</x:v>
      </x:c>
      <x:c r="D2" s="27" t="str">
        <x:v>Must</x:v>
      </x:c>
      <x:c r="E2" s="27" t="str">
        <x:v>Developer</x:v>
      </x:c>
      <x:c r="F2" s="27" t="str">
        <x:v>AC-001</x:v>
      </x:c>
      <x:c r="G2" s="27" t="str">
        <x:v>Todo</x:v>
      </x:c>
      <x:c r="H2" s="27" t="str">
        <x:v>S</x:v>
      </x:c>
      <x:c r="I2" s="27" t="str">
        <x:v>Sprint 0</x:v>
      </x:c>
      <x:c r="J2" s="27" t="str"/>
      <x:c r="K2" s="27" t="str"/>
    </x:row>
    <x:row r="3">
      <x:c r="A3" s="27" t="str">
        <x:v>BL-002</x:v>
      </x:c>
      <x:c r="B3" s="27" t="str">
        <x:v>Setup tecnico</x:v>
      </x:c>
      <x:c r="C3" s="27" t="str">
        <x:v>Come developer voglio configurare Supabase e database iniziale</x:v>
      </x:c>
      <x:c r="D3" s="27" t="str">
        <x:v>Must</x:v>
      </x:c>
      <x:c r="E3" s="27" t="str">
        <x:v>Developer</x:v>
      </x:c>
      <x:c r="F3" s="27" t="str">
        <x:v>AC-002</x:v>
      </x:c>
      <x:c r="G3" s="27" t="str">
        <x:v>Todo</x:v>
      </x:c>
      <x:c r="H3" s="27" t="str">
        <x:v>M</x:v>
      </x:c>
      <x:c r="I3" s="27" t="str">
        <x:v>Sprint 0</x:v>
      </x:c>
      <x:c r="J3" s="27" t="str">
        <x:v>BL-001</x:v>
      </x:c>
      <x:c r="K3" s="27" t="str"/>
    </x:row>
    <x:row r="4">
      <x:c r="A4" s="27" t="str">
        <x:v>BL-003</x:v>
      </x:c>
      <x:c r="B4" s="27" t="str">
        <x:v>Setup tecnico</x:v>
      </x:c>
      <x:c r="C4" s="27" t="str">
        <x:v>Come developer voglio deploy demo su Vercel</x:v>
      </x:c>
      <x:c r="D4" s="27" t="str">
        <x:v>Must</x:v>
      </x:c>
      <x:c r="E4" s="27" t="str">
        <x:v>Developer</x:v>
      </x:c>
      <x:c r="F4" s="27" t="str">
        <x:v>AC-003</x:v>
      </x:c>
      <x:c r="G4" s="27" t="str">
        <x:v>Todo</x:v>
      </x:c>
      <x:c r="H4" s="27" t="str">
        <x:v>S</x:v>
      </x:c>
      <x:c r="I4" s="27" t="str">
        <x:v>Sprint 0</x:v>
      </x:c>
      <x:c r="J4" s="27" t="str">
        <x:v>BL-001</x:v>
      </x:c>
      <x:c r="K4" s="27" t="str"/>
    </x:row>
    <x:row r="5">
      <x:c r="A5" s="27" t="str">
        <x:v>BL-004</x:v>
      </x:c>
      <x:c r="B5" s="27" t="str">
        <x:v>Auth</x:v>
      </x:c>
      <x:c r="C5" s="27" t="str">
        <x:v>Come utente voglio accedere con email/password o magic link</x:v>
      </x:c>
      <x:c r="D5" s="27" t="str">
        <x:v>Must</x:v>
      </x:c>
      <x:c r="E5" s="27" t="str">
        <x:v>Manager</x:v>
      </x:c>
      <x:c r="F5" s="27" t="str">
        <x:v>AC-004</x:v>
      </x:c>
      <x:c r="G5" s="27" t="str">
        <x:v>Todo</x:v>
      </x:c>
      <x:c r="H5" s="27" t="str">
        <x:v>M</x:v>
      </x:c>
      <x:c r="I5" s="27" t="str">
        <x:v>Sprint 1</x:v>
      </x:c>
      <x:c r="J5" s="27" t="str">
        <x:v>BL-002</x:v>
      </x:c>
      <x:c r="K5" s="27" t="str">
        <x:v>Supabase Auth</x:v>
      </x:c>
    </x:row>
    <x:row r="6">
      <x:c r="A6" s="27" t="str">
        <x:v>BL-005</x:v>
      </x:c>
      <x:c r="B6" s="27" t="str">
        <x:v>Auth</x:v>
      </x:c>
      <x:c r="C6" s="27" t="str">
        <x:v>Come admin voglio assegnare ruoli utenti</x:v>
      </x:c>
      <x:c r="D6" s="27" t="str">
        <x:v>Must</x:v>
      </x:c>
      <x:c r="E6" s="27" t="str">
        <x:v>Admin</x:v>
      </x:c>
      <x:c r="F6" s="27" t="str">
        <x:v>AC-005</x:v>
      </x:c>
      <x:c r="G6" s="27" t="str">
        <x:v>Todo</x:v>
      </x:c>
      <x:c r="H6" s="27" t="str">
        <x:v>M</x:v>
      </x:c>
      <x:c r="I6" s="27" t="str">
        <x:v>Sprint 1</x:v>
      </x:c>
      <x:c r="J6" s="27" t="str">
        <x:v>BL-004</x:v>
      </x:c>
      <x:c r="K6" s="27" t="str"/>
    </x:row>
    <x:row r="7">
      <x:c r="A7" s="27" t="str">
        <x:v>BL-006</x:v>
      </x:c>
      <x:c r="B7" s="27" t="str">
        <x:v>Squadre</x:v>
      </x:c>
      <x:c r="C7" s="27" t="str">
        <x:v>Come admin voglio creare e modificare squadre</x:v>
      </x:c>
      <x:c r="D7" s="27" t="str">
        <x:v>Must</x:v>
      </x:c>
      <x:c r="E7" s="27" t="str">
        <x:v>Admin</x:v>
      </x:c>
      <x:c r="F7" s="27" t="str">
        <x:v>AC-006</x:v>
      </x:c>
      <x:c r="G7" s="27" t="str">
        <x:v>Todo</x:v>
      </x:c>
      <x:c r="H7" s="27" t="str">
        <x:v>M</x:v>
      </x:c>
      <x:c r="I7" s="27" t="str">
        <x:v>Sprint 1</x:v>
      </x:c>
      <x:c r="J7" s="27" t="str">
        <x:v>BL-005</x:v>
      </x:c>
      <x:c r="K7" s="27" t="str"/>
    </x:row>
    <x:row r="8">
      <x:c r="A8" s="27" t="str">
        <x:v>BL-007</x:v>
      </x:c>
      <x:c r="B8" s="27" t="str">
        <x:v>Squadre</x:v>
      </x:c>
      <x:c r="C8" s="27" t="str">
        <x:v>Come manager voglio vedere dashboard della mia squadra</x:v>
      </x:c>
      <x:c r="D8" s="27" t="str">
        <x:v>Must</x:v>
      </x:c>
      <x:c r="E8" s="27" t="str">
        <x:v>Manager</x:v>
      </x:c>
      <x:c r="F8" s="27" t="str">
        <x:v>AC-007</x:v>
      </x:c>
      <x:c r="G8" s="27" t="str">
        <x:v>Todo</x:v>
      </x:c>
      <x:c r="H8" s="27" t="str">
        <x:v>M</x:v>
      </x:c>
      <x:c r="I8" s="27" t="str">
        <x:v>Sprint 2</x:v>
      </x:c>
      <x:c r="J8" s="27" t="str">
        <x:v>BL-006</x:v>
      </x:c>
      <x:c r="K8" s="27" t="str"/>
    </x:row>
    <x:row r="9">
      <x:c r="A9" s="27" t="str">
        <x:v>BL-008</x:v>
      </x:c>
      <x:c r="B9" s="27" t="str">
        <x:v>Giocatori</x:v>
      </x:c>
      <x:c r="C9" s="27" t="str">
        <x:v>Come admin voglio importare/creare anagrafica giocatori</x:v>
      </x:c>
      <x:c r="D9" s="27" t="str">
        <x:v>Must</x:v>
      </x:c>
      <x:c r="E9" s="27" t="str">
        <x:v>Admin</x:v>
      </x:c>
      <x:c r="F9" s="27" t="str">
        <x:v>AC-008</x:v>
      </x:c>
      <x:c r="G9" s="27" t="str">
        <x:v>Todo</x:v>
      </x:c>
      <x:c r="H9" s="27" t="str">
        <x:v>M</x:v>
      </x:c>
      <x:c r="I9" s="27" t="str">
        <x:v>Sprint 2</x:v>
      </x:c>
      <x:c r="J9" s="27" t="str">
        <x:v>BL-002</x:v>
      </x:c>
      <x:c r="K9" s="27" t="str"/>
    </x:row>
    <x:row r="10">
      <x:c r="A10" s="27" t="str">
        <x:v>BL-009</x:v>
      </x:c>
      <x:c r="B10" s="27" t="str">
        <x:v>Giocatori</x:v>
      </x:c>
      <x:c r="C10" s="27" t="str">
        <x:v>Come utente voglio cercare e filtrare giocatori</x:v>
      </x:c>
      <x:c r="D10" s="27" t="str">
        <x:v>Should</x:v>
      </x:c>
      <x:c r="E10" s="27" t="str">
        <x:v>Manager</x:v>
      </x:c>
      <x:c r="F10" s="27" t="str">
        <x:v>AC-009</x:v>
      </x:c>
      <x:c r="G10" s="27" t="str">
        <x:v>Todo</x:v>
      </x:c>
      <x:c r="H10" s="27" t="str">
        <x:v>S</x:v>
      </x:c>
      <x:c r="I10" s="27" t="str">
        <x:v>Sprint 2</x:v>
      </x:c>
      <x:c r="J10" s="27" t="str">
        <x:v>BL-008</x:v>
      </x:c>
      <x:c r="K10" s="27" t="str"/>
    </x:row>
    <x:row r="11">
      <x:c r="A11" s="27" t="str">
        <x:v>BL-010</x:v>
      </x:c>
      <x:c r="B11" s="27" t="str">
        <x:v>Rose</x:v>
      </x:c>
      <x:c r="C11" s="27" t="str">
        <x:v>Come manager voglio vedere la rosa per squadra e ruolo</x:v>
      </x:c>
      <x:c r="D11" s="27" t="str">
        <x:v>Must</x:v>
      </x:c>
      <x:c r="E11" s="27" t="str">
        <x:v>Manager</x:v>
      </x:c>
      <x:c r="F11" s="27" t="str">
        <x:v>AC-010</x:v>
      </x:c>
      <x:c r="G11" s="27" t="str">
        <x:v>Todo</x:v>
      </x:c>
      <x:c r="H11" s="27" t="str">
        <x:v>M</x:v>
      </x:c>
      <x:c r="I11" s="27" t="str">
        <x:v>Sprint 2</x:v>
      </x:c>
      <x:c r="J11" s="27" t="str">
        <x:v>BL-006;BL-008</x:v>
      </x:c>
      <x:c r="K11" s="27" t="str"/>
    </x:row>
    <x:row r="12">
      <x:c r="A12" s="27" t="str">
        <x:v>BL-011</x:v>
      </x:c>
      <x:c r="B12" s="27" t="str">
        <x:v>Contratti</x:v>
      </x:c>
      <x:c r="C12" s="27" t="str">
        <x:v>Come admin voglio creare e modificare contratti</x:v>
      </x:c>
      <x:c r="D12" s="27" t="str">
        <x:v>Must</x:v>
      </x:c>
      <x:c r="E12" s="27" t="str">
        <x:v>Admin</x:v>
      </x:c>
      <x:c r="F12" s="27" t="str">
        <x:v>AC-011</x:v>
      </x:c>
      <x:c r="G12" s="27" t="str">
        <x:v>Todo</x:v>
      </x:c>
      <x:c r="H12" s="27" t="str">
        <x:v>L</x:v>
      </x:c>
      <x:c r="I12" s="27" t="str">
        <x:v>Sprint 3</x:v>
      </x:c>
      <x:c r="J12" s="27" t="str">
        <x:v>BL-010</x:v>
      </x:c>
      <x:c r="K12" s="27" t="str"/>
    </x:row>
    <x:row r="13">
      <x:c r="A13" s="27" t="str">
        <x:v>BL-012</x:v>
      </x:c>
      <x:c r="B13" s="27" t="str">
        <x:v>Contratti</x:v>
      </x:c>
      <x:c r="C13" s="27" t="str">
        <x:v>Come utente voglio vedere impatto salary cap dei contratti</x:v>
      </x:c>
      <x:c r="D13" s="27" t="str">
        <x:v>Must</x:v>
      </x:c>
      <x:c r="E13" s="27" t="str">
        <x:v>Manager</x:v>
      </x:c>
      <x:c r="F13" s="27" t="str">
        <x:v>AC-012</x:v>
      </x:c>
      <x:c r="G13" s="27" t="str">
        <x:v>Todo</x:v>
      </x:c>
      <x:c r="H13" s="27" t="str">
        <x:v>M</x:v>
      </x:c>
      <x:c r="I13" s="27" t="str">
        <x:v>Sprint 3</x:v>
      </x:c>
      <x:c r="J13" s="27" t="str">
        <x:v>BL-011</x:v>
      </x:c>
      <x:c r="K13" s="27" t="str"/>
    </x:row>
    <x:row r="14">
      <x:c r="A14" s="27" t="str">
        <x:v>BL-013</x:v>
      </x:c>
      <x:c r="B14" s="27" t="str">
        <x:v>Rules Engine</x:v>
      </x:c>
      <x:c r="C14" s="27" t="str">
        <x:v>Come sistema voglio calcolare quota pro-rata</x:v>
      </x:c>
      <x:c r="D14" s="27" t="str">
        <x:v>Must</x:v>
      </x:c>
      <x:c r="E14" s="27" t="str">
        <x:v>System</x:v>
      </x:c>
      <x:c r="F14" s="27" t="str">
        <x:v>AC-013</x:v>
      </x:c>
      <x:c r="G14" s="27" t="str">
        <x:v>Todo</x:v>
      </x:c>
      <x:c r="H14" s="27" t="str">
        <x:v>L</x:v>
      </x:c>
      <x:c r="I14" s="27" t="str">
        <x:v>Sprint 3</x:v>
      </x:c>
      <x:c r="J14" s="27" t="str">
        <x:v>BL-011</x:v>
      </x:c>
      <x:c r="K14" s="27" t="str">
        <x:v>Regole da validare</x:v>
      </x:c>
    </x:row>
    <x:row r="15">
      <x:c r="A15" s="27" t="str">
        <x:v>BL-014</x:v>
      </x:c>
      <x:c r="B15" s="27" t="str">
        <x:v>Mercato</x:v>
      </x:c>
      <x:c r="C15" s="27" t="str">
        <x:v>Come admin voglio registrare acquisto</x:v>
      </x:c>
      <x:c r="D15" s="27" t="str">
        <x:v>Must</x:v>
      </x:c>
      <x:c r="E15" s="27" t="str">
        <x:v>Admin</x:v>
      </x:c>
      <x:c r="F15" s="27" t="str">
        <x:v>AC-014</x:v>
      </x:c>
      <x:c r="G15" s="27" t="str">
        <x:v>Todo</x:v>
      </x:c>
      <x:c r="H15" s="27" t="str">
        <x:v>M</x:v>
      </x:c>
      <x:c r="I15" s="27" t="str">
        <x:v>Sprint 4</x:v>
      </x:c>
      <x:c r="J15" s="27" t="str">
        <x:v>BL-013</x:v>
      </x:c>
      <x:c r="K15" s="27" t="str"/>
    </x:row>
    <x:row r="16">
      <x:c r="A16" s="27" t="str">
        <x:v>BL-015</x:v>
      </x:c>
      <x:c r="B16" s="27" t="str">
        <x:v>Mercato</x:v>
      </x:c>
      <x:c r="C16" s="27" t="str">
        <x:v>Come admin voglio registrare svincolo</x:v>
      </x:c>
      <x:c r="D16" s="27" t="str">
        <x:v>Must</x:v>
      </x:c>
      <x:c r="E16" s="27" t="str">
        <x:v>Admin</x:v>
      </x:c>
      <x:c r="F16" s="27" t="str">
        <x:v>AC-015</x:v>
      </x:c>
      <x:c r="G16" s="27" t="str">
        <x:v>Todo</x:v>
      </x:c>
      <x:c r="H16" s="27" t="str">
        <x:v>M</x:v>
      </x:c>
      <x:c r="I16" s="27" t="str">
        <x:v>Sprint 4</x:v>
      </x:c>
      <x:c r="J16" s="27" t="str">
        <x:v>BL-013</x:v>
      </x:c>
      <x:c r="K16" s="27" t="str"/>
    </x:row>
    <x:row r="17">
      <x:c r="A17" s="27" t="str">
        <x:v>BL-016</x:v>
      </x:c>
      <x:c r="B17" s="27" t="str">
        <x:v>Mercato</x:v>
      </x:c>
      <x:c r="C17" s="27" t="str">
        <x:v>Come admin voglio registrare scambio</x:v>
      </x:c>
      <x:c r="D17" s="27" t="str">
        <x:v>Must</x:v>
      </x:c>
      <x:c r="E17" s="27" t="str">
        <x:v>Admin</x:v>
      </x:c>
      <x:c r="F17" s="27" t="str">
        <x:v>AC-016</x:v>
      </x:c>
      <x:c r="G17" s="27" t="str">
        <x:v>Todo</x:v>
      </x:c>
      <x:c r="H17" s="27" t="str">
        <x:v>L</x:v>
      </x:c>
      <x:c r="I17" s="27" t="str">
        <x:v>Sprint 4</x:v>
      </x:c>
      <x:c r="J17" s="27" t="str">
        <x:v>BL-013</x:v>
      </x:c>
      <x:c r="K17" s="27" t="str"/>
    </x:row>
    <x:row r="18">
      <x:c r="A18" s="27" t="str">
        <x:v>BL-017</x:v>
      </x:c>
      <x:c r="B18" s="27" t="str">
        <x:v>Mercato</x:v>
      </x:c>
      <x:c r="C18" s="27" t="str">
        <x:v>Come admin voglio registrare prestito</x:v>
      </x:c>
      <x:c r="D18" s="27" t="str">
        <x:v>Should</x:v>
      </x:c>
      <x:c r="E18" s="27" t="str">
        <x:v>Admin</x:v>
      </x:c>
      <x:c r="F18" s="27" t="str">
        <x:v>AC-017</x:v>
      </x:c>
      <x:c r="G18" s="27" t="str">
        <x:v>Todo</x:v>
      </x:c>
      <x:c r="H18" s="27" t="str">
        <x:v>L</x:v>
      </x:c>
      <x:c r="I18" s="27" t="str">
        <x:v>Sprint 5</x:v>
      </x:c>
      <x:c r="J18" s="27" t="str">
        <x:v>BL-013</x:v>
      </x:c>
      <x:c r="K18" s="27" t="str">
        <x:v>Regole da confermare</x:v>
      </x:c>
    </x:row>
    <x:row r="19">
      <x:c r="A19" s="27" t="str">
        <x:v>BL-018</x:v>
      </x:c>
      <x:c r="B19" s="27" t="str">
        <x:v>Mercato</x:v>
      </x:c>
      <x:c r="C19" s="27" t="str">
        <x:v>Come admin voglio gestire diritto/obbligo</x:v>
      </x:c>
      <x:c r="D19" s="27" t="str">
        <x:v>Should</x:v>
      </x:c>
      <x:c r="E19" s="27" t="str">
        <x:v>Admin</x:v>
      </x:c>
      <x:c r="F19" s="27" t="str">
        <x:v>AC-018</x:v>
      </x:c>
      <x:c r="G19" s="27" t="str">
        <x:v>Todo</x:v>
      </x:c>
      <x:c r="H19" s="27" t="str">
        <x:v>L</x:v>
      </x:c>
      <x:c r="I19" s="27" t="str">
        <x:v>Sprint 5</x:v>
      </x:c>
      <x:c r="J19" s="27" t="str">
        <x:v>BL-013</x:v>
      </x:c>
      <x:c r="K19" s="27" t="str">
        <x:v>Regole da confermare</x:v>
      </x:c>
    </x:row>
    <x:row r="20">
      <x:c r="A20" s="27" t="str">
        <x:v>BL-019</x:v>
      </x:c>
      <x:c r="B20" s="27" t="str">
        <x:v>Import</x:v>
      </x:c>
      <x:c r="C20" s="27" t="str">
        <x:v>Come admin voglio caricare file e vedere preview</x:v>
      </x:c>
      <x:c r="D20" s="27" t="str">
        <x:v>Must</x:v>
      </x:c>
      <x:c r="E20" s="27" t="str">
        <x:v>Admin</x:v>
      </x:c>
      <x:c r="F20" s="27" t="str">
        <x:v>AC-019</x:v>
      </x:c>
      <x:c r="G20" s="27" t="str">
        <x:v>Todo</x:v>
      </x:c>
      <x:c r="H20" s="27" t="str">
        <x:v>L</x:v>
      </x:c>
      <x:c r="I20" s="27" t="str">
        <x:v>Sprint 5</x:v>
      </x:c>
      <x:c r="J20" s="27" t="str">
        <x:v>BL-008</x:v>
      </x:c>
      <x:c r="K20" s="27" t="str"/>
    </x:row>
    <x:row r="21">
      <x:c r="A21" s="27" t="str">
        <x:v>BL-020</x:v>
      </x:c>
      <x:c r="B21" s="27" t="str">
        <x:v>Import</x:v>
      </x:c>
      <x:c r="C21" s="27" t="str">
        <x:v>Come admin voglio validare errori prima di confermare import</x:v>
      </x:c>
      <x:c r="D21" s="27" t="str">
        <x:v>Must</x:v>
      </x:c>
      <x:c r="E21" s="27" t="str">
        <x:v>Admin</x:v>
      </x:c>
      <x:c r="F21" s="27" t="str">
        <x:v>AC-020</x:v>
      </x:c>
      <x:c r="G21" s="27" t="str">
        <x:v>Todo</x:v>
      </x:c>
      <x:c r="H21" s="27" t="str">
        <x:v>L</x:v>
      </x:c>
      <x:c r="I21" s="27" t="str">
        <x:v>Sprint 5</x:v>
      </x:c>
      <x:c r="J21" s="27" t="str">
        <x:v>BL-019</x:v>
      </x:c>
      <x:c r="K21" s="27" t="str"/>
    </x:row>
    <x:row r="22">
      <x:c r="A22" s="27" t="str">
        <x:v>BL-021</x:v>
      </x:c>
      <x:c r="B22" s="27" t="str">
        <x:v>Export</x:v>
      </x:c>
      <x:c r="C22" s="27" t="str">
        <x:v>Come admin voglio esportare rose, contratti, salary cap e operazioni</x:v>
      </x:c>
      <x:c r="D22" s="27" t="str">
        <x:v>Must</x:v>
      </x:c>
      <x:c r="E22" s="27" t="str">
        <x:v>Admin</x:v>
      </x:c>
      <x:c r="F22" s="27" t="str">
        <x:v>AC-021</x:v>
      </x:c>
      <x:c r="G22" s="27" t="str">
        <x:v>Todo</x:v>
      </x:c>
      <x:c r="H22" s="27" t="str">
        <x:v>M</x:v>
      </x:c>
      <x:c r="I22" s="27" t="str">
        <x:v>Sprint 6</x:v>
      </x:c>
      <x:c r="J22" s="27" t="str">
        <x:v>BL-010;BL-011;BL-014</x:v>
      </x:c>
      <x:c r="K22" s="27" t="str"/>
    </x:row>
    <x:row r="23">
      <x:c r="A23" s="27" t="str">
        <x:v>BL-022</x:v>
      </x:c>
      <x:c r="B23" s="27" t="str">
        <x:v>Audit</x:v>
      </x:c>
      <x:c r="C23" s="27" t="str">
        <x:v>Come admin voglio vedere audit log modifiche</x:v>
      </x:c>
      <x:c r="D23" s="27" t="str">
        <x:v>Must</x:v>
      </x:c>
      <x:c r="E23" s="27" t="str">
        <x:v>Admin</x:v>
      </x:c>
      <x:c r="F23" s="27" t="str">
        <x:v>AC-022</x:v>
      </x:c>
      <x:c r="G23" s="27" t="str">
        <x:v>Todo</x:v>
      </x:c>
      <x:c r="H23" s="27" t="str">
        <x:v>M</x:v>
      </x:c>
      <x:c r="I23" s="27" t="str">
        <x:v>Sprint 6</x:v>
      </x:c>
      <x:c r="J23" s="27" t="str">
        <x:v>BL-011;BL-014</x:v>
      </x:c>
      <x:c r="K23" s="27" t="str"/>
    </x:row>
    <x:row r="24">
      <x:c r="A24" s="27" t="str">
        <x:v>BL-023</x:v>
      </x:c>
      <x:c r="B24" s="27" t="str">
        <x:v>UX</x:v>
      </x:c>
      <x:c r="C24" s="27" t="str">
        <x:v>Come progettista voglio wireframe delle viste principali</x:v>
      </x:c>
      <x:c r="D24" s="27" t="str">
        <x:v>Must</x:v>
      </x:c>
      <x:c r="E24" s="27" t="str">
        <x:v>Designer</x:v>
      </x:c>
      <x:c r="F24" s="27" t="str">
        <x:v>AC-023</x:v>
      </x:c>
      <x:c r="G24" s="27" t="str">
        <x:v>Todo</x:v>
      </x:c>
      <x:c r="H24" s="27" t="str">
        <x:v>M</x:v>
      </x:c>
      <x:c r="I24" s="27" t="str">
        <x:v>Sprint 0</x:v>
      </x:c>
      <x:c r="J24" s="27" t="str"/>
      <x:c r="K24" s="27" t="str"/>
    </x:row>
    <x:row r="25">
      <x:c r="A25" s="27" t="str">
        <x:v>BL-024</x:v>
      </x:c>
      <x:c r="B25" s="27" t="str">
        <x:v>UX</x:v>
      </x:c>
      <x:c r="C25" s="27" t="str">
        <x:v>Come utente voglio alert anomalie economiche</x:v>
      </x:c>
      <x:c r="D25" s="27" t="str">
        <x:v>Should</x:v>
      </x:c>
      <x:c r="E25" s="27" t="str">
        <x:v>Manager</x:v>
      </x:c>
      <x:c r="F25" s="27" t="str">
        <x:v>AC-024</x:v>
      </x:c>
      <x:c r="G25" s="27" t="str">
        <x:v>Todo</x:v>
      </x:c>
      <x:c r="H25" s="27" t="str">
        <x:v>M</x:v>
      </x:c>
      <x:c r="I25" s="27" t="str">
        <x:v>Sprint 6</x:v>
      </x:c>
      <x:c r="J25" s="27" t="str">
        <x:v>BL-012;BL-013</x:v>
      </x:c>
      <x:c r="K25" s="27" t="str"/>
    </x:row>
    <x:row r="26">
      <x:c r="A26" s="27" t="str">
        <x:v>BL-025</x:v>
      </x:c>
      <x:c r="B26" s="27" t="str">
        <x:v>Hardening</x:v>
      </x:c>
      <x:c r="C26" s="27" t="str">
        <x:v>Come admin voglio backup/export completo periodico</x:v>
      </x:c>
      <x:c r="D26" s="27" t="str">
        <x:v>Could</x:v>
      </x:c>
      <x:c r="E26" s="27" t="str">
        <x:v>Admin</x:v>
      </x:c>
      <x:c r="F26" s="27" t="str">
        <x:v>AC-025</x:v>
      </x:c>
      <x:c r="G26" s="27" t="str">
        <x:v>Todo</x:v>
      </x:c>
      <x:c r="H26" s="27" t="str">
        <x:v>M</x:v>
      </x:c>
      <x:c r="I26" s="27" t="str">
        <x:v>Post MVP</x:v>
      </x:c>
      <x:c r="J26" s="27" t="str">
        <x:v>BL-021</x:v>
      </x:c>
      <x:c r="K26" s="27" t="str"/>
    </x:row>
  </x:sheetData>
  <x:dataValidations count="3">
    <x:dataValidation type="list" sqref="D2:D200">
      <x:formula1>"Must,Should,Could,Won't"</x:formula1>
    </x:dataValidation>
    <x:dataValidation type="list" sqref="G2:G200">
      <x:formula1>"Todo,In progress,Blocked,Done"</x:formula1>
    </x:dataValidation>
    <x:dataValidation type="list" sqref="H2:H200">
      <x:formula1>"XS,S,M,L,XL"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4990848e04e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20" hidden="0" customWidth="1"/>
    <x:col min="4" max="4" width="20" hidden="0" customWidth="1"/>
    <x:col min="5" max="5" width="36" hidden="0" customWidth="1"/>
  </x:cols>
  <x:sheetData>
    <x:row r="1">
      <x:c r="A1" s="14" t="str">
        <x:v>Ref</x:v>
      </x:c>
      <x:c r="B1" s="14" t="str">
        <x:v>Acceptance Criteria</x:v>
      </x:c>
      <x:c r="C1" s="14" t="str">
        <x:v>Validation Method</x:v>
      </x:c>
      <x:c r="D1" s="14" t="str">
        <x:v>Owner</x:v>
      </x:c>
      <x:c r="E1" s="14" t="str">
        <x:v>Notes</x:v>
      </x:c>
    </x:row>
    <x:row r="2">
      <x:c r="A2" s="27" t="str">
        <x:v>AC-001</x:v>
      </x:c>
      <x:c r="B2" s="27" t="str">
        <x:v>Repository creato, README setup locale presente, branch main funzionante</x:v>
      </x:c>
      <x:c r="C2" s="27" t="str">
        <x:v>Code review</x:v>
      </x:c>
      <x:c r="D2" s="27" t="str">
        <x:v>Developer</x:v>
      </x:c>
      <x:c r="E2" s="27" t="str"/>
    </x:row>
    <x:row r="3">
      <x:c r="A3" s="27" t="str">
        <x:v>AC-002</x:v>
      </x:c>
      <x:c r="B3" s="27" t="str">
        <x:v>DB iniziale con tabelle core create e migrazioni versionate</x:v>
      </x:c>
      <x:c r="C3" s="27" t="str">
        <x:v>DB inspection</x:v>
      </x:c>
      <x:c r="D3" s="27" t="str">
        <x:v>Developer</x:v>
      </x:c>
      <x:c r="E3" s="27" t="str"/>
    </x:row>
    <x:row r="4">
      <x:c r="A4" s="27" t="str">
        <x:v>AC-003</x:v>
      </x:c>
      <x:c r="B4" s="27" t="str">
        <x:v>Ambiente demo online raggiungibile e deploy automatico da main</x:v>
      </x:c>
      <x:c r="C4" s="27" t="str">
        <x:v>Manual test</x:v>
      </x:c>
      <x:c r="D4" s="27" t="str">
        <x:v>Developer</x:v>
      </x:c>
      <x:c r="E4" s="27" t="str"/>
    </x:row>
    <x:row r="5">
      <x:c r="A5" s="27" t="str">
        <x:v>AC-004</x:v>
      </x:c>
      <x:c r="B5" s="27" t="str">
        <x:v>Utente può autenticarsi e fare logout; errori login gestiti</x:v>
      </x:c>
      <x:c r="C5" s="27" t="str">
        <x:v>Manual test</x:v>
      </x:c>
      <x:c r="D5" s="27" t="str">
        <x:v>Developer</x:v>
      </x:c>
      <x:c r="E5" s="27" t="str"/>
    </x:row>
    <x:row r="6">
      <x:c r="A6" s="27" t="str">
        <x:v>AC-005</x:v>
      </x:c>
      <x:c r="B6" s="27" t="str">
        <x:v>Admin può associare ruolo e squadra a utente</x:v>
      </x:c>
      <x:c r="C6" s="27" t="str">
        <x:v>Manual test</x:v>
      </x:c>
      <x:c r="D6" s="27" t="str">
        <x:v>Developer</x:v>
      </x:c>
      <x:c r="E6" s="27" t="str"/>
    </x:row>
    <x:row r="7">
      <x:c r="A7" s="27" t="str">
        <x:v>AC-006</x:v>
      </x:c>
      <x:c r="B7" s="27" t="str">
        <x:v>Admin può creare/modificare squadra con crediti e salary cap</x:v>
      </x:c>
      <x:c r="C7" s="27" t="str">
        <x:v>Manual test</x:v>
      </x:c>
      <x:c r="D7" s="27" t="str">
        <x:v>Admin</x:v>
      </x:c>
      <x:c r="E7" s="27" t="str"/>
    </x:row>
    <x:row r="8">
      <x:c r="A8" s="27" t="str">
        <x:v>AC-007</x:v>
      </x:c>
      <x:c r="B8" s="27" t="str">
        <x:v>Manager vede solo dashboard coerente con permessi decisi</x:v>
      </x:c>
      <x:c r="C8" s="27" t="str">
        <x:v>Manual test</x:v>
      </x:c>
      <x:c r="D8" s="27" t="str">
        <x:v>Designer/Developer</x:v>
      </x:c>
      <x:c r="E8" s="27" t="str"/>
    </x:row>
    <x:row r="9">
      <x:c r="A9" s="27" t="str">
        <x:v>AC-008</x:v>
      </x:c>
      <x:c r="B9" s="27" t="str">
        <x:v>Giocatore creato/importato con ruolo, club, FVM opzionale</x:v>
      </x:c>
      <x:c r="C9" s="27" t="str">
        <x:v>Data test</x:v>
      </x:c>
      <x:c r="D9" s="27" t="str">
        <x:v>Developer</x:v>
      </x:c>
      <x:c r="E9" s="27" t="str"/>
    </x:row>
    <x:row r="10">
      <x:c r="A10" s="27" t="str">
        <x:v>AC-009</x:v>
      </x:c>
      <x:c r="B10" s="27" t="str">
        <x:v>Ricerca per nome e filtri ruolo/stato funzionanti</x:v>
      </x:c>
      <x:c r="C10" s="27" t="str">
        <x:v>Manual test</x:v>
      </x:c>
      <x:c r="D10" s="27" t="str">
        <x:v>Developer</x:v>
      </x:c>
      <x:c r="E10" s="27" t="str"/>
    </x:row>
    <x:row r="11">
      <x:c r="A11" s="27" t="str">
        <x:v>AC-010</x:v>
      </x:c>
      <x:c r="B11" s="27" t="str">
        <x:v>Rosa squadra mostra giocatori attivi e stati storici principali</x:v>
      </x:c>
      <x:c r="C11" s="27" t="str">
        <x:v>Manual test</x:v>
      </x:c>
      <x:c r="D11" s="27" t="str">
        <x:v>Admin</x:v>
      </x:c>
      <x:c r="E11" s="27" t="str"/>
    </x:row>
    <x:row r="12">
      <x:c r="A12" s="27" t="str">
        <x:v>AC-011</x:v>
      </x:c>
      <x:c r="B12" s="27" t="str">
        <x:v>Contratto salvato con salario, quota, date, stato e note</x:v>
      </x:c>
      <x:c r="C12" s="27" t="str">
        <x:v>Manual test</x:v>
      </x:c>
      <x:c r="D12" s="27" t="str">
        <x:v>Admin</x:v>
      </x:c>
      <x:c r="E12" s="27" t="str"/>
    </x:row>
    <x:row r="13">
      <x:c r="A13" s="27" t="str">
        <x:v>AC-012</x:v>
      </x:c>
      <x:c r="B13" s="27" t="str">
        <x:v>Dashboard mostra salary cap usato/residuo coerente con contratti</x:v>
      </x:c>
      <x:c r="C13" s="27" t="str">
        <x:v>Test case</x:v>
      </x:c>
      <x:c r="D13" s="27" t="str">
        <x:v>Developer</x:v>
      </x:c>
      <x:c r="E13" s="27" t="str"/>
    </x:row>
    <x:row r="14">
      <x:c r="A14" s="27" t="str">
        <x:v>AC-013</x:v>
      </x:c>
      <x:c r="B14" s="27" t="str">
        <x:v>Quota pro-rata calcolata secondo regola validata e test case</x:v>
      </x:c>
      <x:c r="C14" s="27" t="str">
        <x:v>Unit test</x:v>
      </x:c>
      <x:c r="D14" s="27" t="str">
        <x:v>Developer</x:v>
      </x:c>
      <x:c r="E14" s="27" t="str">
        <x:v>Dipende da 09_Test_Cases_Regole</x:v>
      </x:c>
    </x:row>
    <x:row r="15">
      <x:c r="A15" s="27" t="str">
        <x:v>AC-014</x:v>
      </x:c>
      <x:c r="B15" s="27" t="str">
        <x:v>Acquisto aggiorna rosa, contratto, crediti/salary cap, storico e audit</x:v>
      </x:c>
      <x:c r="C15" s="27" t="str">
        <x:v>End-to-end test</x:v>
      </x:c>
      <x:c r="D15" s="27" t="str">
        <x:v>Developer</x:v>
      </x:c>
      <x:c r="E15" s="27" t="str"/>
    </x:row>
    <x:row r="16">
      <x:c r="A16" s="27" t="str">
        <x:v>AC-015</x:v>
      </x:c>
      <x:c r="B16" s="27" t="str">
        <x:v>Svincolo chiude stato giocatore senza cancellare storico</x:v>
      </x:c>
      <x:c r="C16" s="27" t="str">
        <x:v>End-to-end test</x:v>
      </x:c>
      <x:c r="D16" s="27" t="str">
        <x:v>Developer</x:v>
      </x:c>
      <x:c r="E16" s="27" t="str"/>
    </x:row>
    <x:row r="17">
      <x:c r="A17" s="27" t="str">
        <x:v>AC-016</x:v>
      </x:c>
      <x:c r="B17" s="27" t="str">
        <x:v>Scambio gestisce due squadre, giocatori in/out, conguaglio e audit</x:v>
      </x:c>
      <x:c r="C17" s="27" t="str">
        <x:v>End-to-end test</x:v>
      </x:c>
      <x:c r="D17" s="27" t="str">
        <x:v>Developer</x:v>
      </x:c>
      <x:c r="E17" s="27" t="str"/>
    </x:row>
    <x:row r="18">
      <x:c r="A18" s="27" t="str">
        <x:v>AC-017</x:v>
      </x:c>
      <x:c r="B18" s="27" t="str">
        <x:v>Prestito registra proprietario, utilizzatore, quota e ritorno/riscatto</x:v>
      </x:c>
      <x:c r="C18" s="27" t="str">
        <x:v>End-to-end test</x:v>
      </x:c>
      <x:c r="D18" s="27" t="str">
        <x:v>Developer</x:v>
      </x:c>
      <x:c r="E18" s="27" t="str">
        <x:v>Regole da confermare</x:v>
      </x:c>
    </x:row>
    <x:row r="19">
      <x:c r="A19" s="27" t="str">
        <x:v>AC-018</x:v>
      </x:c>
      <x:c r="B19" s="27" t="str">
        <x:v>Diritto/obbligo tracciato come opzione/clausola con evento futuro</x:v>
      </x:c>
      <x:c r="C19" s="27" t="str">
        <x:v>Manual test</x:v>
      </x:c>
      <x:c r="D19" s="27" t="str">
        <x:v>Admin</x:v>
      </x:c>
      <x:c r="E19" s="27" t="str">
        <x:v>Regole da confermare</x:v>
      </x:c>
    </x:row>
    <x:row r="20">
      <x:c r="A20" s="27" t="str">
        <x:v>AC-019</x:v>
      </x:c>
      <x:c r="B20" s="27" t="str">
        <x:v>Upload file mostra preview senza scrivere DB</x:v>
      </x:c>
      <x:c r="C20" s="27" t="str">
        <x:v>Manual test</x:v>
      </x:c>
      <x:c r="D20" s="27" t="str">
        <x:v>Developer</x:v>
      </x:c>
      <x:c r="E20" s="27" t="str"/>
    </x:row>
    <x:row r="21">
      <x:c r="A21" s="27" t="str">
        <x:v>AC-020</x:v>
      </x:c>
      <x:c r="B21" s="27" t="str">
        <x:v>Import blocca errori critici e segnala righe problematiche</x:v>
      </x:c>
      <x:c r="C21" s="27" t="str">
        <x:v>Data test</x:v>
      </x:c>
      <x:c r="D21" s="27" t="str">
        <x:v>Developer</x:v>
      </x:c>
      <x:c r="E21" s="27" t="str"/>
    </x:row>
    <x:row r="22">
      <x:c r="A22" s="27" t="str">
        <x:v>AC-021</x:v>
      </x:c>
      <x:c r="B22" s="27" t="str">
        <x:v>Export genera file leggibile e coerente con viste principali</x:v>
      </x:c>
      <x:c r="C22" s="27" t="str">
        <x:v>Manual test</x:v>
      </x:c>
      <x:c r="D22" s="27" t="str">
        <x:v>Admin</x:v>
      </x:c>
      <x:c r="E22" s="27" t="str"/>
    </x:row>
    <x:row r="23">
      <x:c r="A23" s="27" t="str">
        <x:v>AC-022</x:v>
      </x:c>
      <x:c r="B23" s="27" t="str">
        <x:v>Audit log registra create/update/confirm con before/after</x:v>
      </x:c>
      <x:c r="C23" s="27" t="str">
        <x:v>DB inspection</x:v>
      </x:c>
      <x:c r="D23" s="27" t="str">
        <x:v>Developer</x:v>
      </x:c>
      <x:c r="E23" s="27" t="str"/>
    </x:row>
    <x:row r="24">
      <x:c r="A24" s="27" t="str">
        <x:v>AC-023</x:v>
      </x:c>
      <x:c r="B24" s="27" t="str">
        <x:v>Wireframe coprono dashboard lega, squadra, giocatore, operazione, import/export</x:v>
      </x:c>
      <x:c r="C24" s="27" t="str">
        <x:v>Design review</x:v>
      </x:c>
      <x:c r="D24" s="27" t="str">
        <x:v>Designer</x:v>
      </x:c>
      <x:c r="E24" s="27" t="str"/>
    </x:row>
    <x:row r="25">
      <x:c r="A25" s="27" t="str">
        <x:v>AC-024</x:v>
      </x:c>
      <x:c r="B25" s="27" t="str">
        <x:v>Alert evidenziano anomalie definite: cap superato, duplicati, contratti incompleti</x:v>
      </x:c>
      <x:c r="C25" s="27" t="str">
        <x:v>Manual test</x:v>
      </x:c>
      <x:c r="D25" s="27" t="str">
        <x:v>Developer</x:v>
      </x:c>
      <x:c r="E25" s="27" t="str"/>
    </x:row>
    <x:row r="26">
      <x:c r="A26" s="27" t="str">
        <x:v>AC-025</x:v>
      </x:c>
      <x:c r="B26" s="27" t="str">
        <x:v>Export completo permette backup manuale ricostruibile</x:v>
      </x:c>
      <x:c r="C26" s="27" t="str">
        <x:v>Manual test</x:v>
      </x:c>
      <x:c r="D26" s="27" t="str">
        <x:v>Admin</x:v>
      </x:c>
      <x:c r="E26" s="27" t="str"/>
    </x:row>
  </x:sheetData>
  <x:pageMargins left="0.7" right="0.7" top="0.75" bottom="0.75" header="0.3" footer="0.3"/>
  <x:tableParts count="1">
    <x:tablePart xmlns:r="http://schemas.openxmlformats.org/officeDocument/2006/relationships" r:id="Re1b011fb997545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4" hidden="0" customWidth="1"/>
    <x:col min="4" max="4" width="44" hidden="0" customWidth="1"/>
    <x:col min="5" max="5" width="30" hidden="0" customWidth="1"/>
  </x:cols>
  <x:sheetData>
    <x:row r="1">
      <x:c r="A1" s="14" t="str">
        <x:v>Milestone</x:v>
      </x:c>
      <x:c r="B1" s="14" t="str">
        <x:v>Obiettivo</x:v>
      </x:c>
      <x:c r="C1" s="14" t="str">
        <x:v>Output</x:v>
      </x:c>
      <x:c r="D1" s="14" t="str">
        <x:v>Exit Criteria</x:v>
      </x:c>
      <x:c r="E1" s="14" t="str">
        <x:v>Note</x:v>
      </x:c>
    </x:row>
    <x:row r="2">
      <x:c r="A2" s="27" t="str">
        <x:v>Fase 0</x:v>
      </x:c>
      <x:c r="B2" s="27" t="str">
        <x:v>Kickoff e validazione dominio</x:v>
      </x:c>
      <x:c r="C2" s="27" t="str">
        <x:v>Regole validate; file sorgenti raccolti; wireframe iniziali</x:v>
      </x:c>
      <x:c r="D2" s="27" t="str">
        <x:v>Decisioni aperte critiche chiuse</x:v>
      </x:c>
      <x:c r="E2" s="27" t="str"/>
    </x:row>
    <x:row r="3">
      <x:c r="A3" s="27" t="str">
        <x:v>Fase 1</x:v>
      </x:c>
      <x:c r="B3" s="27" t="str">
        <x:v>Fondazione tecnica e dati</x:v>
      </x:c>
      <x:c r="C3" s="27" t="str">
        <x:v>Repo, DB, auth, deploy</x:v>
      </x:c>
      <x:c r="D3" s="27" t="str">
        <x:v>Login + schema core funzionanti</x:v>
      </x:c>
      <x:c r="E3" s="27" t="str"/>
    </x:row>
    <x:row r="4">
      <x:c r="A4" s="27" t="str">
        <x:v>Fase 2</x:v>
      </x:c>
      <x:c r="B4" s="27" t="str">
        <x:v>Gestionale base</x:v>
      </x:c>
      <x:c r="C4" s="27" t="str">
        <x:v>Squadre, giocatori, rose, contratti</x:v>
      </x:c>
      <x:c r="D4" s="27" t="str">
        <x:v>Admin può consultare e modificare base dati</x:v>
      </x:c>
      <x:c r="E4" s="27" t="str"/>
    </x:row>
    <x:row r="5">
      <x:c r="A5" s="27" t="str">
        <x:v>Fase 3</x:v>
      </x:c>
      <x:c r="B5" s="27" t="str">
        <x:v>Regole e mercato</x:v>
      </x:c>
      <x:c r="C5" s="27" t="str">
        <x:v>Rules engine + operazioni</x:v>
      </x:c>
      <x:c r="D5" s="27" t="str">
        <x:v>Test case principali passano</x:v>
      </x:c>
      <x:c r="E5" s="27" t="str"/>
    </x:row>
    <x:row r="6">
      <x:c r="A6" s="27" t="str">
        <x:v>Fase 4</x:v>
      </x:c>
      <x:c r="B6" s="27" t="str">
        <x:v>Import/export e audit</x:v>
      </x:c>
      <x:c r="C6" s="27" t="str">
        <x:v>Import preview/validazione, export, audit log</x:v>
      </x:c>
      <x:c r="D6" s="27" t="str">
        <x:v>App utilizzabile in demo end-to-end</x:v>
      </x:c>
      <x:c r="E6" s="27" t="str"/>
    </x:row>
    <x:row r="7">
      <x:c r="A7" s="27" t="str">
        <x:v>Post MVP</x:v>
      </x:c>
      <x:c r="B7" s="27" t="str">
        <x:v>Rifinitura e automazioni</x:v>
      </x:c>
      <x:c r="C7" s="27" t="str">
        <x:v>UX avanzata, backup, eventuale sync semi-automatico</x:v>
      </x:c>
      <x:c r="D7" s="27" t="str">
        <x:v>Solo dopo MVP stabile</x:v>
      </x:c>
      <x:c r="E7" s="27" t="str"/>
    </x:row>
  </x:sheetData>
  <x:pageMargins left="0.7" right="0.7" top="0.75" bottom="0.75" header="0.3" footer="0.3"/>
  <x:tableParts count="1">
    <x:tablePart xmlns:r="http://schemas.openxmlformats.org/officeDocument/2006/relationships" r:id="R452076074bd74847"/>
  </x:tableParts>
</x:worksheet>
</file>