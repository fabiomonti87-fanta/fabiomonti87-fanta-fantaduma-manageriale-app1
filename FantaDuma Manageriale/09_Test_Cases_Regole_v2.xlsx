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_Cases" sheetId="2" state="visible" r:id="rId4"/>
    <sheet name="Coverage" sheetId="3" state="visible" r:id="rId5"/>
    <sheet name="Summary" sheetId="4" state="visible" r:id="rId6"/>
  </sheets>
  <definedNames>
    <definedName function="false" hidden="true" localSheetId="1" name="_xlnm._FilterDatabase" vbProcedure="false">Test_Cases!$A$1:$K$85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<sst xmlns="http://schemas.openxmlformats.org/spreadsheetml/2006/main" count="826" uniqueCount="491">
  <si>
    <t xml:space="preserve">Test Cases Regole v2 — FantaDuma Manageriale App</t>
  </si>
  <si>
    <t xml:space="preserve">Versione</t>
  </si>
  <si>
    <t xml:space="preserve">2.0 — 07/07/2026</t>
  </si>
  <si>
    <t xml:space="preserve">Fonte</t>
  </si>
  <si>
    <t xml:space="preserve">Regolamento e Statuto Fanta Duma 2025.26 + 02_Regole_Economiche_RulesEngine.md (v4.0)</t>
  </si>
  <si>
    <t xml:space="preserve">Sostituisce</t>
  </si>
  <si>
    <t xml:space="preserve">09_Test_Cases_Regole (ChatGPT): i casi basati su quote arbitrarie 100/80/60/40/20 NON sono validi</t>
  </si>
  <si>
    <t xml:space="preserve">Scopo</t>
  </si>
  <si>
    <t xml:space="preserve">Casi che il rules engine deve far passare prima del go-live. Ogni TC referenzia la sezione del doc 02</t>
  </si>
  <si>
    <t xml:space="preserve">Uso</t>
  </si>
  <si>
    <t xml:space="preserve">Lo sviluppatore compila Actual Result; lo Status si aggiorna da solo (Pass/Fail/Da testare)</t>
  </si>
  <si>
    <t xml:space="preserve">Tipi di test</t>
  </si>
  <si>
    <t xml:space="preserve">CALCOLO = verifica valore numerico | BLOCCO = il sistema deve impedire | STATO = transizione/effetti | INVARIANTE = proprietà sempre vera</t>
  </si>
  <si>
    <t xml:space="preserve">Priorità</t>
  </si>
  <si>
    <t xml:space="preserve">Must = bloccante per go-live | Should = alta | Could = rifinitura</t>
  </si>
  <si>
    <t xml:space="preserve">Convenzioni</t>
  </si>
  <si>
    <t xml:space="preserve">Importi in € = ingaggi/multe (soldi veri). Importi in crediti = valuta virtuale di mercato. Mai confonderli (doc 02 §1)</t>
  </si>
  <si>
    <t xml:space="preserve">ID</t>
  </si>
  <si>
    <t xml:space="preserve">Area</t>
  </si>
  <si>
    <t xml:space="preserve">Rif. doc 02</t>
  </si>
  <si>
    <t xml:space="preserve">Tipo</t>
  </si>
  <si>
    <t xml:space="preserve">Scenario</t>
  </si>
  <si>
    <t xml:space="preserve">Precondizioni / Input</t>
  </si>
  <si>
    <t xml:space="preserve">Azione</t>
  </si>
  <si>
    <t xml:space="preserve">Risultato atteso</t>
  </si>
  <si>
    <t xml:space="preserve">Actual Result</t>
  </si>
  <si>
    <t xml:space="preserve">Status</t>
  </si>
  <si>
    <t xml:space="preserve">TC-001</t>
  </si>
  <si>
    <t xml:space="preserve">Doppia valuta</t>
  </si>
  <si>
    <t xml:space="preserve">§1</t>
  </si>
  <si>
    <t xml:space="preserve">INVARIANTE</t>
  </si>
  <si>
    <t xml:space="preserve">Must</t>
  </si>
  <si>
    <t xml:space="preserve">Crediti ed euro mai mescolati</t>
  </si>
  <si>
    <t xml:space="preserve">Qualsiasi operazione di mercato</t>
  </si>
  <si>
    <t xml:space="preserve">Eseguire acquisto, svincolo e scambio</t>
  </si>
  <si>
    <t xml:space="preserve">Ogni movimento è registrato o nel ledger crediti o nel ledger euro; nessuna scrittura incrociata; nessuna conversione</t>
  </si>
  <si>
    <t xml:space="preserve">TC-002</t>
  </si>
  <si>
    <t xml:space="preserve">CALCOLO</t>
  </si>
  <si>
    <t xml:space="preserve">Acquisto scala solo crediti</t>
  </si>
  <si>
    <t xml:space="preserve">Squadra con budget 500 crediti; giocatore aggiudicato a 80 crediti</t>
  </si>
  <si>
    <t xml:space="preserve">Confermare acquisto</t>
  </si>
  <si>
    <t xml:space="preserve">Budget crediti 420; contabilità euro invariata (solo il nuovo ingaggio a bilancio ingaggi)</t>
  </si>
  <si>
    <t xml:space="preserve">TC-003</t>
  </si>
  <si>
    <t xml:space="preserve">Ingaggi</t>
  </si>
  <si>
    <t xml:space="preserve">§2</t>
  </si>
  <si>
    <t xml:space="preserve">Ingaggio STD da FVM M (esempio regolamento)</t>
  </si>
  <si>
    <t xml:space="preserve">FVM M congelato = 155</t>
  </si>
  <si>
    <t xml:space="preserve">Creare contratto Standard</t>
  </si>
  <si>
    <t xml:space="preserve">Ingaggio = 15,50 € (10% arrotondato per eccesso a 0,50)</t>
  </si>
  <si>
    <t xml:space="preserve">TC-004</t>
  </si>
  <si>
    <t xml:space="preserve">Arrotondamento per eccesso</t>
  </si>
  <si>
    <t xml:space="preserve">FVM M = 151</t>
  </si>
  <si>
    <t xml:space="preserve">Ingaggio = 15,50 € (15,1 → eccesso a 0,50)</t>
  </si>
  <si>
    <t xml:space="preserve">TC-005</t>
  </si>
  <si>
    <t xml:space="preserve">Nessun arrotondamento se già multiplo di 0,50</t>
  </si>
  <si>
    <t xml:space="preserve">FVM M = 150</t>
  </si>
  <si>
    <t xml:space="preserve">Ingaggio = 15,00 €</t>
  </si>
  <si>
    <t xml:space="preserve">TC-006</t>
  </si>
  <si>
    <t xml:space="preserve">Minimo salariale</t>
  </si>
  <si>
    <t xml:space="preserve">FVM M = 3</t>
  </si>
  <si>
    <t xml:space="preserve">Ingaggio = 0,50 € (minimo, non 0,30)</t>
  </si>
  <si>
    <t xml:space="preserve">TC-007</t>
  </si>
  <si>
    <t xml:space="preserve">Ingaggio indipendente dal prezzo d'asta</t>
  </si>
  <si>
    <t xml:space="preserve">FVM M = 100; giocatore pagato 250 crediti all'asta</t>
  </si>
  <si>
    <t xml:space="preserve">Ingaggio = 10,00 € (legato al FVM M, non ai 250 crediti)</t>
  </si>
  <si>
    <t xml:space="preserve">TC-008</t>
  </si>
  <si>
    <t xml:space="preserve">Obbligo 1+1 — maggiorazione</t>
  </si>
  <si>
    <t xml:space="preserve">FVM M = 100; contratto Obbligo 1+1</t>
  </si>
  <si>
    <t xml:space="preserve">Calcolare piano ingaggi</t>
  </si>
  <si>
    <t xml:space="preserve">Anno 1 = 11,50 €; Anno 2 = 11,50 € (+15% / +15%)</t>
  </si>
  <si>
    <t xml:space="preserve">TC-009</t>
  </si>
  <si>
    <t xml:space="preserve">Obbligo 1+2 — terzo anno al 10%</t>
  </si>
  <si>
    <t xml:space="preserve">FVM M = 100; contratto Obbligo 1+2</t>
  </si>
  <si>
    <t xml:space="preserve">11,50 / 11,50 / 11,00 € (+15/+15/+10, sempre su FVM congelato)</t>
  </si>
  <si>
    <t xml:space="preserve">TC-010</t>
  </si>
  <si>
    <t xml:space="preserve">Diritto 1+1 — maggiorazione 30%</t>
  </si>
  <si>
    <t xml:space="preserve">FVM M = 100; contratto Diritto 1+1</t>
  </si>
  <si>
    <t xml:space="preserve">13,00 € anno 1; 13,00 € anno 2 se riscattato</t>
  </si>
  <si>
    <t xml:space="preserve">TC-011</t>
  </si>
  <si>
    <t xml:space="preserve">Contratto invernale — primo anno dimezzato (esempio regolamento)</t>
  </si>
  <si>
    <t xml:space="preserve">FVM M = 100; acquisto asta riparazione; Obbligo 0,5+2</t>
  </si>
  <si>
    <t xml:space="preserve">Anno 1 = 6,50 € (½ STD +15%); Anno 2 = 11,50 €; Anno 3 = 11,00 €</t>
  </si>
  <si>
    <t xml:space="preserve">TC-012</t>
  </si>
  <si>
    <t xml:space="preserve">FVM congelato per tutta la durata</t>
  </si>
  <si>
    <t xml:space="preserve">FVM M all'asta = 100; a gennaio il FVM M sale a 180</t>
  </si>
  <si>
    <t xml:space="preserve">Ricalcolare ingaggi anno 2 di un Obbligo 1+1</t>
  </si>
  <si>
    <t xml:space="preserve">Ingaggio resta 11,50 € (base congelata 100, non 180)</t>
  </si>
  <si>
    <t xml:space="preserve">TC-013</t>
  </si>
  <si>
    <t xml:space="preserve">Vivaio — ingaggio fisso</t>
  </si>
  <si>
    <t xml:space="preserve">Giocatore vivaio con FVM M = 45</t>
  </si>
  <si>
    <t xml:space="preserve">Creare contratto Vivaio</t>
  </si>
  <si>
    <t xml:space="preserve">Ingaggio = 0,50 €/anno indipendente dal FVM M</t>
  </si>
  <si>
    <t xml:space="preserve">TC-014</t>
  </si>
  <si>
    <t xml:space="preserve">BLOCCO</t>
  </si>
  <si>
    <t xml:space="preserve">Contratto solo da lista svincolati</t>
  </si>
  <si>
    <t xml:space="preserve">Giocatore già sotto contratto Standard con squadra A</t>
  </si>
  <si>
    <t xml:space="preserve">Tentare cambio a Obbligo 1+1 senza passare da svincolo</t>
  </si>
  <si>
    <t xml:space="preserve">Operazione rifiutata: non si cambia contratto a chi ne ha già uno</t>
  </si>
  <si>
    <t xml:space="preserve">TC-015</t>
  </si>
  <si>
    <t xml:space="preserve">Salary cap</t>
  </si>
  <si>
    <t xml:space="preserve">§3</t>
  </si>
  <si>
    <t xml:space="preserve">Hard block a 250 €</t>
  </si>
  <si>
    <t xml:space="preserve">Monte ingaggi squadra = 245 €; nuovo contratto da 6,00 €</t>
  </si>
  <si>
    <t xml:space="preserve">Tentare salvataggio contratto</t>
  </si>
  <si>
    <t xml:space="preserve">BLOCCATO: 251 &gt; 250. Nessuna persistenza, messaggio con sforamento</t>
  </si>
  <si>
    <t xml:space="preserve">TC-016</t>
  </si>
  <si>
    <t xml:space="preserve">Cap esattamente a 250 € consentito</t>
  </si>
  <si>
    <t xml:space="preserve">Monte ingaggi = 244 €; nuovo contratto da 6,00 €</t>
  </si>
  <si>
    <t xml:space="preserve">Salvare contratto</t>
  </si>
  <si>
    <t xml:space="preserve">Consentito: 250,00 € è il limite, non oltre</t>
  </si>
  <si>
    <t xml:space="preserve">TC-017</t>
  </si>
  <si>
    <t xml:space="preserve">Cap mai superato nemmeno negli stati intermedi</t>
  </si>
  <si>
    <t xml:space="preserve">Scambio: A cede X (ingaggio 5) e riceve Y (ingaggio 20); A è a 240 €</t>
  </si>
  <si>
    <t xml:space="preserve">Validare operazione nel suo insieme</t>
  </si>
  <si>
    <t xml:space="preserve">Valutazione atomica sul risultato netto (255 → BLOCCATO). Nessun superamento temporaneo consentito</t>
  </si>
  <si>
    <t xml:space="preserve">TC-018</t>
  </si>
  <si>
    <t xml:space="preserve">Quota iscrizione e multe fuori dal cap</t>
  </si>
  <si>
    <t xml:space="preserve">Squadra con ingaggi 250 € + quota 50 € + multe 40 €</t>
  </si>
  <si>
    <t xml:space="preserve">Calcolare v_team_salary</t>
  </si>
  <si>
    <t xml:space="preserve">Cap check su 250 € → OK: quota e multe escluse dal monte ingaggi</t>
  </si>
  <si>
    <t xml:space="preserve">TC-019</t>
  </si>
  <si>
    <t xml:space="preserve">STATO</t>
  </si>
  <si>
    <t xml:space="preserve">Should</t>
  </si>
  <si>
    <t xml:space="preserve">Rientro forzato post-asta senza plus/minusvalenze</t>
  </si>
  <si>
    <t xml:space="preserve">Sforamento rilevato post-asta; svincolo guidato admin di un giocatore pagato 60 crediti</t>
  </si>
  <si>
    <t xml:space="preserve">Eseguire svincolo da rientro cap</t>
  </si>
  <si>
    <t xml:space="preserve">Incasso = 60 crediti (valore di acquisto), nessuna plus/minusvalenza registrata</t>
  </si>
  <si>
    <t xml:space="preserve">TC-020</t>
  </si>
  <si>
    <t xml:space="preserve">Slot e rosa</t>
  </si>
  <si>
    <t xml:space="preserve">§4</t>
  </si>
  <si>
    <t xml:space="preserve">12° pluriennale prima dell'asta invernale</t>
  </si>
  <si>
    <t xml:space="preserve">Squadra con 11 contratti pluriennali attivi; siamo a ottobre</t>
  </si>
  <si>
    <t xml:space="preserve">Tentare nuovo Obbligo 1+1</t>
  </si>
  <si>
    <t xml:space="preserve">BLOCCATO: max 11 slot pluriennali fino all'asta invernale</t>
  </si>
  <si>
    <t xml:space="preserve">TC-021</t>
  </si>
  <si>
    <t xml:space="preserve">12° slot disponibile post asta invernale</t>
  </si>
  <si>
    <t xml:space="preserve">Squadra con 11 pluriennali; asta invernale conclusa</t>
  </si>
  <si>
    <t xml:space="preserve">Stipulare 12° contratto pluriennale</t>
  </si>
  <si>
    <t xml:space="preserve">Consentito fino a fine stagione</t>
  </si>
  <si>
    <t xml:space="preserve">TC-022</t>
  </si>
  <si>
    <t xml:space="preserve">Rollover: slot tornano 11</t>
  </si>
  <si>
    <t xml:space="preserve">Squadra con 12 pluriennali a fine stagione</t>
  </si>
  <si>
    <t xml:space="preserve">Eseguire rollover stagionale</t>
  </si>
  <si>
    <t xml:space="preserve">Sistema segnala squadra fuori parametro: deve rientrare a 11 prima della nuova stagione</t>
  </si>
  <si>
    <t xml:space="preserve">TC-023</t>
  </si>
  <si>
    <t xml:space="preserve">Slot pluriennali negli scambi — mai oltre nemmeno temporaneamente</t>
  </si>
  <si>
    <t xml:space="preserve">A ha 11 pluriennali; scambio: riceve 1 pluriennale e ne cede 1</t>
  </si>
  <si>
    <t xml:space="preserve">Validare scambio</t>
  </si>
  <si>
    <t xml:space="preserve">Consentito solo se valutato atomicamente (11 finale). Se il netto fosse 12 → BLOCCATO</t>
  </si>
  <si>
    <t xml:space="preserve">TC-024</t>
  </si>
  <si>
    <t xml:space="preserve">Nessun sub-limite obblighi</t>
  </si>
  <si>
    <t xml:space="preserve">Squadra con 8 contratti Obbligo attivi</t>
  </si>
  <si>
    <t xml:space="preserve">Stipulare 9° Obbligo (slot pluriennali disponibili)</t>
  </si>
  <si>
    <t xml:space="preserve">Consentito: non esiste limite max 2 obblighi (era solo in V3, ignorata)</t>
  </si>
  <si>
    <t xml:space="preserve">TC-025</t>
  </si>
  <si>
    <t xml:space="preserve">Rosa minima 23</t>
  </si>
  <si>
    <t xml:space="preserve">Rosa di 23 giocatori</t>
  </si>
  <si>
    <t xml:space="preserve">Tentare svincolo/rescissione</t>
  </si>
  <si>
    <t xml:space="preserve">BLOCCATO: non si scende sotto 23 (il "24" nel capitolo vivaio del regolamento è refuso)</t>
  </si>
  <si>
    <t xml:space="preserve">TC-026</t>
  </si>
  <si>
    <t xml:space="preserve">Rosa massima 30</t>
  </si>
  <si>
    <t xml:space="preserve">Rosa di 30 giocatori</t>
  </si>
  <si>
    <t xml:space="preserve">Tentare acquisto (slot rosa)</t>
  </si>
  <si>
    <t xml:space="preserve">BLOCCATO: max 30</t>
  </si>
  <si>
    <t xml:space="preserve">TC-027</t>
  </si>
  <si>
    <t xml:space="preserve">Minimo 2 portieri</t>
  </si>
  <si>
    <t xml:space="preserve">Rosa con 2 portieri</t>
  </si>
  <si>
    <t xml:space="preserve">Tentare svincolo di un portiere</t>
  </si>
  <si>
    <t xml:space="preserve">BLOCCATO: minimo 2 portieri obbligatori</t>
  </si>
  <si>
    <t xml:space="preserve">TC-028</t>
  </si>
  <si>
    <t xml:space="preserve">Max 3 slot vivaio</t>
  </si>
  <si>
    <t xml:space="preserve">Vivaio con 3 giocatori (asteriscati inclusi)</t>
  </si>
  <si>
    <t xml:space="preserve">Tentare 4° ingresso vivaio (draft o scambio)</t>
  </si>
  <si>
    <t xml:space="preserve">BLOCCATO: max 3, in qualsiasi momento</t>
  </si>
  <si>
    <t xml:space="preserve">TC-029</t>
  </si>
  <si>
    <t xml:space="preserve">§4/§9</t>
  </si>
  <si>
    <t xml:space="preserve">Vivaio extra rosa</t>
  </si>
  <si>
    <t xml:space="preserve">Rosa 30 + vivaio 3</t>
  </si>
  <si>
    <t xml:space="preserve">Verificare conteggi slot</t>
  </si>
  <si>
    <t xml:space="preserve">Vivaio non consuma slot rosa: 30+3 è configurazione valida</t>
  </si>
  <si>
    <t xml:space="preserve">TC-030</t>
  </si>
  <si>
    <t xml:space="preserve">Finestre</t>
  </si>
  <si>
    <t xml:space="preserve">§5</t>
  </si>
  <si>
    <t xml:space="preserve">Scambio in 3ª finestra (esempio regolamento)</t>
  </si>
  <si>
    <t xml:space="preserve">X ingaggio 10 €, Y ingaggio 5 €; scambio A(X)↔B(Y) in 3ª finestra</t>
  </si>
  <si>
    <t xml:space="preserve">Calcolare trasferimento ingaggi</t>
  </si>
  <si>
    <t xml:space="preserve">A ha già maturato 4 € su X (2×20%): si libera di 6 € e prende 3 € su Y. B si libera di 3 € e prende 6 € su X</t>
  </si>
  <si>
    <t xml:space="preserve">TC-031</t>
  </si>
  <si>
    <t xml:space="preserve">Scambio in 1ª finestra — ingaggio pieno</t>
  </si>
  <si>
    <t xml:space="preserve">Come sopra ma 1ª finestra</t>
  </si>
  <si>
    <t xml:space="preserve">Nessun ammortamento maturato: si trasferisce il 100% degli ingaggi</t>
  </si>
  <si>
    <t xml:space="preserve">TC-032</t>
  </si>
  <si>
    <t xml:space="preserve">Divisione ingaggi concordata</t>
  </si>
  <si>
    <t xml:space="preserve">Scambio 3ª finestra; le parti si accordano: ricevente prende solo il 40%</t>
  </si>
  <si>
    <t xml:space="preserve">Registrare divisione custom</t>
  </si>
  <si>
    <t xml:space="preserve">Consentito. Cedente resta col 20% residuo oltre al 40% già maturato</t>
  </si>
  <si>
    <t xml:space="preserve">TC-033</t>
  </si>
  <si>
    <t xml:space="preserve">Divisione ingaggi non retroattiva</t>
  </si>
  <si>
    <t xml:space="preserve">Scambio in 3ª finestra (40% già maturato dal cedente)</t>
  </si>
  <si>
    <t xml:space="preserve">Tentare accordo che trasferisce al ricevente più del 60% residuo</t>
  </si>
  <si>
    <t xml:space="preserve">BLOCCATO: non si trasferisce quota già pagata/maturata</t>
  </si>
  <si>
    <t xml:space="preserve">TC-034</t>
  </si>
  <si>
    <t xml:space="preserve">Acquisto asta invernale = 50% ingaggio</t>
  </si>
  <si>
    <t xml:space="preserve">FVM M = 100, contratto Standard inverno</t>
  </si>
  <si>
    <t xml:space="preserve">Calcolare ingaggio a bilancio anno corrente</t>
  </si>
  <si>
    <t xml:space="preserve">5,00 € (50% di 10,00)</t>
  </si>
  <si>
    <t xml:space="preserve">TC-035</t>
  </si>
  <si>
    <t xml:space="preserve">5ª finestra: solo scambi definitivi</t>
  </si>
  <si>
    <t xml:space="preserve">5ª finestra aperta</t>
  </si>
  <si>
    <t xml:space="preserve">Tentare: (a) prestito, (b) scambio con conguaglio crediti, (c) acquisto/cessione</t>
  </si>
  <si>
    <t xml:space="preserve">Tutti BLOCCATI. Consentito solo scambio a titolo definitivo senza conguagli</t>
  </si>
  <si>
    <t xml:space="preserve">TC-036</t>
  </si>
  <si>
    <t xml:space="preserve">Operazioni fuori finestra</t>
  </si>
  <si>
    <t xml:space="preserve">Nessuna finestra aperta</t>
  </si>
  <si>
    <t xml:space="preserve">Tentare scambio tra due squadre</t>
  </si>
  <si>
    <t xml:space="preserve">BLOCCATO (salvo eccezioni: sostituzione asteriscato, rettifica admin)</t>
  </si>
  <si>
    <t xml:space="preserve">TC-037</t>
  </si>
  <si>
    <t xml:space="preserve">Prestito minimo una finestra</t>
  </si>
  <si>
    <t xml:space="preserve">Prestito proposto con rientro nella stessa finestra</t>
  </si>
  <si>
    <t xml:space="preserve">Validare durata prestito</t>
  </si>
  <si>
    <t xml:space="preserve">BLOCCATO: durata minima = 1 finestra di mercato</t>
  </si>
  <si>
    <t xml:space="preserve">TC-038</t>
  </si>
  <si>
    <t xml:space="preserve">Svincoli</t>
  </si>
  <si>
    <t xml:space="preserve">§6</t>
  </si>
  <si>
    <t xml:space="preserve">STD in scadenza, estate</t>
  </si>
  <si>
    <t xml:space="preserve">Contratto Standard scaduto; FVM M nuovo listone = 42</t>
  </si>
  <si>
    <t xml:space="preserve">Eseguire svincolo di fine contratto</t>
  </si>
  <si>
    <t xml:space="preserve">Incasso 42 crediti; nessun ingaggio residuo dovuto</t>
  </si>
  <si>
    <t xml:space="preserve">TC-039</t>
  </si>
  <si>
    <t xml:space="preserve">Svincolo invernale in scadenza</t>
  </si>
  <si>
    <t xml:space="preserve">Svincolo pausa invernale; FVM M attuale = 30; ingaggio 8 €</t>
  </si>
  <si>
    <t xml:space="preserve">Eseguire svincolo</t>
  </si>
  <si>
    <t xml:space="preserve">Incasso 30 crediti; a bilancio resta il 50% dell'ingaggio annuo (4 €)</t>
  </si>
  <si>
    <t xml:space="preserve">TC-040</t>
  </si>
  <si>
    <t xml:space="preserve">Diritto non esercitato (estate)</t>
  </si>
  <si>
    <t xml:space="preserve">Diritto 1+1 a fine anno 1; FVM M nuovo listone = 55</t>
  </si>
  <si>
    <t xml:space="preserve">Non esercitare il riscatto</t>
  </si>
  <si>
    <t xml:space="preserve">Incasso 55 crediti; nessun ingaggio ulteriore; slot pluriennale liberato</t>
  </si>
  <si>
    <t xml:space="preserve">TC-041</t>
  </si>
  <si>
    <t xml:space="preserve">Diritto svincolato in inverno</t>
  </si>
  <si>
    <t xml:space="preserve">Diritto 1+1; svincolo invernale; ingaggio 13 €</t>
  </si>
  <si>
    <t xml:space="preserve">Incasso FVM M attuale; ingaggio dovuto al 100% (13 €) fino a fine anno</t>
  </si>
  <si>
    <t xml:space="preserve">TC-042</t>
  </si>
  <si>
    <t xml:space="preserve">Obbligo svincolato in estate</t>
  </si>
  <si>
    <t xml:space="preserve">Obbligo 1+2 dopo anno 1 (restano 2 anni; ingaggio 11,50/11,00)</t>
  </si>
  <si>
    <t xml:space="preserve">Svincolare prima dell'asta estiva</t>
  </si>
  <si>
    <t xml:space="preserve">Incasso FVM M nuovo listone; dovuti 5,75 € (50% a.2) + 5,50 € (50% a.3) negli anni residui</t>
  </si>
  <si>
    <t xml:space="preserve">TC-043</t>
  </si>
  <si>
    <t xml:space="preserve">Obbligo svincolato in inverno</t>
  </si>
  <si>
    <t xml:space="preserve">Obbligo 1+1 anno 1; svincolo invernale; ingaggio 11,50 €</t>
  </si>
  <si>
    <t xml:space="preserve">100% anno corrente (11,50) + 50% anno residuo (5,75) a carico negli anni successivi; incasso FVM M attuale</t>
  </si>
  <si>
    <t xml:space="preserve">TC-044</t>
  </si>
  <si>
    <t xml:space="preserve">Rescissione unilaterale — costo pieno, incasso zero</t>
  </si>
  <si>
    <t xml:space="preserve">Obbligo 1+2 anno 1, ingaggio 11,50/11,50/11,00</t>
  </si>
  <si>
    <t xml:space="preserve">Rescindere unilateralmente in sessione di mercato</t>
  </si>
  <si>
    <t xml:space="preserve">Incasso 0 crediti; dovuto il 100% di TUTTI gli anni (34 € totali); slot rosa liberato; conteggio riconferme invariato; giocatore torna svincolato</t>
  </si>
  <si>
    <t xml:space="preserve">TC-045</t>
  </si>
  <si>
    <t xml:space="preserve">Rescissione vietata sul vivaio</t>
  </si>
  <si>
    <t xml:space="preserve">Giocatore in slot vivaio</t>
  </si>
  <si>
    <t xml:space="preserve">Tentare rescissione unilaterale</t>
  </si>
  <si>
    <t xml:space="preserve">BLOCCATO: non applicabile al vivaio</t>
  </si>
  <si>
    <t xml:space="preserve">TC-046</t>
  </si>
  <si>
    <t xml:space="preserve">Rescissione applicabile ad asteriscato</t>
  </si>
  <si>
    <t xml:space="preserve">Giocatore asteriscato in rosa</t>
  </si>
  <si>
    <t xml:space="preserve">Rescindere unilateralmente</t>
  </si>
  <si>
    <t xml:space="preserve">Consentito, stesse conseguenze economiche (incasso zero, ingaggio intero dovuto)</t>
  </si>
  <si>
    <t xml:space="preserve">TC-047</t>
  </si>
  <si>
    <t xml:space="preserve">Transizione estiva: presente nel nuovo listone (2 opzioni)</t>
  </si>
  <si>
    <t xml:space="preserve">Giocatore sotto contratto; nuovo listone: FVM 60; a fine mercato svincoli: FVM 70</t>
  </si>
  <si>
    <t xml:space="preserve">Svincolare (a) subito, (b) a fine mercato svincoli</t>
  </si>
  <si>
    <t xml:space="preserve">(a) incasso 60; (b) incasso 70. Il sistema usa lo snapshot corretto per data</t>
  </si>
  <si>
    <t xml:space="preserve">TC-048</t>
  </si>
  <si>
    <t xml:space="preserve">Depennato post pubblicazione listone</t>
  </si>
  <si>
    <t xml:space="preserve">Presente nel nuovo listone (FVM 45) poi rimosso</t>
  </si>
  <si>
    <t xml:space="preserve">Svincolare dopo la rimozione</t>
  </si>
  <si>
    <t xml:space="preserve">Incasso = 45 (ultimo FVM M disponibile prima della rimozione)</t>
  </si>
  <si>
    <t xml:space="preserve">TC-049</t>
  </si>
  <si>
    <t xml:space="preserve">STIMA</t>
  </si>
  <si>
    <t xml:space="preserve">§7</t>
  </si>
  <si>
    <t xml:space="preserve">Formula STIMA (esempio regolamento: Osimhen)</t>
  </si>
  <si>
    <t xml:space="preserve">FVM M inizio stagione = 180; fine stagione = 350; assente dal nuovo listone</t>
  </si>
  <si>
    <t xml:space="preserve">Calcolare valore di svincolo</t>
  </si>
  <si>
    <t xml:space="preserve">STIMA = 180×0,49 + 350×0,44 = 242 crediti</t>
  </si>
  <si>
    <t xml:space="preserve">TC-050</t>
  </si>
  <si>
    <t xml:space="preserve">STIMA per arrivato a gennaio</t>
  </si>
  <si>
    <t xml:space="preserve">Primo FVM M in Serie A = 25 (gennaio); fine stagione = 60; assente dal nuovo listone</t>
  </si>
  <si>
    <t xml:space="preserve">Calcolare STIMA</t>
  </si>
  <si>
    <t xml:space="preserve">25×0,49 + 60×0,44 = 12,25 + 26,4 = 38,65 crediti ("inizio" = primo valore ufficiale)</t>
  </si>
  <si>
    <t xml:space="preserve">TC-051</t>
  </si>
  <si>
    <t xml:space="preserve">Rientro in listone annulla la STIMA</t>
  </si>
  <si>
    <t xml:space="preserve">Svincolo valorizzato con STIMA = 242; il giocatore rientra nel listone con FVM 200</t>
  </si>
  <si>
    <t xml:space="preserve">Ricalcolare</t>
  </si>
  <si>
    <t xml:space="preserve">Vale 200 (nuovo valore); la STIMA è annullata e la rettifica tracciata</t>
  </si>
  <si>
    <t xml:space="preserve">TC-052</t>
  </si>
  <si>
    <t xml:space="preserve">STIMA solo per assenti dal listone</t>
  </si>
  <si>
    <t xml:space="preserve">Giocatore presente nel nuovo listone</t>
  </si>
  <si>
    <t xml:space="preserve">Tentare valorizzazione con STIMA</t>
  </si>
  <si>
    <t xml:space="preserve">BLOCCATO: si usa il FVM M del listone (invariante 9)</t>
  </si>
  <si>
    <t xml:space="preserve">TC-053</t>
  </si>
  <si>
    <t xml:space="preserve">Asteriscati</t>
  </si>
  <si>
    <t xml:space="preserve">§8</t>
  </si>
  <si>
    <t xml:space="preserve">Asterisco rende inutilizzabile</t>
  </si>
  <si>
    <t xml:space="preserve">Giocatore in rosa; import segnala uscita dal listone</t>
  </si>
  <si>
    <t xml:space="preserve">Applicare stato ASTERISCATO</t>
  </si>
  <si>
    <t xml:space="preserve">Stato aggiornato, alert alla squadra, ingaggio resta a bilancio finché in rosa</t>
  </si>
  <si>
    <t xml:space="preserve">TC-054</t>
  </si>
  <si>
    <t xml:space="preserve">Svincolo asteriscato</t>
  </si>
  <si>
    <t xml:space="preserve">Asteriscato con ultimo FVM M = 38</t>
  </si>
  <si>
    <t xml:space="preserve">Svincolare</t>
  </si>
  <si>
    <t xml:space="preserve">Incasso 38 crediti (FVM M del momento)</t>
  </si>
  <si>
    <t xml:space="preserve">TC-055</t>
  </si>
  <si>
    <t xml:space="preserve">Sostituto con FVM ≤ asteriscato</t>
  </si>
  <si>
    <t xml:space="preserve">Asteriscato FVM 38; sostituto scelto dalla lista svincolati post ultima asta con FVM 35</t>
  </si>
  <si>
    <t xml:space="preserve">Acquistare sostituto</t>
  </si>
  <si>
    <t xml:space="preserve">Consentito, a titolo definitivo, costo 35 crediti; contratto libero nei limiti; ingaggio rapportato al momento dell'inserimento</t>
  </si>
  <si>
    <t xml:space="preserve">TC-056</t>
  </si>
  <si>
    <t xml:space="preserve">Sostituto con FVM superiore</t>
  </si>
  <si>
    <t xml:space="preserve">Asteriscato FVM 38; sostituto proposto FVM 40</t>
  </si>
  <si>
    <t xml:space="preserve">Tentare acquisto sostituto</t>
  </si>
  <si>
    <t xml:space="preserve">BLOCCATO: FVM sostituto deve essere ≤ 38</t>
  </si>
  <si>
    <t xml:space="preserve">TC-057</t>
  </si>
  <si>
    <t xml:space="preserve">Sostituto solo da lista svincolati post ultima asta</t>
  </si>
  <si>
    <t xml:space="preserve">Giocatore proposto non presente in quella lista</t>
  </si>
  <si>
    <t xml:space="preserve">BLOCCATO</t>
  </si>
  <si>
    <t xml:space="preserve">TC-058</t>
  </si>
  <si>
    <t xml:space="preserve">Osimhen Gate — niente plusvalenza</t>
  </si>
  <si>
    <t xml:space="preserve">Giocatore pagato 120 crediti all'asta estiva; asteriscato a ottobre (prima di nuove sessioni di mercato); FVM M attuale 180</t>
  </si>
  <si>
    <t xml:space="preserve">Incasso = 120 crediti (crediti spesi), NON 180. Nessuna plusvalenza</t>
  </si>
  <si>
    <t xml:space="preserve">TC-059</t>
  </si>
  <si>
    <t xml:space="preserve">Asterisco nel mercato invernale pre-asta → sostituto in prestito gratuito</t>
  </si>
  <si>
    <t xml:space="preserve">Asteriscato a gennaio pre-asta; sostituto preso da lista svincolati aggiornata (nuovi arrivi inclusi)</t>
  </si>
  <si>
    <t xml:space="preserve">Registrare sostituzione</t>
  </si>
  <si>
    <t xml:space="preserve">Sostituto a titolo gratuito come prestito; all'asta viene svincolato e reso disponibile a tutti</t>
  </si>
  <si>
    <t xml:space="preserve">TC-060</t>
  </si>
  <si>
    <t xml:space="preserve">Vivaio</t>
  </si>
  <si>
    <t xml:space="preserve">§9</t>
  </si>
  <si>
    <t xml:space="preserve">Eligibilità draft: filtro U21</t>
  </si>
  <si>
    <t xml:space="preserve">Giocatore fuori dal filtro under 21 di Fantacalcio.it al giorno del draft</t>
  </si>
  <si>
    <t xml:space="preserve">Tentare selezione al draft</t>
  </si>
  <si>
    <t xml:space="preserve">BLOCCATO: solo giocatori nel filtro U21</t>
  </si>
  <si>
    <t xml:space="preserve">TC-061</t>
  </si>
  <si>
    <t xml:space="preserve">Costo pick draft = FVM M</t>
  </si>
  <si>
    <t xml:space="preserve">Pick con FVM M = 12; budget 100 crediti</t>
  </si>
  <si>
    <t xml:space="preserve">Confermare pick</t>
  </si>
  <si>
    <t xml:space="preserve">Addebito 12 crediti; richiede slot vivaio libero + crediti sufficienti + cap OK</t>
  </si>
  <si>
    <t xml:space="preserve">TC-062</t>
  </si>
  <si>
    <t xml:space="preserve">Ordine draft inverso di classifica</t>
  </si>
  <si>
    <t xml:space="preserve">Classifica finale stagione precedente nota</t>
  </si>
  <si>
    <t xml:space="preserve">Generare ordine draft</t>
  </si>
  <si>
    <t xml:space="preserve">Ultimo classificato sceglie per primo; giri ripetuti fino a esaurimento slot</t>
  </si>
  <si>
    <t xml:space="preserve">TC-063</t>
  </si>
  <si>
    <t xml:space="preserve">Promozione solo a fine stagione</t>
  </si>
  <si>
    <t xml:space="preserve">Giocatore vivaio a novembre</t>
  </si>
  <si>
    <t xml:space="preserve">Tentare promozione in prima squadra</t>
  </si>
  <si>
    <t xml:space="preserve">BLOCCATO: promozione solo a fine stagione</t>
  </si>
  <si>
    <t xml:space="preserve">TC-064</t>
  </si>
  <si>
    <t xml:space="preserve">Promozione gratuita a fine stagione</t>
  </si>
  <si>
    <t xml:space="preserve">Vivaio promosso al rollover</t>
  </si>
  <si>
    <t xml:space="preserve">Eseguire promozione</t>
  </si>
  <si>
    <t xml:space="preserve">Costo 0 crediti; libera slot vivaio; occupa slot rosa; da lì regole normali (contratti/ingaggi)</t>
  </si>
  <si>
    <t xml:space="preserve">TC-065</t>
  </si>
  <si>
    <t xml:space="preserve">Svincolo vivaio a fine stagione</t>
  </si>
  <si>
    <t xml:space="preserve">Giocatore vivaio, ultimo FVM M = 22</t>
  </si>
  <si>
    <t xml:space="preserve">Svincolare al rollover</t>
  </si>
  <si>
    <t xml:space="preserve">Incasso 22 crediti. Svincolo vietato in corso di stagione</t>
  </si>
  <si>
    <t xml:space="preserve">TC-066</t>
  </si>
  <si>
    <t xml:space="preserve">Compimento 22 anni</t>
  </si>
  <si>
    <t xml:space="preserve">Giocatore vivaio compie 22 anni durante la stagione</t>
  </si>
  <si>
    <t xml:space="preserve">Eseguire rollover</t>
  </si>
  <si>
    <t xml:space="preserve">Il sistema forza la scelta: promozione o svincolo a fine stagione; non può restare nel vivaio</t>
  </si>
  <si>
    <t xml:space="preserve">TC-067</t>
  </si>
  <si>
    <t xml:space="preserve">Asteriscato nel vivaio</t>
  </si>
  <si>
    <t xml:space="preserve">Vivaio asteriscato mantenuto</t>
  </si>
  <si>
    <t xml:space="preserve">Verificare bilancio anni successivi</t>
  </si>
  <si>
    <t xml:space="preserve">Ingaggio 0,50 € resta a bilancio finché rimane; svincolo (a fine stagione) incassa ultimo FVM M registrato</t>
  </si>
  <si>
    <t xml:space="preserve">TC-068</t>
  </si>
  <si>
    <t xml:space="preserve">Scambio giocatori vivaio</t>
  </si>
  <si>
    <t xml:space="preserve">Scambio vivaio↔vivaio tra due squadre con slot compatibili</t>
  </si>
  <si>
    <t xml:space="preserve">Validare operazione</t>
  </si>
  <si>
    <t xml:space="preserve">Consentito (anche con crediti), vincoli: slot vivaio destinazione, budget, cap</t>
  </si>
  <si>
    <t xml:space="preserve">TC-069</t>
  </si>
  <si>
    <t xml:space="preserve">Vivaio occupa solo slot vivaio</t>
  </si>
  <si>
    <t xml:space="preserve">Scambio che porterebbe un vivaio in slot rosa (o viceversa)</t>
  </si>
  <si>
    <t xml:space="preserve">BLOCCATO: vivaio→solo slot vivaio; prima squadra→solo slot rosa</t>
  </si>
  <si>
    <t xml:space="preserve">TC-070</t>
  </si>
  <si>
    <t xml:space="preserve">Aste</t>
  </si>
  <si>
    <t xml:space="preserve">§10</t>
  </si>
  <si>
    <t xml:space="preserve">Base asta invernale = FVM M</t>
  </si>
  <si>
    <t xml:space="preserve">Giocatore chiamato all'asta di riparazione; FVM M del giorno = 34</t>
  </si>
  <si>
    <t xml:space="preserve">Aprire rilancio</t>
  </si>
  <si>
    <t xml:space="preserve">Offerta di partenza = 34 crediti (non 1)</t>
  </si>
  <si>
    <t xml:space="preserve">TC-071</t>
  </si>
  <si>
    <t xml:space="preserve">Base asta estiva = 1</t>
  </si>
  <si>
    <t xml:space="preserve">Giocatore chiamato all'asta estiva</t>
  </si>
  <si>
    <t xml:space="preserve">Offerta di partenza = 1 credito</t>
  </si>
  <si>
    <t xml:space="preserve">TC-072</t>
  </si>
  <si>
    <t xml:space="preserve">FVM congelato il giorno dell'asta</t>
  </si>
  <si>
    <t xml:space="preserve">Import listone il giorno dell'asta; variazioni FVM successive</t>
  </si>
  <si>
    <t xml:space="preserve">Creare contratti post-asta</t>
  </si>
  <si>
    <t xml:space="preserve">Tutti i contratti usano lo snapshot del giorno d'asta fino all'immissione nel gestionale</t>
  </si>
  <si>
    <t xml:space="preserve">TC-073</t>
  </si>
  <si>
    <t xml:space="preserve">Multe</t>
  </si>
  <si>
    <t xml:space="preserve">§11</t>
  </si>
  <si>
    <t xml:space="preserve">Multa mancata formazione</t>
  </si>
  <si>
    <t xml:space="preserve">Giornata 12 (non tra le ultime 5)</t>
  </si>
  <si>
    <t xml:space="preserve">Registrare multa</t>
  </si>
  <si>
    <t xml:space="preserve">Movimento euro −20 € verso montepremi; budget crediti INVARIATO; salary cap INVARIATO</t>
  </si>
  <si>
    <t xml:space="preserve">TC-074</t>
  </si>
  <si>
    <t xml:space="preserve">Multa raddoppiata ultime 5 giornate</t>
  </si>
  <si>
    <t xml:space="preserve">Giornata 34 di 38</t>
  </si>
  <si>
    <t xml:space="preserve">40 € (raddoppio nelle ultime 5 giornate)</t>
  </si>
  <si>
    <t xml:space="preserve">TC-075</t>
  </si>
  <si>
    <t xml:space="preserve">Montepremi di fine stagione</t>
  </si>
  <si>
    <t xml:space="preserve">Quote 10×50 € + monte ingaggi totale + multe</t>
  </si>
  <si>
    <t xml:space="preserve">Calcolare montepremi e suddivisione</t>
  </si>
  <si>
    <t xml:space="preserve">Somma corretta; ripartizione 33/20/12% campionato, 15% somma punti, 13% coppa, 7% finalista</t>
  </si>
  <si>
    <t xml:space="preserve">TC-076</t>
  </si>
  <si>
    <t xml:space="preserve">Workflow</t>
  </si>
  <si>
    <t xml:space="preserve">§12 inv.10</t>
  </si>
  <si>
    <t xml:space="preserve">Proposta pendente non tocca i saldi</t>
  </si>
  <si>
    <t xml:space="preserve">Presidente propone scambio (stato Pendente)</t>
  </si>
  <si>
    <t xml:space="preserve">Verificare saldi e rose</t>
  </si>
  <si>
    <t xml:space="preserve">Nessun effetto su budget, ingaggi, rose finché non convalidata dal Super Admin</t>
  </si>
  <si>
    <t xml:space="preserve">TC-077</t>
  </si>
  <si>
    <t xml:space="preserve">Convalida applica tutti gli effetti</t>
  </si>
  <si>
    <t xml:space="preserve">Scambio pendente convalidato</t>
  </si>
  <si>
    <t xml:space="preserve">Approvare da area Super Admin</t>
  </si>
  <si>
    <t xml:space="preserve">In un'unica transazione: rose, contratti, delta crediti, delta ingaggi, storico, audit log</t>
  </si>
  <si>
    <t xml:space="preserve">TC-078</t>
  </si>
  <si>
    <t xml:space="preserve">Rifiuto senza effetti</t>
  </si>
  <si>
    <t xml:space="preserve">Scambio pendente rifiutato</t>
  </si>
  <si>
    <t xml:space="preserve">Rifiutare</t>
  </si>
  <si>
    <t xml:space="preserve">Stato Rifiutata; zero effetti; motivazione tracciata</t>
  </si>
  <si>
    <t xml:space="preserve">TC-079</t>
  </si>
  <si>
    <t xml:space="preserve">§12 inv.1</t>
  </si>
  <si>
    <t xml:space="preserve">Operazione confermata immutabile</t>
  </si>
  <si>
    <t xml:space="preserve">Operazione in stato Approvata</t>
  </si>
  <si>
    <t xml:space="preserve">Tentare modifica/cancellazione</t>
  </si>
  <si>
    <t xml:space="preserve">BLOCCATO: solo rettifica admin come NUOVA operazione collegata, con audit</t>
  </si>
  <si>
    <t xml:space="preserve">TC-080</t>
  </si>
  <si>
    <t xml:space="preserve">§12 inv.2</t>
  </si>
  <si>
    <t xml:space="preserve">Nessuna cancellazione fisica</t>
  </si>
  <si>
    <t xml:space="preserve">Svincolo/cessione/rescissione eseguiti</t>
  </si>
  <si>
    <t xml:space="preserve">Interrogare storico giocatore</t>
  </si>
  <si>
    <t xml:space="preserve">Tutti i record storici presenti (chiusi/trasferiti, mai eliminati)</t>
  </si>
  <si>
    <t xml:space="preserve">TC-081</t>
  </si>
  <si>
    <t xml:space="preserve">§12 inv.3</t>
  </si>
  <si>
    <t xml:space="preserve">Monitor crediti totali di lega</t>
  </si>
  <si>
    <t xml:space="preserve">10 squadre</t>
  </si>
  <si>
    <t xml:space="preserve">Calcolare Σ budget su dashboard admin</t>
  </si>
  <si>
    <t xml:space="preserve">Somma visibile e coerente col ledger (10.000 iniziali, può calare)</t>
  </si>
  <si>
    <t xml:space="preserve">TC-082</t>
  </si>
  <si>
    <t xml:space="preserve">§12 inv.7</t>
  </si>
  <si>
    <t xml:space="preserve">Tracciabilità FVM</t>
  </si>
  <si>
    <t xml:space="preserve">Qualsiasi calcolo che usa un FVM</t>
  </si>
  <si>
    <t xml:space="preserve">Ispezionare il record</t>
  </si>
  <si>
    <t xml:space="preserve">Ogni valore FVM referenzia uno snapshot datato (player, data, fonte, import)</t>
  </si>
  <si>
    <t xml:space="preserve">TC-083</t>
  </si>
  <si>
    <t xml:space="preserve">§12</t>
  </si>
  <si>
    <t xml:space="preserve">Audit log su modifiche rilevanti</t>
  </si>
  <si>
    <t xml:space="preserve">Qualsiasi create/update/confirm su entità di dominio</t>
  </si>
  <si>
    <t xml:space="preserve">Ispezionare audit_logs</t>
  </si>
  <si>
    <t xml:space="preserve">Presenti utente, timestamp, entità, before/after, operazione collegata</t>
  </si>
  <si>
    <t xml:space="preserve">TC-084</t>
  </si>
  <si>
    <t xml:space="preserve">Migrazione</t>
  </si>
  <si>
    <t xml:space="preserve">doc 03</t>
  </si>
  <si>
    <t xml:space="preserve">Quadratura post-import</t>
  </si>
  <si>
    <t xml:space="preserve">Import iniziale dal GESTIONALE_UFFICIALE completato</t>
  </si>
  <si>
    <t xml:space="preserve">Confrontare app vs foglio</t>
  </si>
  <si>
    <t xml:space="preserve">Budget crediti, monte ingaggi e conteggio slot IDENTICI al foglio per tutte le 10 squadre, prima del go-live</t>
  </si>
  <si>
    <t xml:space="preserve">Sezione doc 02</t>
  </si>
  <si>
    <t xml:space="preserve">Tema</t>
  </si>
  <si>
    <t xml:space="preserve">N. test case</t>
  </si>
  <si>
    <t xml:space="preserve">Note</t>
  </si>
  <si>
    <t xml:space="preserve">Doppia valuta crediti/euro</t>
  </si>
  <si>
    <t xml:space="preserve">Ingaggi e maggiorazioni</t>
  </si>
  <si>
    <t xml:space="preserve">Slot e limiti rosa</t>
  </si>
  <si>
    <t xml:space="preserve">Finestre e ammortamento</t>
  </si>
  <si>
    <t xml:space="preserve">Formula STIMA</t>
  </si>
  <si>
    <t xml:space="preserve">Asteriscati e Osimhen Gate</t>
  </si>
  <si>
    <t xml:space="preserve">Multe e contabilità euro</t>
  </si>
  <si>
    <t xml:space="preserve">Workflow e invarianti</t>
  </si>
  <si>
    <t xml:space="preserve">TOTALE</t>
  </si>
  <si>
    <t xml:space="preserve">Metrica</t>
  </si>
  <si>
    <t xml:space="preserve">Valore</t>
  </si>
  <si>
    <t xml:space="preserve">Totale test case</t>
  </si>
  <si>
    <t xml:space="preserve">Pass</t>
  </si>
  <si>
    <t xml:space="preserve">Fail</t>
  </si>
  <si>
    <t xml:space="preserve">Da testare</t>
  </si>
  <si>
    <t xml:space="preserve">Must passati</t>
  </si>
  <si>
    <t xml:space="preserve">Go-live ready (tutti i Must Pass)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</si>
</sst>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6A1B9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C"/>
        <bgColor rgb="FFFFF8E1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1565C0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32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48"/>
    <col collapsed="false" customWidth="true" hidden="false" outlineLevel="0" max="10" min="10" style="0" width="18"/>
    <col collapsed="false" customWidth="true" hidden="false" outlineLevel="0" max="11" min="11" style="0" width="11"/>
  </cols>
  <sheetData>
    <row r="1" customFormat="false" ht="23.8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13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</row>
    <row r="2" customFormat="false" ht="35.05" hidden="false" customHeight="false" outlineLevel="0" collapsed="false">
      <c r="A2" s="5" t="s">
        <v>27</v>
      </c>
      <c r="B2" s="5" t="s">
        <v>28</v>
      </c>
      <c r="C2" s="5" t="s">
        <v>29</v>
      </c>
      <c r="D2" s="6" t="s">
        <v>30</v>
      </c>
      <c r="E2" s="7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/>
      <c r="K2" s="5" t="str">
        <f aca="false">IF(J2="","Da testare",IF(EXACT(TRIM(J2),"OK"),"Pass","Fail"))</f>
        <v>Da testare</v>
      </c>
    </row>
    <row r="3" customFormat="false" ht="23.85" hidden="false" customHeight="false" outlineLevel="0" collapsed="false">
      <c r="A3" s="5" t="s">
        <v>36</v>
      </c>
      <c r="B3" s="5" t="s">
        <v>28</v>
      </c>
      <c r="C3" s="5" t="s">
        <v>29</v>
      </c>
      <c r="D3" s="8" t="s">
        <v>37</v>
      </c>
      <c r="E3" s="7" t="s">
        <v>31</v>
      </c>
      <c r="F3" s="5" t="s">
        <v>38</v>
      </c>
      <c r="G3" s="5" t="s">
        <v>39</v>
      </c>
      <c r="H3" s="5" t="s">
        <v>40</v>
      </c>
      <c r="I3" s="5" t="s">
        <v>41</v>
      </c>
      <c r="J3" s="5"/>
      <c r="K3" s="5" t="str">
        <f aca="false">IF(J3="","Da testare",IF(EXACT(TRIM(J3),"OK"),"Pass","Fail"))</f>
        <v>Da testare</v>
      </c>
    </row>
    <row r="4" customFormat="false" ht="23.85" hidden="false" customHeight="false" outlineLevel="0" collapsed="false">
      <c r="A4" s="5" t="s">
        <v>42</v>
      </c>
      <c r="B4" s="5" t="s">
        <v>43</v>
      </c>
      <c r="C4" s="5" t="s">
        <v>44</v>
      </c>
      <c r="D4" s="8" t="s">
        <v>37</v>
      </c>
      <c r="E4" s="7" t="s">
        <v>31</v>
      </c>
      <c r="F4" s="5" t="s">
        <v>45</v>
      </c>
      <c r="G4" s="5" t="s">
        <v>46</v>
      </c>
      <c r="H4" s="5" t="s">
        <v>47</v>
      </c>
      <c r="I4" s="5" t="s">
        <v>48</v>
      </c>
      <c r="J4" s="5"/>
      <c r="K4" s="5" t="str">
        <f aca="false">IF(J4="","Da testare",IF(EXACT(TRIM(J4),"OK"),"Pass","Fail"))</f>
        <v>Da testare</v>
      </c>
    </row>
    <row r="5" customFormat="false" ht="15" hidden="false" customHeight="false" outlineLevel="0" collapsed="false">
      <c r="A5" s="5" t="s">
        <v>49</v>
      </c>
      <c r="B5" s="5" t="s">
        <v>43</v>
      </c>
      <c r="C5" s="5" t="s">
        <v>44</v>
      </c>
      <c r="D5" s="8" t="s">
        <v>37</v>
      </c>
      <c r="E5" s="7" t="s">
        <v>31</v>
      </c>
      <c r="F5" s="5" t="s">
        <v>50</v>
      </c>
      <c r="G5" s="5" t="s">
        <v>51</v>
      </c>
      <c r="H5" s="5" t="s">
        <v>47</v>
      </c>
      <c r="I5" s="5" t="s">
        <v>52</v>
      </c>
      <c r="J5" s="5"/>
      <c r="K5" s="5" t="str">
        <f aca="false">IF(J5="","Da testare",IF(EXACT(TRIM(J5),"OK"),"Pass","Fail"))</f>
        <v>Da testare</v>
      </c>
    </row>
    <row r="6" customFormat="false" ht="23.85" hidden="false" customHeight="false" outlineLevel="0" collapsed="false">
      <c r="A6" s="5" t="s">
        <v>53</v>
      </c>
      <c r="B6" s="5" t="s">
        <v>43</v>
      </c>
      <c r="C6" s="5" t="s">
        <v>44</v>
      </c>
      <c r="D6" s="8" t="s">
        <v>37</v>
      </c>
      <c r="E6" s="7" t="s">
        <v>31</v>
      </c>
      <c r="F6" s="5" t="s">
        <v>54</v>
      </c>
      <c r="G6" s="5" t="s">
        <v>55</v>
      </c>
      <c r="H6" s="5" t="s">
        <v>47</v>
      </c>
      <c r="I6" s="5" t="s">
        <v>56</v>
      </c>
      <c r="J6" s="5"/>
      <c r="K6" s="5" t="str">
        <f aca="false">IF(J6="","Da testare",IF(EXACT(TRIM(J6),"OK"),"Pass","Fail"))</f>
        <v>Da testare</v>
      </c>
    </row>
    <row r="7" customFormat="false" ht="15" hidden="false" customHeight="false" outlineLevel="0" collapsed="false">
      <c r="A7" s="5" t="s">
        <v>57</v>
      </c>
      <c r="B7" s="5" t="s">
        <v>43</v>
      </c>
      <c r="C7" s="5" t="s">
        <v>44</v>
      </c>
      <c r="D7" s="8" t="s">
        <v>37</v>
      </c>
      <c r="E7" s="7" t="s">
        <v>31</v>
      </c>
      <c r="F7" s="5" t="s">
        <v>58</v>
      </c>
      <c r="G7" s="5" t="s">
        <v>59</v>
      </c>
      <c r="H7" s="5" t="s">
        <v>47</v>
      </c>
      <c r="I7" s="5" t="s">
        <v>60</v>
      </c>
      <c r="J7" s="5"/>
      <c r="K7" s="5" t="str">
        <f aca="false">IF(J7="","Da testare",IF(EXACT(TRIM(J7),"OK"),"Pass","Fail"))</f>
        <v>Da testare</v>
      </c>
    </row>
    <row r="8" customFormat="false" ht="23.85" hidden="false" customHeight="false" outlineLevel="0" collapsed="false">
      <c r="A8" s="5" t="s">
        <v>61</v>
      </c>
      <c r="B8" s="5" t="s">
        <v>43</v>
      </c>
      <c r="C8" s="5" t="s">
        <v>44</v>
      </c>
      <c r="D8" s="8" t="s">
        <v>37</v>
      </c>
      <c r="E8" s="7" t="s">
        <v>31</v>
      </c>
      <c r="F8" s="5" t="s">
        <v>62</v>
      </c>
      <c r="G8" s="5" t="s">
        <v>63</v>
      </c>
      <c r="H8" s="5" t="s">
        <v>47</v>
      </c>
      <c r="I8" s="5" t="s">
        <v>64</v>
      </c>
      <c r="J8" s="5"/>
      <c r="K8" s="5" t="str">
        <f aca="false">IF(J8="","Da testare",IF(EXACT(TRIM(J8),"OK"),"Pass","Fail"))</f>
        <v>Da testare</v>
      </c>
    </row>
    <row r="9" customFormat="false" ht="15" hidden="false" customHeight="false" outlineLevel="0" collapsed="false">
      <c r="A9" s="5" t="s">
        <v>65</v>
      </c>
      <c r="B9" s="5" t="s">
        <v>43</v>
      </c>
      <c r="C9" s="5" t="s">
        <v>44</v>
      </c>
      <c r="D9" s="8" t="s">
        <v>37</v>
      </c>
      <c r="E9" s="7" t="s">
        <v>31</v>
      </c>
      <c r="F9" s="5" t="s">
        <v>66</v>
      </c>
      <c r="G9" s="5" t="s">
        <v>67</v>
      </c>
      <c r="H9" s="5" t="s">
        <v>68</v>
      </c>
      <c r="I9" s="5" t="s">
        <v>69</v>
      </c>
      <c r="J9" s="5"/>
      <c r="K9" s="5" t="str">
        <f aca="false">IF(J9="","Da testare",IF(EXACT(TRIM(J9),"OK"),"Pass","Fail"))</f>
        <v>Da testare</v>
      </c>
    </row>
    <row r="10" customFormat="false" ht="23.85" hidden="false" customHeight="false" outlineLevel="0" collapsed="false">
      <c r="A10" s="5" t="s">
        <v>70</v>
      </c>
      <c r="B10" s="5" t="s">
        <v>43</v>
      </c>
      <c r="C10" s="5" t="s">
        <v>44</v>
      </c>
      <c r="D10" s="8" t="s">
        <v>37</v>
      </c>
      <c r="E10" s="7" t="s">
        <v>31</v>
      </c>
      <c r="F10" s="5" t="s">
        <v>71</v>
      </c>
      <c r="G10" s="5" t="s">
        <v>72</v>
      </c>
      <c r="H10" s="5" t="s">
        <v>68</v>
      </c>
      <c r="I10" s="5" t="s">
        <v>73</v>
      </c>
      <c r="J10" s="5"/>
      <c r="K10" s="5" t="str">
        <f aca="false">IF(J10="","Da testare",IF(EXACT(TRIM(J10),"OK"),"Pass","Fail"))</f>
        <v>Da testare</v>
      </c>
    </row>
    <row r="11" customFormat="false" ht="15" hidden="false" customHeight="false" outlineLevel="0" collapsed="false">
      <c r="A11" s="5" t="s">
        <v>74</v>
      </c>
      <c r="B11" s="5" t="s">
        <v>43</v>
      </c>
      <c r="C11" s="5" t="s">
        <v>44</v>
      </c>
      <c r="D11" s="8" t="s">
        <v>37</v>
      </c>
      <c r="E11" s="7" t="s">
        <v>31</v>
      </c>
      <c r="F11" s="5" t="s">
        <v>75</v>
      </c>
      <c r="G11" s="5" t="s">
        <v>76</v>
      </c>
      <c r="H11" s="5" t="s">
        <v>68</v>
      </c>
      <c r="I11" s="5" t="s">
        <v>77</v>
      </c>
      <c r="J11" s="5"/>
      <c r="K11" s="5" t="str">
        <f aca="false">IF(J11="","Da testare",IF(EXACT(TRIM(J11),"OK"),"Pass","Fail"))</f>
        <v>Da testare</v>
      </c>
    </row>
    <row r="12" customFormat="false" ht="23.85" hidden="false" customHeight="false" outlineLevel="0" collapsed="false">
      <c r="A12" s="5" t="s">
        <v>78</v>
      </c>
      <c r="B12" s="5" t="s">
        <v>43</v>
      </c>
      <c r="C12" s="5" t="s">
        <v>44</v>
      </c>
      <c r="D12" s="8" t="s">
        <v>37</v>
      </c>
      <c r="E12" s="7" t="s">
        <v>31</v>
      </c>
      <c r="F12" s="5" t="s">
        <v>79</v>
      </c>
      <c r="G12" s="5" t="s">
        <v>80</v>
      </c>
      <c r="H12" s="5" t="s">
        <v>68</v>
      </c>
      <c r="I12" s="5" t="s">
        <v>81</v>
      </c>
      <c r="J12" s="5"/>
      <c r="K12" s="5" t="str">
        <f aca="false">IF(J12="","Da testare",IF(EXACT(TRIM(J12),"OK"),"Pass","Fail"))</f>
        <v>Da testare</v>
      </c>
    </row>
    <row r="13" customFormat="false" ht="23.85" hidden="false" customHeight="false" outlineLevel="0" collapsed="false">
      <c r="A13" s="5" t="s">
        <v>82</v>
      </c>
      <c r="B13" s="5" t="s">
        <v>43</v>
      </c>
      <c r="C13" s="5" t="s">
        <v>44</v>
      </c>
      <c r="D13" s="8" t="s">
        <v>37</v>
      </c>
      <c r="E13" s="7" t="s">
        <v>31</v>
      </c>
      <c r="F13" s="5" t="s">
        <v>83</v>
      </c>
      <c r="G13" s="5" t="s">
        <v>84</v>
      </c>
      <c r="H13" s="5" t="s">
        <v>85</v>
      </c>
      <c r="I13" s="5" t="s">
        <v>86</v>
      </c>
      <c r="J13" s="5"/>
      <c r="K13" s="5" t="str">
        <f aca="false">IF(J13="","Da testare",IF(EXACT(TRIM(J13),"OK"),"Pass","Fail"))</f>
        <v>Da testare</v>
      </c>
    </row>
    <row r="14" customFormat="false" ht="15" hidden="false" customHeight="false" outlineLevel="0" collapsed="false">
      <c r="A14" s="5" t="s">
        <v>87</v>
      </c>
      <c r="B14" s="5" t="s">
        <v>43</v>
      </c>
      <c r="C14" s="5" t="s">
        <v>44</v>
      </c>
      <c r="D14" s="8" t="s">
        <v>37</v>
      </c>
      <c r="E14" s="7" t="s">
        <v>31</v>
      </c>
      <c r="F14" s="5" t="s">
        <v>88</v>
      </c>
      <c r="G14" s="5" t="s">
        <v>89</v>
      </c>
      <c r="H14" s="5" t="s">
        <v>90</v>
      </c>
      <c r="I14" s="5" t="s">
        <v>91</v>
      </c>
      <c r="J14" s="5"/>
      <c r="K14" s="5" t="str">
        <f aca="false">IF(J14="","Da testare",IF(EXACT(TRIM(J14),"OK"),"Pass","Fail"))</f>
        <v>Da testare</v>
      </c>
    </row>
    <row r="15" customFormat="false" ht="23.85" hidden="false" customHeight="false" outlineLevel="0" collapsed="false">
      <c r="A15" s="5" t="s">
        <v>92</v>
      </c>
      <c r="B15" s="5" t="s">
        <v>43</v>
      </c>
      <c r="C15" s="5" t="s">
        <v>44</v>
      </c>
      <c r="D15" s="9" t="s">
        <v>93</v>
      </c>
      <c r="E15" s="7" t="s">
        <v>31</v>
      </c>
      <c r="F15" s="5" t="s">
        <v>94</v>
      </c>
      <c r="G15" s="5" t="s">
        <v>95</v>
      </c>
      <c r="H15" s="5" t="s">
        <v>96</v>
      </c>
      <c r="I15" s="5" t="s">
        <v>97</v>
      </c>
      <c r="J15" s="5"/>
      <c r="K15" s="5" t="str">
        <f aca="false">IF(J15="","Da testare",IF(EXACT(TRIM(J15),"OK"),"Pass","Fail"))</f>
        <v>Da testare</v>
      </c>
    </row>
    <row r="16" customFormat="false" ht="23.85" hidden="false" customHeight="false" outlineLevel="0" collapsed="false">
      <c r="A16" s="5" t="s">
        <v>98</v>
      </c>
      <c r="B16" s="5" t="s">
        <v>99</v>
      </c>
      <c r="C16" s="5" t="s">
        <v>100</v>
      </c>
      <c r="D16" s="9" t="s">
        <v>93</v>
      </c>
      <c r="E16" s="7" t="s">
        <v>31</v>
      </c>
      <c r="F16" s="5" t="s">
        <v>101</v>
      </c>
      <c r="G16" s="5" t="s">
        <v>102</v>
      </c>
      <c r="H16" s="5" t="s">
        <v>103</v>
      </c>
      <c r="I16" s="5" t="s">
        <v>104</v>
      </c>
      <c r="J16" s="5"/>
      <c r="K16" s="5" t="str">
        <f aca="false">IF(J16="","Da testare",IF(EXACT(TRIM(J16),"OK"),"Pass","Fail"))</f>
        <v>Da testare</v>
      </c>
    </row>
    <row r="17" customFormat="false" ht="23.85" hidden="false" customHeight="false" outlineLevel="0" collapsed="false">
      <c r="A17" s="5" t="s">
        <v>105</v>
      </c>
      <c r="B17" s="5" t="s">
        <v>99</v>
      </c>
      <c r="C17" s="5" t="s">
        <v>100</v>
      </c>
      <c r="D17" s="8" t="s">
        <v>37</v>
      </c>
      <c r="E17" s="7" t="s">
        <v>31</v>
      </c>
      <c r="F17" s="5" t="s">
        <v>106</v>
      </c>
      <c r="G17" s="5" t="s">
        <v>107</v>
      </c>
      <c r="H17" s="5" t="s">
        <v>108</v>
      </c>
      <c r="I17" s="5" t="s">
        <v>109</v>
      </c>
      <c r="J17" s="5"/>
      <c r="K17" s="5" t="str">
        <f aca="false">IF(J17="","Da testare",IF(EXACT(TRIM(J17),"OK"),"Pass","Fail"))</f>
        <v>Da testare</v>
      </c>
    </row>
    <row r="18" customFormat="false" ht="35.05" hidden="false" customHeight="false" outlineLevel="0" collapsed="false">
      <c r="A18" s="5" t="s">
        <v>110</v>
      </c>
      <c r="B18" s="5" t="s">
        <v>99</v>
      </c>
      <c r="C18" s="5" t="s">
        <v>100</v>
      </c>
      <c r="D18" s="9" t="s">
        <v>93</v>
      </c>
      <c r="E18" s="7" t="s">
        <v>31</v>
      </c>
      <c r="F18" s="5" t="s">
        <v>111</v>
      </c>
      <c r="G18" s="5" t="s">
        <v>112</v>
      </c>
      <c r="H18" s="5" t="s">
        <v>113</v>
      </c>
      <c r="I18" s="5" t="s">
        <v>114</v>
      </c>
      <c r="J18" s="5"/>
      <c r="K18" s="5" t="str">
        <f aca="false">IF(J18="","Da testare",IF(EXACT(TRIM(J18),"OK"),"Pass","Fail"))</f>
        <v>Da testare</v>
      </c>
    </row>
    <row r="19" customFormat="false" ht="23.85" hidden="false" customHeight="false" outlineLevel="0" collapsed="false">
      <c r="A19" s="5" t="s">
        <v>115</v>
      </c>
      <c r="B19" s="5" t="s">
        <v>99</v>
      </c>
      <c r="C19" s="5" t="s">
        <v>100</v>
      </c>
      <c r="D19" s="8" t="s">
        <v>37</v>
      </c>
      <c r="E19" s="7" t="s">
        <v>31</v>
      </c>
      <c r="F19" s="5" t="s">
        <v>116</v>
      </c>
      <c r="G19" s="5" t="s">
        <v>117</v>
      </c>
      <c r="H19" s="5" t="s">
        <v>118</v>
      </c>
      <c r="I19" s="5" t="s">
        <v>119</v>
      </c>
      <c r="J19" s="5"/>
      <c r="K19" s="5" t="str">
        <f aca="false">IF(J19="","Da testare",IF(EXACT(TRIM(J19),"OK"),"Pass","Fail"))</f>
        <v>Da testare</v>
      </c>
    </row>
    <row r="20" customFormat="false" ht="35.05" hidden="false" customHeight="false" outlineLevel="0" collapsed="false">
      <c r="A20" s="5" t="s">
        <v>120</v>
      </c>
      <c r="B20" s="5" t="s">
        <v>99</v>
      </c>
      <c r="C20" s="5" t="s">
        <v>100</v>
      </c>
      <c r="D20" s="10" t="s">
        <v>121</v>
      </c>
      <c r="E20" s="11" t="s">
        <v>122</v>
      </c>
      <c r="F20" s="5" t="s">
        <v>123</v>
      </c>
      <c r="G20" s="5" t="s">
        <v>124</v>
      </c>
      <c r="H20" s="5" t="s">
        <v>125</v>
      </c>
      <c r="I20" s="5" t="s">
        <v>126</v>
      </c>
      <c r="J20" s="5"/>
      <c r="K20" s="5" t="str">
        <f aca="false">IF(J20="","Da testare",IF(EXACT(TRIM(J20),"OK"),"Pass","Fail"))</f>
        <v>Da testare</v>
      </c>
    </row>
    <row r="21" customFormat="false" ht="23.85" hidden="false" customHeight="false" outlineLevel="0" collapsed="false">
      <c r="A21" s="5" t="s">
        <v>127</v>
      </c>
      <c r="B21" s="5" t="s">
        <v>128</v>
      </c>
      <c r="C21" s="5" t="s">
        <v>129</v>
      </c>
      <c r="D21" s="9" t="s">
        <v>93</v>
      </c>
      <c r="E21" s="7" t="s">
        <v>31</v>
      </c>
      <c r="F21" s="5" t="s">
        <v>130</v>
      </c>
      <c r="G21" s="5" t="s">
        <v>131</v>
      </c>
      <c r="H21" s="5" t="s">
        <v>132</v>
      </c>
      <c r="I21" s="5" t="s">
        <v>133</v>
      </c>
      <c r="J21" s="5"/>
      <c r="K21" s="5" t="str">
        <f aca="false">IF(J21="","Da testare",IF(EXACT(TRIM(J21),"OK"),"Pass","Fail"))</f>
        <v>Da testare</v>
      </c>
    </row>
    <row r="22" customFormat="false" ht="23.85" hidden="false" customHeight="false" outlineLevel="0" collapsed="false">
      <c r="A22" s="5" t="s">
        <v>134</v>
      </c>
      <c r="B22" s="5" t="s">
        <v>128</v>
      </c>
      <c r="C22" s="5" t="s">
        <v>129</v>
      </c>
      <c r="D22" s="10" t="s">
        <v>121</v>
      </c>
      <c r="E22" s="7" t="s">
        <v>31</v>
      </c>
      <c r="F22" s="5" t="s">
        <v>135</v>
      </c>
      <c r="G22" s="5" t="s">
        <v>136</v>
      </c>
      <c r="H22" s="5" t="s">
        <v>137</v>
      </c>
      <c r="I22" s="5" t="s">
        <v>138</v>
      </c>
      <c r="J22" s="5"/>
      <c r="K22" s="5" t="str">
        <f aca="false">IF(J22="","Da testare",IF(EXACT(TRIM(J22),"OK"),"Pass","Fail"))</f>
        <v>Da testare</v>
      </c>
    </row>
    <row r="23" customFormat="false" ht="23.85" hidden="false" customHeight="false" outlineLevel="0" collapsed="false">
      <c r="A23" s="5" t="s">
        <v>139</v>
      </c>
      <c r="B23" s="5" t="s">
        <v>128</v>
      </c>
      <c r="C23" s="5" t="s">
        <v>129</v>
      </c>
      <c r="D23" s="10" t="s">
        <v>121</v>
      </c>
      <c r="E23" s="7" t="s">
        <v>31</v>
      </c>
      <c r="F23" s="5" t="s">
        <v>140</v>
      </c>
      <c r="G23" s="5" t="s">
        <v>141</v>
      </c>
      <c r="H23" s="5" t="s">
        <v>142</v>
      </c>
      <c r="I23" s="5" t="s">
        <v>143</v>
      </c>
      <c r="J23" s="5"/>
      <c r="K23" s="5" t="str">
        <f aca="false">IF(J23="","Da testare",IF(EXACT(TRIM(J23),"OK"),"Pass","Fail"))</f>
        <v>Da testare</v>
      </c>
    </row>
    <row r="24" customFormat="false" ht="23.85" hidden="false" customHeight="false" outlineLevel="0" collapsed="false">
      <c r="A24" s="5" t="s">
        <v>144</v>
      </c>
      <c r="B24" s="5" t="s">
        <v>128</v>
      </c>
      <c r="C24" s="5" t="s">
        <v>129</v>
      </c>
      <c r="D24" s="9" t="s">
        <v>93</v>
      </c>
      <c r="E24" s="7" t="s">
        <v>31</v>
      </c>
      <c r="F24" s="5" t="s">
        <v>145</v>
      </c>
      <c r="G24" s="5" t="s">
        <v>146</v>
      </c>
      <c r="H24" s="5" t="s">
        <v>147</v>
      </c>
      <c r="I24" s="5" t="s">
        <v>148</v>
      </c>
      <c r="J24" s="5"/>
      <c r="K24" s="5" t="str">
        <f aca="false">IF(J24="","Da testare",IF(EXACT(TRIM(J24),"OK"),"Pass","Fail"))</f>
        <v>Da testare</v>
      </c>
    </row>
    <row r="25" customFormat="false" ht="23.85" hidden="false" customHeight="false" outlineLevel="0" collapsed="false">
      <c r="A25" s="5" t="s">
        <v>149</v>
      </c>
      <c r="B25" s="5" t="s">
        <v>128</v>
      </c>
      <c r="C25" s="5" t="s">
        <v>129</v>
      </c>
      <c r="D25" s="8" t="s">
        <v>37</v>
      </c>
      <c r="E25" s="7" t="s">
        <v>31</v>
      </c>
      <c r="F25" s="5" t="s">
        <v>150</v>
      </c>
      <c r="G25" s="5" t="s">
        <v>151</v>
      </c>
      <c r="H25" s="5" t="s">
        <v>152</v>
      </c>
      <c r="I25" s="5" t="s">
        <v>153</v>
      </c>
      <c r="J25" s="5"/>
      <c r="K25" s="5" t="str">
        <f aca="false">IF(J25="","Da testare",IF(EXACT(TRIM(J25),"OK"),"Pass","Fail"))</f>
        <v>Da testare</v>
      </c>
    </row>
    <row r="26" customFormat="false" ht="23.85" hidden="false" customHeight="false" outlineLevel="0" collapsed="false">
      <c r="A26" s="5" t="s">
        <v>154</v>
      </c>
      <c r="B26" s="5" t="s">
        <v>128</v>
      </c>
      <c r="C26" s="5" t="s">
        <v>129</v>
      </c>
      <c r="D26" s="9" t="s">
        <v>93</v>
      </c>
      <c r="E26" s="7" t="s">
        <v>31</v>
      </c>
      <c r="F26" s="5" t="s">
        <v>155</v>
      </c>
      <c r="G26" s="5" t="s">
        <v>156</v>
      </c>
      <c r="H26" s="5" t="s">
        <v>157</v>
      </c>
      <c r="I26" s="5" t="s">
        <v>158</v>
      </c>
      <c r="J26" s="5"/>
      <c r="K26" s="5" t="str">
        <f aca="false">IF(J26="","Da testare",IF(EXACT(TRIM(J26),"OK"),"Pass","Fail"))</f>
        <v>Da testare</v>
      </c>
    </row>
    <row r="27" customFormat="false" ht="15" hidden="false" customHeight="false" outlineLevel="0" collapsed="false">
      <c r="A27" s="5" t="s">
        <v>159</v>
      </c>
      <c r="B27" s="5" t="s">
        <v>128</v>
      </c>
      <c r="C27" s="5" t="s">
        <v>129</v>
      </c>
      <c r="D27" s="9" t="s">
        <v>93</v>
      </c>
      <c r="E27" s="7" t="s">
        <v>31</v>
      </c>
      <c r="F27" s="5" t="s">
        <v>160</v>
      </c>
      <c r="G27" s="5" t="s">
        <v>161</v>
      </c>
      <c r="H27" s="5" t="s">
        <v>162</v>
      </c>
      <c r="I27" s="5" t="s">
        <v>163</v>
      </c>
      <c r="J27" s="5"/>
      <c r="K27" s="5" t="str">
        <f aca="false">IF(J27="","Da testare",IF(EXACT(TRIM(J27),"OK"),"Pass","Fail"))</f>
        <v>Da testare</v>
      </c>
    </row>
    <row r="28" customFormat="false" ht="15" hidden="false" customHeight="false" outlineLevel="0" collapsed="false">
      <c r="A28" s="5" t="s">
        <v>164</v>
      </c>
      <c r="B28" s="5" t="s">
        <v>128</v>
      </c>
      <c r="C28" s="5" t="s">
        <v>129</v>
      </c>
      <c r="D28" s="9" t="s">
        <v>93</v>
      </c>
      <c r="E28" s="7" t="s">
        <v>31</v>
      </c>
      <c r="F28" s="5" t="s">
        <v>165</v>
      </c>
      <c r="G28" s="5" t="s">
        <v>166</v>
      </c>
      <c r="H28" s="5" t="s">
        <v>167</v>
      </c>
      <c r="I28" s="5" t="s">
        <v>168</v>
      </c>
      <c r="J28" s="5"/>
      <c r="K28" s="5" t="str">
        <f aca="false">IF(J28="","Da testare",IF(EXACT(TRIM(J28),"OK"),"Pass","Fail"))</f>
        <v>Da testare</v>
      </c>
    </row>
    <row r="29" customFormat="false" ht="23.85" hidden="false" customHeight="false" outlineLevel="0" collapsed="false">
      <c r="A29" s="5" t="s">
        <v>169</v>
      </c>
      <c r="B29" s="5" t="s">
        <v>128</v>
      </c>
      <c r="C29" s="5" t="s">
        <v>129</v>
      </c>
      <c r="D29" s="9" t="s">
        <v>93</v>
      </c>
      <c r="E29" s="7" t="s">
        <v>31</v>
      </c>
      <c r="F29" s="5" t="s">
        <v>170</v>
      </c>
      <c r="G29" s="5" t="s">
        <v>171</v>
      </c>
      <c r="H29" s="5" t="s">
        <v>172</v>
      </c>
      <c r="I29" s="5" t="s">
        <v>173</v>
      </c>
      <c r="J29" s="5"/>
      <c r="K29" s="5" t="str">
        <f aca="false">IF(J29="","Da testare",IF(EXACT(TRIM(J29),"OK"),"Pass","Fail"))</f>
        <v>Da testare</v>
      </c>
    </row>
    <row r="30" customFormat="false" ht="23.85" hidden="false" customHeight="false" outlineLevel="0" collapsed="false">
      <c r="A30" s="5" t="s">
        <v>174</v>
      </c>
      <c r="B30" s="5" t="s">
        <v>128</v>
      </c>
      <c r="C30" s="5" t="s">
        <v>175</v>
      </c>
      <c r="D30" s="6" t="s">
        <v>30</v>
      </c>
      <c r="E30" s="7" t="s">
        <v>31</v>
      </c>
      <c r="F30" s="5" t="s">
        <v>176</v>
      </c>
      <c r="G30" s="5" t="s">
        <v>177</v>
      </c>
      <c r="H30" s="5" t="s">
        <v>178</v>
      </c>
      <c r="I30" s="5" t="s">
        <v>179</v>
      </c>
      <c r="J30" s="5"/>
      <c r="K30" s="5" t="str">
        <f aca="false">IF(J30="","Da testare",IF(EXACT(TRIM(J30),"OK"),"Pass","Fail"))</f>
        <v>Da testare</v>
      </c>
    </row>
    <row r="31" customFormat="false" ht="23.85" hidden="false" customHeight="false" outlineLevel="0" collapsed="false">
      <c r="A31" s="5" t="s">
        <v>180</v>
      </c>
      <c r="B31" s="5" t="s">
        <v>181</v>
      </c>
      <c r="C31" s="5" t="s">
        <v>182</v>
      </c>
      <c r="D31" s="8" t="s">
        <v>37</v>
      </c>
      <c r="E31" s="7" t="s">
        <v>31</v>
      </c>
      <c r="F31" s="5" t="s">
        <v>183</v>
      </c>
      <c r="G31" s="5" t="s">
        <v>184</v>
      </c>
      <c r="H31" s="5" t="s">
        <v>185</v>
      </c>
      <c r="I31" s="5" t="s">
        <v>186</v>
      </c>
      <c r="J31" s="5"/>
      <c r="K31" s="5" t="str">
        <f aca="false">IF(J31="","Da testare",IF(EXACT(TRIM(J31),"OK"),"Pass","Fail"))</f>
        <v>Da testare</v>
      </c>
    </row>
    <row r="32" customFormat="false" ht="23.85" hidden="false" customHeight="false" outlineLevel="0" collapsed="false">
      <c r="A32" s="5" t="s">
        <v>187</v>
      </c>
      <c r="B32" s="5" t="s">
        <v>181</v>
      </c>
      <c r="C32" s="5" t="s">
        <v>182</v>
      </c>
      <c r="D32" s="8" t="s">
        <v>37</v>
      </c>
      <c r="E32" s="7" t="s">
        <v>31</v>
      </c>
      <c r="F32" s="5" t="s">
        <v>188</v>
      </c>
      <c r="G32" s="5" t="s">
        <v>189</v>
      </c>
      <c r="H32" s="5" t="s">
        <v>185</v>
      </c>
      <c r="I32" s="5" t="s">
        <v>190</v>
      </c>
      <c r="J32" s="5"/>
      <c r="K32" s="5" t="str">
        <f aca="false">IF(J32="","Da testare",IF(EXACT(TRIM(J32),"OK"),"Pass","Fail"))</f>
        <v>Da testare</v>
      </c>
    </row>
    <row r="33" customFormat="false" ht="23.85" hidden="false" customHeight="false" outlineLevel="0" collapsed="false">
      <c r="A33" s="5" t="s">
        <v>191</v>
      </c>
      <c r="B33" s="5" t="s">
        <v>181</v>
      </c>
      <c r="C33" s="5" t="s">
        <v>182</v>
      </c>
      <c r="D33" s="8" t="s">
        <v>37</v>
      </c>
      <c r="E33" s="11" t="s">
        <v>122</v>
      </c>
      <c r="F33" s="5" t="s">
        <v>192</v>
      </c>
      <c r="G33" s="5" t="s">
        <v>193</v>
      </c>
      <c r="H33" s="5" t="s">
        <v>194</v>
      </c>
      <c r="I33" s="5" t="s">
        <v>195</v>
      </c>
      <c r="J33" s="5"/>
      <c r="K33" s="5" t="str">
        <f aca="false">IF(J33="","Da testare",IF(EXACT(TRIM(J33),"OK"),"Pass","Fail"))</f>
        <v>Da testare</v>
      </c>
    </row>
    <row r="34" customFormat="false" ht="35.05" hidden="false" customHeight="false" outlineLevel="0" collapsed="false">
      <c r="A34" s="5" t="s">
        <v>196</v>
      </c>
      <c r="B34" s="5" t="s">
        <v>181</v>
      </c>
      <c r="C34" s="5" t="s">
        <v>182</v>
      </c>
      <c r="D34" s="9" t="s">
        <v>93</v>
      </c>
      <c r="E34" s="7" t="s">
        <v>31</v>
      </c>
      <c r="F34" s="5" t="s">
        <v>197</v>
      </c>
      <c r="G34" s="5" t="s">
        <v>198</v>
      </c>
      <c r="H34" s="5" t="s">
        <v>199</v>
      </c>
      <c r="I34" s="5" t="s">
        <v>200</v>
      </c>
      <c r="J34" s="5"/>
      <c r="K34" s="5" t="str">
        <f aca="false">IF(J34="","Da testare",IF(EXACT(TRIM(J34),"OK"),"Pass","Fail"))</f>
        <v>Da testare</v>
      </c>
    </row>
    <row r="35" customFormat="false" ht="23.85" hidden="false" customHeight="false" outlineLevel="0" collapsed="false">
      <c r="A35" s="5" t="s">
        <v>201</v>
      </c>
      <c r="B35" s="5" t="s">
        <v>181</v>
      </c>
      <c r="C35" s="5" t="s">
        <v>182</v>
      </c>
      <c r="D35" s="8" t="s">
        <v>37</v>
      </c>
      <c r="E35" s="7" t="s">
        <v>31</v>
      </c>
      <c r="F35" s="5" t="s">
        <v>202</v>
      </c>
      <c r="G35" s="5" t="s">
        <v>203</v>
      </c>
      <c r="H35" s="5" t="s">
        <v>204</v>
      </c>
      <c r="I35" s="5" t="s">
        <v>205</v>
      </c>
      <c r="J35" s="5"/>
      <c r="K35" s="5" t="str">
        <f aca="false">IF(J35="","Da testare",IF(EXACT(TRIM(J35),"OK"),"Pass","Fail"))</f>
        <v>Da testare</v>
      </c>
    </row>
    <row r="36" customFormat="false" ht="35.05" hidden="false" customHeight="false" outlineLevel="0" collapsed="false">
      <c r="A36" s="5" t="s">
        <v>206</v>
      </c>
      <c r="B36" s="5" t="s">
        <v>181</v>
      </c>
      <c r="C36" s="5" t="s">
        <v>182</v>
      </c>
      <c r="D36" s="9" t="s">
        <v>93</v>
      </c>
      <c r="E36" s="7" t="s">
        <v>31</v>
      </c>
      <c r="F36" s="5" t="s">
        <v>207</v>
      </c>
      <c r="G36" s="5" t="s">
        <v>208</v>
      </c>
      <c r="H36" s="5" t="s">
        <v>209</v>
      </c>
      <c r="I36" s="5" t="s">
        <v>210</v>
      </c>
      <c r="J36" s="5"/>
      <c r="K36" s="5" t="str">
        <f aca="false">IF(J36="","Da testare",IF(EXACT(TRIM(J36),"OK"),"Pass","Fail"))</f>
        <v>Da testare</v>
      </c>
    </row>
    <row r="37" customFormat="false" ht="23.85" hidden="false" customHeight="false" outlineLevel="0" collapsed="false">
      <c r="A37" s="5" t="s">
        <v>211</v>
      </c>
      <c r="B37" s="5" t="s">
        <v>181</v>
      </c>
      <c r="C37" s="5" t="s">
        <v>182</v>
      </c>
      <c r="D37" s="9" t="s">
        <v>93</v>
      </c>
      <c r="E37" s="7" t="s">
        <v>31</v>
      </c>
      <c r="F37" s="5" t="s">
        <v>212</v>
      </c>
      <c r="G37" s="5" t="s">
        <v>213</v>
      </c>
      <c r="H37" s="5" t="s">
        <v>214</v>
      </c>
      <c r="I37" s="5" t="s">
        <v>215</v>
      </c>
      <c r="J37" s="5"/>
      <c r="K37" s="5" t="str">
        <f aca="false">IF(J37="","Da testare",IF(EXACT(TRIM(J37),"OK"),"Pass","Fail"))</f>
        <v>Da testare</v>
      </c>
    </row>
    <row r="38" customFormat="false" ht="23.85" hidden="false" customHeight="false" outlineLevel="0" collapsed="false">
      <c r="A38" s="5" t="s">
        <v>216</v>
      </c>
      <c r="B38" s="5" t="s">
        <v>181</v>
      </c>
      <c r="C38" s="5" t="s">
        <v>182</v>
      </c>
      <c r="D38" s="9" t="s">
        <v>93</v>
      </c>
      <c r="E38" s="11" t="s">
        <v>122</v>
      </c>
      <c r="F38" s="5" t="s">
        <v>217</v>
      </c>
      <c r="G38" s="5" t="s">
        <v>218</v>
      </c>
      <c r="H38" s="5" t="s">
        <v>219</v>
      </c>
      <c r="I38" s="5" t="s">
        <v>220</v>
      </c>
      <c r="J38" s="5"/>
      <c r="K38" s="5" t="str">
        <f aca="false">IF(J38="","Da testare",IF(EXACT(TRIM(J38),"OK"),"Pass","Fail"))</f>
        <v>Da testare</v>
      </c>
    </row>
    <row r="39" customFormat="false" ht="23.85" hidden="false" customHeight="false" outlineLevel="0" collapsed="false">
      <c r="A39" s="5" t="s">
        <v>221</v>
      </c>
      <c r="B39" s="5" t="s">
        <v>222</v>
      </c>
      <c r="C39" s="5" t="s">
        <v>223</v>
      </c>
      <c r="D39" s="8" t="s">
        <v>37</v>
      </c>
      <c r="E39" s="7" t="s">
        <v>31</v>
      </c>
      <c r="F39" s="5" t="s">
        <v>224</v>
      </c>
      <c r="G39" s="5" t="s">
        <v>225</v>
      </c>
      <c r="H39" s="5" t="s">
        <v>226</v>
      </c>
      <c r="I39" s="5" t="s">
        <v>227</v>
      </c>
      <c r="J39" s="5"/>
      <c r="K39" s="5" t="str">
        <f aca="false">IF(J39="","Da testare",IF(EXACT(TRIM(J39),"OK"),"Pass","Fail"))</f>
        <v>Da testare</v>
      </c>
    </row>
    <row r="40" customFormat="false" ht="23.85" hidden="false" customHeight="false" outlineLevel="0" collapsed="false">
      <c r="A40" s="5" t="s">
        <v>228</v>
      </c>
      <c r="B40" s="5" t="s">
        <v>222</v>
      </c>
      <c r="C40" s="5" t="s">
        <v>223</v>
      </c>
      <c r="D40" s="8" t="s">
        <v>37</v>
      </c>
      <c r="E40" s="7" t="s">
        <v>31</v>
      </c>
      <c r="F40" s="5" t="s">
        <v>229</v>
      </c>
      <c r="G40" s="5" t="s">
        <v>230</v>
      </c>
      <c r="H40" s="5" t="s">
        <v>231</v>
      </c>
      <c r="I40" s="5" t="s">
        <v>232</v>
      </c>
      <c r="J40" s="5"/>
      <c r="K40" s="5" t="str">
        <f aca="false">IF(J40="","Da testare",IF(EXACT(TRIM(J40),"OK"),"Pass","Fail"))</f>
        <v>Da testare</v>
      </c>
    </row>
    <row r="41" customFormat="false" ht="23.85" hidden="false" customHeight="false" outlineLevel="0" collapsed="false">
      <c r="A41" s="5" t="s">
        <v>233</v>
      </c>
      <c r="B41" s="5" t="s">
        <v>222</v>
      </c>
      <c r="C41" s="5" t="s">
        <v>223</v>
      </c>
      <c r="D41" s="8" t="s">
        <v>37</v>
      </c>
      <c r="E41" s="7" t="s">
        <v>31</v>
      </c>
      <c r="F41" s="5" t="s">
        <v>234</v>
      </c>
      <c r="G41" s="5" t="s">
        <v>235</v>
      </c>
      <c r="H41" s="5" t="s">
        <v>236</v>
      </c>
      <c r="I41" s="5" t="s">
        <v>237</v>
      </c>
      <c r="J41" s="5"/>
      <c r="K41" s="5" t="str">
        <f aca="false">IF(J41="","Da testare",IF(EXACT(TRIM(J41),"OK"),"Pass","Fail"))</f>
        <v>Da testare</v>
      </c>
    </row>
    <row r="42" customFormat="false" ht="23.85" hidden="false" customHeight="false" outlineLevel="0" collapsed="false">
      <c r="A42" s="5" t="s">
        <v>238</v>
      </c>
      <c r="B42" s="5" t="s">
        <v>222</v>
      </c>
      <c r="C42" s="5" t="s">
        <v>223</v>
      </c>
      <c r="D42" s="8" t="s">
        <v>37</v>
      </c>
      <c r="E42" s="7" t="s">
        <v>31</v>
      </c>
      <c r="F42" s="5" t="s">
        <v>239</v>
      </c>
      <c r="G42" s="5" t="s">
        <v>240</v>
      </c>
      <c r="H42" s="5" t="s">
        <v>231</v>
      </c>
      <c r="I42" s="5" t="s">
        <v>241</v>
      </c>
      <c r="J42" s="5"/>
      <c r="K42" s="5" t="str">
        <f aca="false">IF(J42="","Da testare",IF(EXACT(TRIM(J42),"OK"),"Pass","Fail"))</f>
        <v>Da testare</v>
      </c>
    </row>
    <row r="43" customFormat="false" ht="23.85" hidden="false" customHeight="false" outlineLevel="0" collapsed="false">
      <c r="A43" s="5" t="s">
        <v>242</v>
      </c>
      <c r="B43" s="5" t="s">
        <v>222</v>
      </c>
      <c r="C43" s="5" t="s">
        <v>223</v>
      </c>
      <c r="D43" s="8" t="s">
        <v>37</v>
      </c>
      <c r="E43" s="7" t="s">
        <v>31</v>
      </c>
      <c r="F43" s="5" t="s">
        <v>243</v>
      </c>
      <c r="G43" s="5" t="s">
        <v>244</v>
      </c>
      <c r="H43" s="5" t="s">
        <v>245</v>
      </c>
      <c r="I43" s="5" t="s">
        <v>246</v>
      </c>
      <c r="J43" s="5"/>
      <c r="K43" s="5" t="str">
        <f aca="false">IF(J43="","Da testare",IF(EXACT(TRIM(J43),"OK"),"Pass","Fail"))</f>
        <v>Da testare</v>
      </c>
    </row>
    <row r="44" customFormat="false" ht="23.85" hidden="false" customHeight="false" outlineLevel="0" collapsed="false">
      <c r="A44" s="5" t="s">
        <v>247</v>
      </c>
      <c r="B44" s="5" t="s">
        <v>222</v>
      </c>
      <c r="C44" s="5" t="s">
        <v>223</v>
      </c>
      <c r="D44" s="8" t="s">
        <v>37</v>
      </c>
      <c r="E44" s="7" t="s">
        <v>31</v>
      </c>
      <c r="F44" s="5" t="s">
        <v>248</v>
      </c>
      <c r="G44" s="5" t="s">
        <v>249</v>
      </c>
      <c r="H44" s="5" t="s">
        <v>231</v>
      </c>
      <c r="I44" s="5" t="s">
        <v>250</v>
      </c>
      <c r="J44" s="5"/>
      <c r="K44" s="5" t="str">
        <f aca="false">IF(J44="","Da testare",IF(EXACT(TRIM(J44),"OK"),"Pass","Fail"))</f>
        <v>Da testare</v>
      </c>
    </row>
    <row r="45" customFormat="false" ht="35.05" hidden="false" customHeight="false" outlineLevel="0" collapsed="false">
      <c r="A45" s="5" t="s">
        <v>251</v>
      </c>
      <c r="B45" s="5" t="s">
        <v>222</v>
      </c>
      <c r="C45" s="5" t="s">
        <v>223</v>
      </c>
      <c r="D45" s="8" t="s">
        <v>37</v>
      </c>
      <c r="E45" s="7" t="s">
        <v>31</v>
      </c>
      <c r="F45" s="5" t="s">
        <v>252</v>
      </c>
      <c r="G45" s="5" t="s">
        <v>253</v>
      </c>
      <c r="H45" s="5" t="s">
        <v>254</v>
      </c>
      <c r="I45" s="5" t="s">
        <v>255</v>
      </c>
      <c r="J45" s="5"/>
      <c r="K45" s="5" t="str">
        <f aca="false">IF(J45="","Da testare",IF(EXACT(TRIM(J45),"OK"),"Pass","Fail"))</f>
        <v>Da testare</v>
      </c>
    </row>
    <row r="46" customFormat="false" ht="15" hidden="false" customHeight="false" outlineLevel="0" collapsed="false">
      <c r="A46" s="5" t="s">
        <v>256</v>
      </c>
      <c r="B46" s="5" t="s">
        <v>222</v>
      </c>
      <c r="C46" s="5" t="s">
        <v>223</v>
      </c>
      <c r="D46" s="9" t="s">
        <v>93</v>
      </c>
      <c r="E46" s="7" t="s">
        <v>31</v>
      </c>
      <c r="F46" s="5" t="s">
        <v>257</v>
      </c>
      <c r="G46" s="5" t="s">
        <v>258</v>
      </c>
      <c r="H46" s="5" t="s">
        <v>259</v>
      </c>
      <c r="I46" s="5" t="s">
        <v>260</v>
      </c>
      <c r="J46" s="5"/>
      <c r="K46" s="5" t="str">
        <f aca="false">IF(J46="","Da testare",IF(EXACT(TRIM(J46),"OK"),"Pass","Fail"))</f>
        <v>Da testare</v>
      </c>
    </row>
    <row r="47" customFormat="false" ht="23.85" hidden="false" customHeight="false" outlineLevel="0" collapsed="false">
      <c r="A47" s="5" t="s">
        <v>261</v>
      </c>
      <c r="B47" s="5" t="s">
        <v>222</v>
      </c>
      <c r="C47" s="5" t="s">
        <v>223</v>
      </c>
      <c r="D47" s="10" t="s">
        <v>121</v>
      </c>
      <c r="E47" s="11" t="s">
        <v>122</v>
      </c>
      <c r="F47" s="5" t="s">
        <v>262</v>
      </c>
      <c r="G47" s="5" t="s">
        <v>263</v>
      </c>
      <c r="H47" s="5" t="s">
        <v>264</v>
      </c>
      <c r="I47" s="5" t="s">
        <v>265</v>
      </c>
      <c r="J47" s="5"/>
      <c r="K47" s="5" t="str">
        <f aca="false">IF(J47="","Da testare",IF(EXACT(TRIM(J47),"OK"),"Pass","Fail"))</f>
        <v>Da testare</v>
      </c>
    </row>
    <row r="48" customFormat="false" ht="23.85" hidden="false" customHeight="false" outlineLevel="0" collapsed="false">
      <c r="A48" s="5" t="s">
        <v>266</v>
      </c>
      <c r="B48" s="5" t="s">
        <v>222</v>
      </c>
      <c r="C48" s="5" t="s">
        <v>223</v>
      </c>
      <c r="D48" s="8" t="s">
        <v>37</v>
      </c>
      <c r="E48" s="7" t="s">
        <v>31</v>
      </c>
      <c r="F48" s="5" t="s">
        <v>267</v>
      </c>
      <c r="G48" s="5" t="s">
        <v>268</v>
      </c>
      <c r="H48" s="5" t="s">
        <v>269</v>
      </c>
      <c r="I48" s="5" t="s">
        <v>270</v>
      </c>
      <c r="J48" s="5"/>
      <c r="K48" s="5" t="str">
        <f aca="false">IF(J48="","Da testare",IF(EXACT(TRIM(J48),"OK"),"Pass","Fail"))</f>
        <v>Da testare</v>
      </c>
    </row>
    <row r="49" customFormat="false" ht="23.85" hidden="false" customHeight="false" outlineLevel="0" collapsed="false">
      <c r="A49" s="5" t="s">
        <v>271</v>
      </c>
      <c r="B49" s="5" t="s">
        <v>222</v>
      </c>
      <c r="C49" s="5" t="s">
        <v>223</v>
      </c>
      <c r="D49" s="8" t="s">
        <v>37</v>
      </c>
      <c r="E49" s="7" t="s">
        <v>31</v>
      </c>
      <c r="F49" s="5" t="s">
        <v>272</v>
      </c>
      <c r="G49" s="5" t="s">
        <v>273</v>
      </c>
      <c r="H49" s="5" t="s">
        <v>274</v>
      </c>
      <c r="I49" s="5" t="s">
        <v>275</v>
      </c>
      <c r="J49" s="5"/>
      <c r="K49" s="5" t="str">
        <f aca="false">IF(J49="","Da testare",IF(EXACT(TRIM(J49),"OK"),"Pass","Fail"))</f>
        <v>Da testare</v>
      </c>
    </row>
    <row r="50" customFormat="false" ht="23.85" hidden="false" customHeight="false" outlineLevel="0" collapsed="false">
      <c r="A50" s="5" t="s">
        <v>276</v>
      </c>
      <c r="B50" s="5" t="s">
        <v>277</v>
      </c>
      <c r="C50" s="5" t="s">
        <v>278</v>
      </c>
      <c r="D50" s="8" t="s">
        <v>37</v>
      </c>
      <c r="E50" s="7" t="s">
        <v>31</v>
      </c>
      <c r="F50" s="5" t="s">
        <v>279</v>
      </c>
      <c r="G50" s="5" t="s">
        <v>280</v>
      </c>
      <c r="H50" s="5" t="s">
        <v>281</v>
      </c>
      <c r="I50" s="5" t="s">
        <v>282</v>
      </c>
      <c r="J50" s="5"/>
      <c r="K50" s="5" t="str">
        <f aca="false">IF(J50="","Da testare",IF(EXACT(TRIM(J50),"OK"),"Pass","Fail"))</f>
        <v>Da testare</v>
      </c>
    </row>
    <row r="51" customFormat="false" ht="23.85" hidden="false" customHeight="false" outlineLevel="0" collapsed="false">
      <c r="A51" s="5" t="s">
        <v>283</v>
      </c>
      <c r="B51" s="5" t="s">
        <v>277</v>
      </c>
      <c r="C51" s="5" t="s">
        <v>278</v>
      </c>
      <c r="D51" s="8" t="s">
        <v>37</v>
      </c>
      <c r="E51" s="7" t="s">
        <v>31</v>
      </c>
      <c r="F51" s="5" t="s">
        <v>284</v>
      </c>
      <c r="G51" s="5" t="s">
        <v>285</v>
      </c>
      <c r="H51" s="5" t="s">
        <v>286</v>
      </c>
      <c r="I51" s="5" t="s">
        <v>287</v>
      </c>
      <c r="J51" s="5"/>
      <c r="K51" s="5" t="str">
        <f aca="false">IF(J51="","Da testare",IF(EXACT(TRIM(J51),"OK"),"Pass","Fail"))</f>
        <v>Da testare</v>
      </c>
    </row>
    <row r="52" customFormat="false" ht="23.85" hidden="false" customHeight="false" outlineLevel="0" collapsed="false">
      <c r="A52" s="5" t="s">
        <v>288</v>
      </c>
      <c r="B52" s="5" t="s">
        <v>277</v>
      </c>
      <c r="C52" s="5" t="s">
        <v>278</v>
      </c>
      <c r="D52" s="10" t="s">
        <v>121</v>
      </c>
      <c r="E52" s="7" t="s">
        <v>31</v>
      </c>
      <c r="F52" s="5" t="s">
        <v>289</v>
      </c>
      <c r="G52" s="5" t="s">
        <v>290</v>
      </c>
      <c r="H52" s="5" t="s">
        <v>291</v>
      </c>
      <c r="I52" s="5" t="s">
        <v>292</v>
      </c>
      <c r="J52" s="5"/>
      <c r="K52" s="5" t="str">
        <f aca="false">IF(J52="","Da testare",IF(EXACT(TRIM(J52),"OK"),"Pass","Fail"))</f>
        <v>Da testare</v>
      </c>
    </row>
    <row r="53" customFormat="false" ht="23.85" hidden="false" customHeight="false" outlineLevel="0" collapsed="false">
      <c r="A53" s="5" t="s">
        <v>293</v>
      </c>
      <c r="B53" s="5" t="s">
        <v>277</v>
      </c>
      <c r="C53" s="5" t="s">
        <v>278</v>
      </c>
      <c r="D53" s="9" t="s">
        <v>93</v>
      </c>
      <c r="E53" s="11" t="s">
        <v>122</v>
      </c>
      <c r="F53" s="5" t="s">
        <v>294</v>
      </c>
      <c r="G53" s="5" t="s">
        <v>295</v>
      </c>
      <c r="H53" s="5" t="s">
        <v>296</v>
      </c>
      <c r="I53" s="5" t="s">
        <v>297</v>
      </c>
      <c r="J53" s="5"/>
      <c r="K53" s="5" t="str">
        <f aca="false">IF(J53="","Da testare",IF(EXACT(TRIM(J53),"OK"),"Pass","Fail"))</f>
        <v>Da testare</v>
      </c>
    </row>
    <row r="54" customFormat="false" ht="23.85" hidden="false" customHeight="false" outlineLevel="0" collapsed="false">
      <c r="A54" s="5" t="s">
        <v>298</v>
      </c>
      <c r="B54" s="5" t="s">
        <v>299</v>
      </c>
      <c r="C54" s="5" t="s">
        <v>300</v>
      </c>
      <c r="D54" s="10" t="s">
        <v>121</v>
      </c>
      <c r="E54" s="7" t="s">
        <v>31</v>
      </c>
      <c r="F54" s="5" t="s">
        <v>301</v>
      </c>
      <c r="G54" s="5" t="s">
        <v>302</v>
      </c>
      <c r="H54" s="5" t="s">
        <v>303</v>
      </c>
      <c r="I54" s="5" t="s">
        <v>304</v>
      </c>
      <c r="J54" s="5"/>
      <c r="K54" s="5" t="str">
        <f aca="false">IF(J54="","Da testare",IF(EXACT(TRIM(J54),"OK"),"Pass","Fail"))</f>
        <v>Da testare</v>
      </c>
    </row>
    <row r="55" customFormat="false" ht="15" hidden="false" customHeight="false" outlineLevel="0" collapsed="false">
      <c r="A55" s="5" t="s">
        <v>305</v>
      </c>
      <c r="B55" s="5" t="s">
        <v>299</v>
      </c>
      <c r="C55" s="5" t="s">
        <v>300</v>
      </c>
      <c r="D55" s="8" t="s">
        <v>37</v>
      </c>
      <c r="E55" s="7" t="s">
        <v>31</v>
      </c>
      <c r="F55" s="5" t="s">
        <v>306</v>
      </c>
      <c r="G55" s="5" t="s">
        <v>307</v>
      </c>
      <c r="H55" s="5" t="s">
        <v>308</v>
      </c>
      <c r="I55" s="5" t="s">
        <v>309</v>
      </c>
      <c r="J55" s="5"/>
      <c r="K55" s="5" t="str">
        <f aca="false">IF(J55="","Da testare",IF(EXACT(TRIM(J55),"OK"),"Pass","Fail"))</f>
        <v>Da testare</v>
      </c>
    </row>
    <row r="56" customFormat="false" ht="35.05" hidden="false" customHeight="false" outlineLevel="0" collapsed="false">
      <c r="A56" s="5" t="s">
        <v>310</v>
      </c>
      <c r="B56" s="5" t="s">
        <v>299</v>
      </c>
      <c r="C56" s="5" t="s">
        <v>300</v>
      </c>
      <c r="D56" s="8" t="s">
        <v>37</v>
      </c>
      <c r="E56" s="7" t="s">
        <v>31</v>
      </c>
      <c r="F56" s="5" t="s">
        <v>311</v>
      </c>
      <c r="G56" s="5" t="s">
        <v>312</v>
      </c>
      <c r="H56" s="5" t="s">
        <v>313</v>
      </c>
      <c r="I56" s="5" t="s">
        <v>314</v>
      </c>
      <c r="J56" s="5"/>
      <c r="K56" s="5" t="str">
        <f aca="false">IF(J56="","Da testare",IF(EXACT(TRIM(J56),"OK"),"Pass","Fail"))</f>
        <v>Da testare</v>
      </c>
    </row>
    <row r="57" customFormat="false" ht="23.85" hidden="false" customHeight="false" outlineLevel="0" collapsed="false">
      <c r="A57" s="5" t="s">
        <v>315</v>
      </c>
      <c r="B57" s="5" t="s">
        <v>299</v>
      </c>
      <c r="C57" s="5" t="s">
        <v>300</v>
      </c>
      <c r="D57" s="9" t="s">
        <v>93</v>
      </c>
      <c r="E57" s="7" t="s">
        <v>31</v>
      </c>
      <c r="F57" s="5" t="s">
        <v>316</v>
      </c>
      <c r="G57" s="5" t="s">
        <v>317</v>
      </c>
      <c r="H57" s="5" t="s">
        <v>318</v>
      </c>
      <c r="I57" s="5" t="s">
        <v>319</v>
      </c>
      <c r="J57" s="5"/>
      <c r="K57" s="5" t="str">
        <f aca="false">IF(J57="","Da testare",IF(EXACT(TRIM(J57),"OK"),"Pass","Fail"))</f>
        <v>Da testare</v>
      </c>
    </row>
    <row r="58" customFormat="false" ht="23.85" hidden="false" customHeight="false" outlineLevel="0" collapsed="false">
      <c r="A58" s="5" t="s">
        <v>320</v>
      </c>
      <c r="B58" s="5" t="s">
        <v>299</v>
      </c>
      <c r="C58" s="5" t="s">
        <v>300</v>
      </c>
      <c r="D58" s="9" t="s">
        <v>93</v>
      </c>
      <c r="E58" s="11" t="s">
        <v>122</v>
      </c>
      <c r="F58" s="5" t="s">
        <v>321</v>
      </c>
      <c r="G58" s="5" t="s">
        <v>322</v>
      </c>
      <c r="H58" s="5" t="s">
        <v>318</v>
      </c>
      <c r="I58" s="5" t="s">
        <v>323</v>
      </c>
      <c r="J58" s="5"/>
      <c r="K58" s="5" t="str">
        <f aca="false">IF(J58="","Da testare",IF(EXACT(TRIM(J58),"OK"),"Pass","Fail"))</f>
        <v>Da testare</v>
      </c>
    </row>
    <row r="59" customFormat="false" ht="35.05" hidden="false" customHeight="false" outlineLevel="0" collapsed="false">
      <c r="A59" s="5" t="s">
        <v>324</v>
      </c>
      <c r="B59" s="5" t="s">
        <v>299</v>
      </c>
      <c r="C59" s="5" t="s">
        <v>300</v>
      </c>
      <c r="D59" s="8" t="s">
        <v>37</v>
      </c>
      <c r="E59" s="7" t="s">
        <v>31</v>
      </c>
      <c r="F59" s="5" t="s">
        <v>325</v>
      </c>
      <c r="G59" s="5" t="s">
        <v>326</v>
      </c>
      <c r="H59" s="5" t="s">
        <v>308</v>
      </c>
      <c r="I59" s="5" t="s">
        <v>327</v>
      </c>
      <c r="J59" s="5"/>
      <c r="K59" s="5" t="str">
        <f aca="false">IF(J59="","Da testare",IF(EXACT(TRIM(J59),"OK"),"Pass","Fail"))</f>
        <v>Da testare</v>
      </c>
    </row>
    <row r="60" customFormat="false" ht="35.05" hidden="false" customHeight="false" outlineLevel="0" collapsed="false">
      <c r="A60" s="5" t="s">
        <v>328</v>
      </c>
      <c r="B60" s="5" t="s">
        <v>299</v>
      </c>
      <c r="C60" s="5" t="s">
        <v>300</v>
      </c>
      <c r="D60" s="10" t="s">
        <v>121</v>
      </c>
      <c r="E60" s="11" t="s">
        <v>122</v>
      </c>
      <c r="F60" s="5" t="s">
        <v>329</v>
      </c>
      <c r="G60" s="5" t="s">
        <v>330</v>
      </c>
      <c r="H60" s="5" t="s">
        <v>331</v>
      </c>
      <c r="I60" s="5" t="s">
        <v>332</v>
      </c>
      <c r="J60" s="5"/>
      <c r="K60" s="5" t="str">
        <f aca="false">IF(J60="","Da testare",IF(EXACT(TRIM(J60),"OK"),"Pass","Fail"))</f>
        <v>Da testare</v>
      </c>
    </row>
    <row r="61" customFormat="false" ht="23.85" hidden="false" customHeight="false" outlineLevel="0" collapsed="false">
      <c r="A61" s="5" t="s">
        <v>333</v>
      </c>
      <c r="B61" s="5" t="s">
        <v>334</v>
      </c>
      <c r="C61" s="5" t="s">
        <v>335</v>
      </c>
      <c r="D61" s="9" t="s">
        <v>93</v>
      </c>
      <c r="E61" s="7" t="s">
        <v>31</v>
      </c>
      <c r="F61" s="5" t="s">
        <v>336</v>
      </c>
      <c r="G61" s="5" t="s">
        <v>337</v>
      </c>
      <c r="H61" s="5" t="s">
        <v>338</v>
      </c>
      <c r="I61" s="5" t="s">
        <v>339</v>
      </c>
      <c r="J61" s="5"/>
      <c r="K61" s="5" t="str">
        <f aca="false">IF(J61="","Da testare",IF(EXACT(TRIM(J61),"OK"),"Pass","Fail"))</f>
        <v>Da testare</v>
      </c>
    </row>
    <row r="62" customFormat="false" ht="23.85" hidden="false" customHeight="false" outlineLevel="0" collapsed="false">
      <c r="A62" s="5" t="s">
        <v>340</v>
      </c>
      <c r="B62" s="5" t="s">
        <v>334</v>
      </c>
      <c r="C62" s="5" t="s">
        <v>335</v>
      </c>
      <c r="D62" s="8" t="s">
        <v>37</v>
      </c>
      <c r="E62" s="7" t="s">
        <v>31</v>
      </c>
      <c r="F62" s="5" t="s">
        <v>341</v>
      </c>
      <c r="G62" s="5" t="s">
        <v>342</v>
      </c>
      <c r="H62" s="5" t="s">
        <v>343</v>
      </c>
      <c r="I62" s="5" t="s">
        <v>344</v>
      </c>
      <c r="J62" s="5"/>
      <c r="K62" s="5" t="str">
        <f aca="false">IF(J62="","Da testare",IF(EXACT(TRIM(J62),"OK"),"Pass","Fail"))</f>
        <v>Da testare</v>
      </c>
    </row>
    <row r="63" customFormat="false" ht="23.85" hidden="false" customHeight="false" outlineLevel="0" collapsed="false">
      <c r="A63" s="5" t="s">
        <v>345</v>
      </c>
      <c r="B63" s="5" t="s">
        <v>334</v>
      </c>
      <c r="C63" s="5" t="s">
        <v>335</v>
      </c>
      <c r="D63" s="10" t="s">
        <v>121</v>
      </c>
      <c r="E63" s="7" t="s">
        <v>31</v>
      </c>
      <c r="F63" s="5" t="s">
        <v>346</v>
      </c>
      <c r="G63" s="5" t="s">
        <v>347</v>
      </c>
      <c r="H63" s="5" t="s">
        <v>348</v>
      </c>
      <c r="I63" s="5" t="s">
        <v>349</v>
      </c>
      <c r="J63" s="5"/>
      <c r="K63" s="5" t="str">
        <f aca="false">IF(J63="","Da testare",IF(EXACT(TRIM(J63),"OK"),"Pass","Fail"))</f>
        <v>Da testare</v>
      </c>
    </row>
    <row r="64" customFormat="false" ht="23.85" hidden="false" customHeight="false" outlineLevel="0" collapsed="false">
      <c r="A64" s="5" t="s">
        <v>350</v>
      </c>
      <c r="B64" s="5" t="s">
        <v>334</v>
      </c>
      <c r="C64" s="5" t="s">
        <v>335</v>
      </c>
      <c r="D64" s="9" t="s">
        <v>93</v>
      </c>
      <c r="E64" s="7" t="s">
        <v>31</v>
      </c>
      <c r="F64" s="5" t="s">
        <v>351</v>
      </c>
      <c r="G64" s="5" t="s">
        <v>352</v>
      </c>
      <c r="H64" s="5" t="s">
        <v>353</v>
      </c>
      <c r="I64" s="5" t="s">
        <v>354</v>
      </c>
      <c r="J64" s="5"/>
      <c r="K64" s="5" t="str">
        <f aca="false">IF(J64="","Da testare",IF(EXACT(TRIM(J64),"OK"),"Pass","Fail"))</f>
        <v>Da testare</v>
      </c>
    </row>
    <row r="65" customFormat="false" ht="23.85" hidden="false" customHeight="false" outlineLevel="0" collapsed="false">
      <c r="A65" s="5" t="s">
        <v>355</v>
      </c>
      <c r="B65" s="5" t="s">
        <v>334</v>
      </c>
      <c r="C65" s="5" t="s">
        <v>335</v>
      </c>
      <c r="D65" s="10" t="s">
        <v>121</v>
      </c>
      <c r="E65" s="7" t="s">
        <v>31</v>
      </c>
      <c r="F65" s="5" t="s">
        <v>356</v>
      </c>
      <c r="G65" s="5" t="s">
        <v>357</v>
      </c>
      <c r="H65" s="5" t="s">
        <v>358</v>
      </c>
      <c r="I65" s="5" t="s">
        <v>359</v>
      </c>
      <c r="J65" s="5"/>
      <c r="K65" s="5" t="str">
        <f aca="false">IF(J65="","Da testare",IF(EXACT(TRIM(J65),"OK"),"Pass","Fail"))</f>
        <v>Da testare</v>
      </c>
    </row>
    <row r="66" customFormat="false" ht="15" hidden="false" customHeight="false" outlineLevel="0" collapsed="false">
      <c r="A66" s="5" t="s">
        <v>360</v>
      </c>
      <c r="B66" s="5" t="s">
        <v>334</v>
      </c>
      <c r="C66" s="5" t="s">
        <v>335</v>
      </c>
      <c r="D66" s="8" t="s">
        <v>37</v>
      </c>
      <c r="E66" s="7" t="s">
        <v>31</v>
      </c>
      <c r="F66" s="5" t="s">
        <v>361</v>
      </c>
      <c r="G66" s="5" t="s">
        <v>362</v>
      </c>
      <c r="H66" s="5" t="s">
        <v>363</v>
      </c>
      <c r="I66" s="5" t="s">
        <v>364</v>
      </c>
      <c r="J66" s="5"/>
      <c r="K66" s="5" t="str">
        <f aca="false">IF(J66="","Da testare",IF(EXACT(TRIM(J66),"OK"),"Pass","Fail"))</f>
        <v>Da testare</v>
      </c>
    </row>
    <row r="67" customFormat="false" ht="23.85" hidden="false" customHeight="false" outlineLevel="0" collapsed="false">
      <c r="A67" s="5" t="s">
        <v>365</v>
      </c>
      <c r="B67" s="5" t="s">
        <v>334</v>
      </c>
      <c r="C67" s="5" t="s">
        <v>335</v>
      </c>
      <c r="D67" s="10" t="s">
        <v>121</v>
      </c>
      <c r="E67" s="7" t="s">
        <v>31</v>
      </c>
      <c r="F67" s="5" t="s">
        <v>366</v>
      </c>
      <c r="G67" s="5" t="s">
        <v>367</v>
      </c>
      <c r="H67" s="5" t="s">
        <v>368</v>
      </c>
      <c r="I67" s="5" t="s">
        <v>369</v>
      </c>
      <c r="J67" s="5"/>
      <c r="K67" s="5" t="str">
        <f aca="false">IF(J67="","Da testare",IF(EXACT(TRIM(J67),"OK"),"Pass","Fail"))</f>
        <v>Da testare</v>
      </c>
    </row>
    <row r="68" customFormat="false" ht="23.85" hidden="false" customHeight="false" outlineLevel="0" collapsed="false">
      <c r="A68" s="5" t="s">
        <v>370</v>
      </c>
      <c r="B68" s="5" t="s">
        <v>334</v>
      </c>
      <c r="C68" s="5" t="s">
        <v>335</v>
      </c>
      <c r="D68" s="8" t="s">
        <v>37</v>
      </c>
      <c r="E68" s="11" t="s">
        <v>122</v>
      </c>
      <c r="F68" s="5" t="s">
        <v>371</v>
      </c>
      <c r="G68" s="5" t="s">
        <v>372</v>
      </c>
      <c r="H68" s="5" t="s">
        <v>373</v>
      </c>
      <c r="I68" s="5" t="s">
        <v>374</v>
      </c>
      <c r="J68" s="5"/>
      <c r="K68" s="5" t="str">
        <f aca="false">IF(J68="","Da testare",IF(EXACT(TRIM(J68),"OK"),"Pass","Fail"))</f>
        <v>Da testare</v>
      </c>
    </row>
    <row r="69" customFormat="false" ht="23.85" hidden="false" customHeight="false" outlineLevel="0" collapsed="false">
      <c r="A69" s="5" t="s">
        <v>375</v>
      </c>
      <c r="B69" s="5" t="s">
        <v>334</v>
      </c>
      <c r="C69" s="5" t="s">
        <v>335</v>
      </c>
      <c r="D69" s="10" t="s">
        <v>121</v>
      </c>
      <c r="E69" s="11" t="s">
        <v>122</v>
      </c>
      <c r="F69" s="5" t="s">
        <v>376</v>
      </c>
      <c r="G69" s="5" t="s">
        <v>377</v>
      </c>
      <c r="H69" s="5" t="s">
        <v>378</v>
      </c>
      <c r="I69" s="5" t="s">
        <v>379</v>
      </c>
      <c r="J69" s="5"/>
      <c r="K69" s="5" t="str">
        <f aca="false">IF(J69="","Da testare",IF(EXACT(TRIM(J69),"OK"),"Pass","Fail"))</f>
        <v>Da testare</v>
      </c>
    </row>
    <row r="70" customFormat="false" ht="23.85" hidden="false" customHeight="false" outlineLevel="0" collapsed="false">
      <c r="A70" s="5" t="s">
        <v>380</v>
      </c>
      <c r="B70" s="5" t="s">
        <v>334</v>
      </c>
      <c r="C70" s="5" t="s">
        <v>335</v>
      </c>
      <c r="D70" s="9" t="s">
        <v>93</v>
      </c>
      <c r="E70" s="7" t="s">
        <v>31</v>
      </c>
      <c r="F70" s="5" t="s">
        <v>381</v>
      </c>
      <c r="G70" s="5" t="s">
        <v>382</v>
      </c>
      <c r="H70" s="5" t="s">
        <v>378</v>
      </c>
      <c r="I70" s="5" t="s">
        <v>383</v>
      </c>
      <c r="J70" s="5"/>
      <c r="K70" s="5" t="str">
        <f aca="false">IF(J70="","Da testare",IF(EXACT(TRIM(J70),"OK"),"Pass","Fail"))</f>
        <v>Da testare</v>
      </c>
    </row>
    <row r="71" customFormat="false" ht="23.85" hidden="false" customHeight="false" outlineLevel="0" collapsed="false">
      <c r="A71" s="5" t="s">
        <v>384</v>
      </c>
      <c r="B71" s="5" t="s">
        <v>385</v>
      </c>
      <c r="C71" s="5" t="s">
        <v>386</v>
      </c>
      <c r="D71" s="8" t="s">
        <v>37</v>
      </c>
      <c r="E71" s="7" t="s">
        <v>31</v>
      </c>
      <c r="F71" s="5" t="s">
        <v>387</v>
      </c>
      <c r="G71" s="5" t="s">
        <v>388</v>
      </c>
      <c r="H71" s="5" t="s">
        <v>389</v>
      </c>
      <c r="I71" s="5" t="s">
        <v>390</v>
      </c>
      <c r="J71" s="5"/>
      <c r="K71" s="5" t="str">
        <f aca="false">IF(J71="","Da testare",IF(EXACT(TRIM(J71),"OK"),"Pass","Fail"))</f>
        <v>Da testare</v>
      </c>
    </row>
    <row r="72" customFormat="false" ht="15" hidden="false" customHeight="false" outlineLevel="0" collapsed="false">
      <c r="A72" s="5" t="s">
        <v>391</v>
      </c>
      <c r="B72" s="5" t="s">
        <v>385</v>
      </c>
      <c r="C72" s="5" t="s">
        <v>386</v>
      </c>
      <c r="D72" s="8" t="s">
        <v>37</v>
      </c>
      <c r="E72" s="11" t="s">
        <v>122</v>
      </c>
      <c r="F72" s="5" t="s">
        <v>392</v>
      </c>
      <c r="G72" s="5" t="s">
        <v>393</v>
      </c>
      <c r="H72" s="5" t="s">
        <v>389</v>
      </c>
      <c r="I72" s="5" t="s">
        <v>394</v>
      </c>
      <c r="J72" s="5"/>
      <c r="K72" s="5" t="str">
        <f aca="false">IF(J72="","Da testare",IF(EXACT(TRIM(J72),"OK"),"Pass","Fail"))</f>
        <v>Da testare</v>
      </c>
    </row>
    <row r="73" customFormat="false" ht="23.85" hidden="false" customHeight="false" outlineLevel="0" collapsed="false">
      <c r="A73" s="5" t="s">
        <v>395</v>
      </c>
      <c r="B73" s="5" t="s">
        <v>385</v>
      </c>
      <c r="C73" s="5" t="s">
        <v>386</v>
      </c>
      <c r="D73" s="10" t="s">
        <v>121</v>
      </c>
      <c r="E73" s="11" t="s">
        <v>122</v>
      </c>
      <c r="F73" s="5" t="s">
        <v>396</v>
      </c>
      <c r="G73" s="5" t="s">
        <v>397</v>
      </c>
      <c r="H73" s="5" t="s">
        <v>398</v>
      </c>
      <c r="I73" s="5" t="s">
        <v>399</v>
      </c>
      <c r="J73" s="5"/>
      <c r="K73" s="5" t="str">
        <f aca="false">IF(J73="","Da testare",IF(EXACT(TRIM(J73),"OK"),"Pass","Fail"))</f>
        <v>Da testare</v>
      </c>
    </row>
    <row r="74" customFormat="false" ht="23.85" hidden="false" customHeight="false" outlineLevel="0" collapsed="false">
      <c r="A74" s="5" t="s">
        <v>400</v>
      </c>
      <c r="B74" s="5" t="s">
        <v>401</v>
      </c>
      <c r="C74" s="5" t="s">
        <v>402</v>
      </c>
      <c r="D74" s="8" t="s">
        <v>37</v>
      </c>
      <c r="E74" s="7" t="s">
        <v>31</v>
      </c>
      <c r="F74" s="5" t="s">
        <v>403</v>
      </c>
      <c r="G74" s="5" t="s">
        <v>404</v>
      </c>
      <c r="H74" s="5" t="s">
        <v>405</v>
      </c>
      <c r="I74" s="5" t="s">
        <v>406</v>
      </c>
      <c r="J74" s="5"/>
      <c r="K74" s="5" t="str">
        <f aca="false">IF(J74="","Da testare",IF(EXACT(TRIM(J74),"OK"),"Pass","Fail"))</f>
        <v>Da testare</v>
      </c>
    </row>
    <row r="75" customFormat="false" ht="15" hidden="false" customHeight="false" outlineLevel="0" collapsed="false">
      <c r="A75" s="5" t="s">
        <v>407</v>
      </c>
      <c r="B75" s="5" t="s">
        <v>401</v>
      </c>
      <c r="C75" s="5" t="s">
        <v>402</v>
      </c>
      <c r="D75" s="8" t="s">
        <v>37</v>
      </c>
      <c r="E75" s="7" t="s">
        <v>31</v>
      </c>
      <c r="F75" s="5" t="s">
        <v>408</v>
      </c>
      <c r="G75" s="5" t="s">
        <v>409</v>
      </c>
      <c r="H75" s="5" t="s">
        <v>405</v>
      </c>
      <c r="I75" s="5" t="s">
        <v>410</v>
      </c>
      <c r="J75" s="5"/>
      <c r="K75" s="5" t="str">
        <f aca="false">IF(J75="","Da testare",IF(EXACT(TRIM(J75),"OK"),"Pass","Fail"))</f>
        <v>Da testare</v>
      </c>
    </row>
    <row r="76" customFormat="false" ht="23.85" hidden="false" customHeight="false" outlineLevel="0" collapsed="false">
      <c r="A76" s="5" t="s">
        <v>411</v>
      </c>
      <c r="B76" s="5" t="s">
        <v>401</v>
      </c>
      <c r="C76" s="5" t="s">
        <v>402</v>
      </c>
      <c r="D76" s="8" t="s">
        <v>37</v>
      </c>
      <c r="E76" s="11" t="s">
        <v>122</v>
      </c>
      <c r="F76" s="5" t="s">
        <v>412</v>
      </c>
      <c r="G76" s="5" t="s">
        <v>413</v>
      </c>
      <c r="H76" s="5" t="s">
        <v>414</v>
      </c>
      <c r="I76" s="5" t="s">
        <v>415</v>
      </c>
      <c r="J76" s="5"/>
      <c r="K76" s="5" t="str">
        <f aca="false">IF(J76="","Da testare",IF(EXACT(TRIM(J76),"OK"),"Pass","Fail"))</f>
        <v>Da testare</v>
      </c>
    </row>
    <row r="77" customFormat="false" ht="23.85" hidden="false" customHeight="false" outlineLevel="0" collapsed="false">
      <c r="A77" s="5" t="s">
        <v>416</v>
      </c>
      <c r="B77" s="5" t="s">
        <v>417</v>
      </c>
      <c r="C77" s="5" t="s">
        <v>418</v>
      </c>
      <c r="D77" s="10" t="s">
        <v>121</v>
      </c>
      <c r="E77" s="7" t="s">
        <v>31</v>
      </c>
      <c r="F77" s="5" t="s">
        <v>419</v>
      </c>
      <c r="G77" s="5" t="s">
        <v>420</v>
      </c>
      <c r="H77" s="5" t="s">
        <v>421</v>
      </c>
      <c r="I77" s="5" t="s">
        <v>422</v>
      </c>
      <c r="J77" s="5"/>
      <c r="K77" s="5" t="str">
        <f aca="false">IF(J77="","Da testare",IF(EXACT(TRIM(J77),"OK"),"Pass","Fail"))</f>
        <v>Da testare</v>
      </c>
    </row>
    <row r="78" customFormat="false" ht="23.85" hidden="false" customHeight="false" outlineLevel="0" collapsed="false">
      <c r="A78" s="5" t="s">
        <v>423</v>
      </c>
      <c r="B78" s="5" t="s">
        <v>417</v>
      </c>
      <c r="C78" s="5" t="s">
        <v>418</v>
      </c>
      <c r="D78" s="10" t="s">
        <v>121</v>
      </c>
      <c r="E78" s="7" t="s">
        <v>31</v>
      </c>
      <c r="F78" s="5" t="s">
        <v>424</v>
      </c>
      <c r="G78" s="5" t="s">
        <v>425</v>
      </c>
      <c r="H78" s="5" t="s">
        <v>426</v>
      </c>
      <c r="I78" s="5" t="s">
        <v>427</v>
      </c>
      <c r="J78" s="5"/>
      <c r="K78" s="5" t="str">
        <f aca="false">IF(J78="","Da testare",IF(EXACT(TRIM(J78),"OK"),"Pass","Fail"))</f>
        <v>Da testare</v>
      </c>
    </row>
    <row r="79" customFormat="false" ht="15" hidden="false" customHeight="false" outlineLevel="0" collapsed="false">
      <c r="A79" s="5" t="s">
        <v>428</v>
      </c>
      <c r="B79" s="5" t="s">
        <v>417</v>
      </c>
      <c r="C79" s="5" t="s">
        <v>418</v>
      </c>
      <c r="D79" s="10" t="s">
        <v>121</v>
      </c>
      <c r="E79" s="7" t="s">
        <v>31</v>
      </c>
      <c r="F79" s="5" t="s">
        <v>429</v>
      </c>
      <c r="G79" s="5" t="s">
        <v>430</v>
      </c>
      <c r="H79" s="5" t="s">
        <v>431</v>
      </c>
      <c r="I79" s="5" t="s">
        <v>432</v>
      </c>
      <c r="J79" s="5"/>
      <c r="K79" s="5" t="str">
        <f aca="false">IF(J79="","Da testare",IF(EXACT(TRIM(J79),"OK"),"Pass","Fail"))</f>
        <v>Da testare</v>
      </c>
    </row>
    <row r="80" customFormat="false" ht="23.85" hidden="false" customHeight="false" outlineLevel="0" collapsed="false">
      <c r="A80" s="5" t="s">
        <v>433</v>
      </c>
      <c r="B80" s="5" t="s">
        <v>417</v>
      </c>
      <c r="C80" s="5" t="s">
        <v>434</v>
      </c>
      <c r="D80" s="9" t="s">
        <v>93</v>
      </c>
      <c r="E80" s="7" t="s">
        <v>31</v>
      </c>
      <c r="F80" s="5" t="s">
        <v>435</v>
      </c>
      <c r="G80" s="5" t="s">
        <v>436</v>
      </c>
      <c r="H80" s="5" t="s">
        <v>437</v>
      </c>
      <c r="I80" s="5" t="s">
        <v>438</v>
      </c>
      <c r="J80" s="5"/>
      <c r="K80" s="5" t="str">
        <f aca="false">IF(J80="","Da testare",IF(EXACT(TRIM(J80),"OK"),"Pass","Fail"))</f>
        <v>Da testare</v>
      </c>
    </row>
    <row r="81" customFormat="false" ht="15" hidden="false" customHeight="false" outlineLevel="0" collapsed="false">
      <c r="A81" s="5" t="s">
        <v>439</v>
      </c>
      <c r="B81" s="5" t="s">
        <v>417</v>
      </c>
      <c r="C81" s="5" t="s">
        <v>440</v>
      </c>
      <c r="D81" s="6" t="s">
        <v>30</v>
      </c>
      <c r="E81" s="7" t="s">
        <v>31</v>
      </c>
      <c r="F81" s="5" t="s">
        <v>441</v>
      </c>
      <c r="G81" s="5" t="s">
        <v>442</v>
      </c>
      <c r="H81" s="5" t="s">
        <v>443</v>
      </c>
      <c r="I81" s="5" t="s">
        <v>444</v>
      </c>
      <c r="J81" s="5"/>
      <c r="K81" s="5" t="str">
        <f aca="false">IF(J81="","Da testare",IF(EXACT(TRIM(J81),"OK"),"Pass","Fail"))</f>
        <v>Da testare</v>
      </c>
    </row>
    <row r="82" customFormat="false" ht="23.85" hidden="false" customHeight="false" outlineLevel="0" collapsed="false">
      <c r="A82" s="5" t="s">
        <v>445</v>
      </c>
      <c r="B82" s="5" t="s">
        <v>417</v>
      </c>
      <c r="C82" s="5" t="s">
        <v>446</v>
      </c>
      <c r="D82" s="8" t="s">
        <v>37</v>
      </c>
      <c r="E82" s="11" t="s">
        <v>122</v>
      </c>
      <c r="F82" s="5" t="s">
        <v>447</v>
      </c>
      <c r="G82" s="5" t="s">
        <v>448</v>
      </c>
      <c r="H82" s="5" t="s">
        <v>449</v>
      </c>
      <c r="I82" s="5" t="s">
        <v>450</v>
      </c>
      <c r="J82" s="5"/>
      <c r="K82" s="5" t="str">
        <f aca="false">IF(J82="","Da testare",IF(EXACT(TRIM(J82),"OK"),"Pass","Fail"))</f>
        <v>Da testare</v>
      </c>
    </row>
    <row r="83" customFormat="false" ht="23.85" hidden="false" customHeight="false" outlineLevel="0" collapsed="false">
      <c r="A83" s="5" t="s">
        <v>451</v>
      </c>
      <c r="B83" s="5" t="s">
        <v>417</v>
      </c>
      <c r="C83" s="5" t="s">
        <v>452</v>
      </c>
      <c r="D83" s="6" t="s">
        <v>30</v>
      </c>
      <c r="E83" s="7" t="s">
        <v>31</v>
      </c>
      <c r="F83" s="5" t="s">
        <v>453</v>
      </c>
      <c r="G83" s="5" t="s">
        <v>454</v>
      </c>
      <c r="H83" s="5" t="s">
        <v>455</v>
      </c>
      <c r="I83" s="5" t="s">
        <v>456</v>
      </c>
      <c r="J83" s="5"/>
      <c r="K83" s="5" t="str">
        <f aca="false">IF(J83="","Da testare",IF(EXACT(TRIM(J83),"OK"),"Pass","Fail"))</f>
        <v>Da testare</v>
      </c>
    </row>
    <row r="84" customFormat="false" ht="23.85" hidden="false" customHeight="false" outlineLevel="0" collapsed="false">
      <c r="A84" s="5" t="s">
        <v>457</v>
      </c>
      <c r="B84" s="5" t="s">
        <v>417</v>
      </c>
      <c r="C84" s="5" t="s">
        <v>458</v>
      </c>
      <c r="D84" s="6" t="s">
        <v>30</v>
      </c>
      <c r="E84" s="7" t="s">
        <v>31</v>
      </c>
      <c r="F84" s="5" t="s">
        <v>459</v>
      </c>
      <c r="G84" s="5" t="s">
        <v>460</v>
      </c>
      <c r="H84" s="5" t="s">
        <v>461</v>
      </c>
      <c r="I84" s="5" t="s">
        <v>462</v>
      </c>
      <c r="J84" s="5"/>
      <c r="K84" s="5" t="str">
        <f aca="false">IF(J84="","Da testare",IF(EXACT(TRIM(J84),"OK"),"Pass","Fail"))</f>
        <v>Da testare</v>
      </c>
    </row>
    <row r="85" customFormat="false" ht="23.85" hidden="false" customHeight="false" outlineLevel="0" collapsed="false">
      <c r="A85" s="5" t="s">
        <v>463</v>
      </c>
      <c r="B85" s="5" t="s">
        <v>464</v>
      </c>
      <c r="C85" s="5" t="s">
        <v>465</v>
      </c>
      <c r="D85" s="8" t="s">
        <v>37</v>
      </c>
      <c r="E85" s="7" t="s">
        <v>31</v>
      </c>
      <c r="F85" s="5" t="s">
        <v>466</v>
      </c>
      <c r="G85" s="5" t="s">
        <v>467</v>
      </c>
      <c r="H85" s="5" t="s">
        <v>468</v>
      </c>
      <c r="I85" s="5" t="s">
        <v>469</v>
      </c>
      <c r="J85" s="5"/>
      <c r="K85" s="5" t="str">
        <f aca="false">IF(J85="","Da testare",IF(EXACT(TRIM(J85),"OK"),"Pass","Fail"))</f>
        <v>Da testare</v>
      </c>
    </row>
  </sheetData>
  <autoFilter ref="A1:K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23.85" hidden="false" customHeight="false" outlineLevel="0" collapsed="false">
      <c r="A1" s="4" t="s">
        <v>470</v>
      </c>
      <c r="B1" s="4" t="s">
        <v>471</v>
      </c>
      <c r="C1" s="4" t="s">
        <v>472</v>
      </c>
      <c r="D1" s="4" t="s">
        <v>31</v>
      </c>
      <c r="E1" s="4" t="s">
        <v>473</v>
      </c>
    </row>
    <row r="2" customFormat="false" ht="15" hidden="false" customHeight="false" outlineLevel="0" collapsed="false">
      <c r="A2" s="5" t="s">
        <v>29</v>
      </c>
      <c r="B2" s="5" t="s">
        <v>474</v>
      </c>
      <c r="C2" s="5" t="n">
        <f aca="false">COUNTIF(Test_Cases!C:C,"*§1*")</f>
        <v>16</v>
      </c>
      <c r="D2" s="5" t="n">
        <f aca="false">COUNTIFS(Test_Cases!C:C,"*§1*",Test_Cases!E:E,"Must")</f>
        <v>12</v>
      </c>
      <c r="E2" s="5"/>
    </row>
    <row r="3" customFormat="false" ht="15" hidden="false" customHeight="false" outlineLevel="0" collapsed="false">
      <c r="A3" s="5" t="s">
        <v>44</v>
      </c>
      <c r="B3" s="5" t="s">
        <v>475</v>
      </c>
      <c r="C3" s="5" t="n">
        <f aca="false">COUNTIF(Test_Cases!C:C,"*§2*")</f>
        <v>12</v>
      </c>
      <c r="D3" s="5" t="n">
        <f aca="false">COUNTIFS(Test_Cases!C:C,"*§2*",Test_Cases!E:E,"Must")</f>
        <v>12</v>
      </c>
      <c r="E3" s="5"/>
    </row>
    <row r="4" customFormat="false" ht="15" hidden="false" customHeight="false" outlineLevel="0" collapsed="false">
      <c r="A4" s="5" t="s">
        <v>100</v>
      </c>
      <c r="B4" s="5" t="s">
        <v>99</v>
      </c>
      <c r="C4" s="5" t="n">
        <f aca="false">COUNTIF(Test_Cases!C:C,"*§3*")</f>
        <v>5</v>
      </c>
      <c r="D4" s="5" t="n">
        <f aca="false">COUNTIFS(Test_Cases!C:C,"*§3*",Test_Cases!E:E,"Must")</f>
        <v>4</v>
      </c>
      <c r="E4" s="5"/>
    </row>
    <row r="5" customFormat="false" ht="15" hidden="false" customHeight="false" outlineLevel="0" collapsed="false">
      <c r="A5" s="5" t="s">
        <v>129</v>
      </c>
      <c r="B5" s="5" t="s">
        <v>476</v>
      </c>
      <c r="C5" s="5" t="n">
        <f aca="false">COUNTIF(Test_Cases!C:C,"*§4*")</f>
        <v>10</v>
      </c>
      <c r="D5" s="5" t="n">
        <f aca="false">COUNTIFS(Test_Cases!C:C,"*§4*",Test_Cases!E:E,"Must")</f>
        <v>10</v>
      </c>
      <c r="E5" s="5"/>
    </row>
    <row r="6" customFormat="false" ht="15" hidden="false" customHeight="false" outlineLevel="0" collapsed="false">
      <c r="A6" s="5" t="s">
        <v>182</v>
      </c>
      <c r="B6" s="5" t="s">
        <v>477</v>
      </c>
      <c r="C6" s="5" t="n">
        <f aca="false">COUNTIF(Test_Cases!C:C,"*§5*")</f>
        <v>8</v>
      </c>
      <c r="D6" s="5" t="n">
        <f aca="false">COUNTIFS(Test_Cases!C:C,"*§5*",Test_Cases!E:E,"Must")</f>
        <v>6</v>
      </c>
      <c r="E6" s="5"/>
    </row>
    <row r="7" customFormat="false" ht="15" hidden="false" customHeight="false" outlineLevel="0" collapsed="false">
      <c r="A7" s="5" t="s">
        <v>223</v>
      </c>
      <c r="B7" s="5" t="s">
        <v>222</v>
      </c>
      <c r="C7" s="5" t="n">
        <f aca="false">COUNTIF(Test_Cases!C:C,"*§6*")</f>
        <v>11</v>
      </c>
      <c r="D7" s="5" t="n">
        <f aca="false">COUNTIFS(Test_Cases!C:C,"*§6*",Test_Cases!E:E,"Must")</f>
        <v>10</v>
      </c>
      <c r="E7" s="5"/>
    </row>
    <row r="8" customFormat="false" ht="15" hidden="false" customHeight="false" outlineLevel="0" collapsed="false">
      <c r="A8" s="5" t="s">
        <v>278</v>
      </c>
      <c r="B8" s="5" t="s">
        <v>478</v>
      </c>
      <c r="C8" s="5" t="n">
        <f aca="false">COUNTIF(Test_Cases!C:C,"*§7*")</f>
        <v>4</v>
      </c>
      <c r="D8" s="5" t="n">
        <f aca="false">COUNTIFS(Test_Cases!C:C,"*§7*",Test_Cases!E:E,"Must")</f>
        <v>3</v>
      </c>
      <c r="E8" s="5"/>
    </row>
    <row r="9" customFormat="false" ht="15" hidden="false" customHeight="false" outlineLevel="0" collapsed="false">
      <c r="A9" s="5" t="s">
        <v>300</v>
      </c>
      <c r="B9" s="5" t="s">
        <v>479</v>
      </c>
      <c r="C9" s="5" t="n">
        <f aca="false">COUNTIF(Test_Cases!C:C,"*§8*")</f>
        <v>7</v>
      </c>
      <c r="D9" s="5" t="n">
        <f aca="false">COUNTIFS(Test_Cases!C:C,"*§8*",Test_Cases!E:E,"Must")</f>
        <v>5</v>
      </c>
      <c r="E9" s="5"/>
    </row>
    <row r="10" customFormat="false" ht="15" hidden="false" customHeight="false" outlineLevel="0" collapsed="false">
      <c r="A10" s="5" t="s">
        <v>335</v>
      </c>
      <c r="B10" s="5" t="s">
        <v>334</v>
      </c>
      <c r="C10" s="5" t="n">
        <f aca="false">COUNTIF(Test_Cases!C:C,"*§9*")</f>
        <v>11</v>
      </c>
      <c r="D10" s="5" t="n">
        <f aca="false">COUNTIFS(Test_Cases!C:C,"*§9*",Test_Cases!E:E,"Must")</f>
        <v>9</v>
      </c>
      <c r="E10" s="5"/>
    </row>
    <row r="11" customFormat="false" ht="15" hidden="false" customHeight="false" outlineLevel="0" collapsed="false">
      <c r="A11" s="5" t="s">
        <v>386</v>
      </c>
      <c r="B11" s="5" t="s">
        <v>385</v>
      </c>
      <c r="C11" s="5" t="n">
        <f aca="false">COUNTIF(Test_Cases!C:C,"*§10*")</f>
        <v>3</v>
      </c>
      <c r="D11" s="5" t="n">
        <f aca="false">COUNTIFS(Test_Cases!C:C,"*§10*",Test_Cases!E:E,"Must")</f>
        <v>1</v>
      </c>
      <c r="E11" s="5"/>
    </row>
    <row r="12" customFormat="false" ht="15" hidden="false" customHeight="false" outlineLevel="0" collapsed="false">
      <c r="A12" s="5" t="s">
        <v>402</v>
      </c>
      <c r="B12" s="5" t="s">
        <v>480</v>
      </c>
      <c r="C12" s="5" t="n">
        <f aca="false">COUNTIF(Test_Cases!C:C,"*§11*")</f>
        <v>3</v>
      </c>
      <c r="D12" s="5" t="n">
        <f aca="false">COUNTIFS(Test_Cases!C:C,"*§11*",Test_Cases!E:E,"Must")</f>
        <v>2</v>
      </c>
      <c r="E12" s="5"/>
    </row>
    <row r="13" customFormat="false" ht="15" hidden="false" customHeight="false" outlineLevel="0" collapsed="false">
      <c r="A13" s="5" t="s">
        <v>458</v>
      </c>
      <c r="B13" s="5" t="s">
        <v>481</v>
      </c>
      <c r="C13" s="5" t="n">
        <f aca="false">COUNTIF(Test_Cases!C:C,"*§12*")</f>
        <v>8</v>
      </c>
      <c r="D13" s="5" t="n">
        <f aca="false">COUNTIFS(Test_Cases!C:C,"*§12*",Test_Cases!E:E,"Must")</f>
        <v>7</v>
      </c>
      <c r="E13" s="5"/>
    </row>
    <row r="14" customFormat="false" ht="15" hidden="false" customHeight="false" outlineLevel="0" collapsed="false">
      <c r="A14" s="5" t="s">
        <v>465</v>
      </c>
      <c r="B14" s="5" t="s">
        <v>464</v>
      </c>
      <c r="C14" s="5" t="n">
        <f aca="false">COUNTIF(Test_Cases!C:C,"doc 03")</f>
        <v>1</v>
      </c>
      <c r="D14" s="5" t="n">
        <f aca="false">COUNTIFS(Test_Cases!C:C,"doc 03",Test_Cases!E:E,"Must")</f>
        <v>1</v>
      </c>
      <c r="E14" s="5"/>
    </row>
    <row r="15" customFormat="false" ht="15" hidden="false" customHeight="false" outlineLevel="0" collapsed="false">
      <c r="A15" s="2"/>
      <c r="B15" s="2" t="s">
        <v>482</v>
      </c>
      <c r="C15" s="2" t="n">
        <f aca="false">SUM(C2:C14)</f>
        <v>99</v>
      </c>
      <c r="D15" s="2" t="n">
        <f aca="false">SUM(D2:D14)</f>
        <v>82</v>
      </c>
      <c r="E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4" t="s">
        <v>483</v>
      </c>
      <c r="B1" s="4" t="s">
        <v>484</v>
      </c>
    </row>
    <row r="2" customFormat="false" ht="15" hidden="false" customHeight="false" outlineLevel="0" collapsed="false">
      <c r="A2" s="5" t="s">
        <v>485</v>
      </c>
      <c r="B2" s="5" t="n">
        <f aca="false">COUNTA(Test_Cases!A2:A85)</f>
        <v>84</v>
      </c>
    </row>
    <row r="3" customFormat="false" ht="15" hidden="false" customHeight="false" outlineLevel="0" collapsed="false">
      <c r="A3" s="5" t="s">
        <v>31</v>
      </c>
      <c r="B3" s="5" t="n">
        <f aca="false">COUNTIF(Test_Cases!E2:E85,"Must")</f>
        <v>71</v>
      </c>
    </row>
    <row r="4" customFormat="false" ht="15" hidden="false" customHeight="false" outlineLevel="0" collapsed="false">
      <c r="A4" s="5" t="s">
        <v>122</v>
      </c>
      <c r="B4" s="5" t="n">
        <f aca="false">COUNTIF(Test_Cases!E2:E85,"Should")</f>
        <v>13</v>
      </c>
    </row>
    <row r="5" customFormat="false" ht="15" hidden="false" customHeight="false" outlineLevel="0" collapsed="false">
      <c r="A5" s="5" t="s">
        <v>486</v>
      </c>
      <c r="B5" s="5" t="n">
        <f aca="false">COUNTIF(Test_Cases!K2:K85,"Pass")</f>
        <v>0</v>
      </c>
    </row>
    <row r="6" customFormat="false" ht="15" hidden="false" customHeight="false" outlineLevel="0" collapsed="false">
      <c r="A6" s="5" t="s">
        <v>487</v>
      </c>
      <c r="B6" s="5" t="n">
        <f aca="false">COUNTIF(Test_Cases!K2:K85,"Fail")</f>
        <v>0</v>
      </c>
    </row>
    <row r="7" customFormat="false" ht="15" hidden="false" customHeight="false" outlineLevel="0" collapsed="false">
      <c r="A7" s="5" t="s">
        <v>488</v>
      </c>
      <c r="B7" s="5" t="n">
        <f aca="false">COUNTIF(Test_Cases!K2:K85,"Da testare")</f>
        <v>84</v>
      </c>
    </row>
    <row r="8" customFormat="false" ht="15" hidden="false" customHeight="false" outlineLevel="0" collapsed="false">
      <c r="A8" s="5" t="s">
        <v>489</v>
      </c>
      <c r="B8" s="5" t="n">
        <f aca="false">COUNTIFS(Test_Cases!E2:E85,"Must",Test_Cases!K2:K85,"Pass")</f>
        <v>0</v>
      </c>
    </row>
    <row r="9" customFormat="false" ht="15" hidden="false" customHeight="false" outlineLevel="0" collapsed="false">
      <c r="A9" s="5" t="s">
        <v>490</v>
      </c>
      <c r="B9" s="5" t="str">
        <f aca="false">IF(B8=B3,"SI","NO")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2026-07-07T01:22:16Z</dcterms:created>
  <dc:creator>openpyxl</dc:creator>
  <dc:description/>
  <dc:language>en-US</dc:language>
  <cp:lastModifiedBy/>
  <dcterms:modified xsi:type="dcterms:W3CDTF">2026-07-07T01:22:16Z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